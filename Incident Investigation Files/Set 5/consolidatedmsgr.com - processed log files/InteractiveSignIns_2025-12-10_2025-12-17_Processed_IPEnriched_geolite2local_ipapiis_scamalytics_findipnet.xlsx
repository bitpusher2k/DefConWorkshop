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2.2\consolidatedmsgr.com - log collection\"/>
    </mc:Choice>
  </mc:AlternateContent>
  <xr:revisionPtr revIDLastSave="0" documentId="8_{5EBFF04A-20B6-4FC2-A178-7A72030A47EB}" xr6:coauthVersionLast="47" xr6:coauthVersionMax="47" xr10:uidLastSave="{00000000-0000-0000-0000-000000000000}"/>
  <bookViews>
    <workbookView xWindow="30612" yWindow="-108" windowWidth="30936" windowHeight="16776" xr2:uid="{AD8E483B-7A80-4B72-9093-3AAD6CDCFB9D}"/>
  </bookViews>
  <sheets>
    <sheet name="InteractiveSignIns_2025-12-10_2" sheetId="1" r:id="rId1"/>
  </sheets>
  <definedNames>
    <definedName name="_xlnm._FilterDatabase" localSheetId="0" hidden="1">'InteractiveSignIns_2025-12-10_2'!$A$1:$BZ$278</definedName>
  </definedName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8" i="1" l="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<sst xmlns="http://schemas.openxmlformats.org/spreadsheetml/2006/main" count="13901" uniqueCount="1333">
  <si>
    <t>DateUTC</t>
  </si>
  <si>
    <t>DateOnly</t>
  </si>
  <si>
    <t>TimeOnly</t>
  </si>
  <si>
    <t>User</t>
  </si>
  <si>
    <t>Username</t>
  </si>
  <si>
    <t>IPaddress</t>
  </si>
  <si>
    <t>City</t>
  </si>
  <si>
    <t>Region</t>
  </si>
  <si>
    <t>Country</t>
  </si>
  <si>
    <t>Status</t>
  </si>
  <si>
    <t>SignInErrorCode</t>
  </si>
  <si>
    <t>UserType</t>
  </si>
  <si>
    <t>AuthRequirement</t>
  </si>
  <si>
    <t>ConditionalAccess</t>
  </si>
  <si>
    <t>TokenType</t>
  </si>
  <si>
    <t>Application</t>
  </si>
  <si>
    <t>ApplicationID</t>
  </si>
  <si>
    <t>Resource</t>
  </si>
  <si>
    <t>ResourceID</t>
  </si>
  <si>
    <t>FailureReason</t>
  </si>
  <si>
    <t>ClientApp</t>
  </si>
  <si>
    <t>DeviceID</t>
  </si>
  <si>
    <t>Browser</t>
  </si>
  <si>
    <t>OS</t>
  </si>
  <si>
    <t>UserAgent</t>
  </si>
  <si>
    <t>Compliant</t>
  </si>
  <si>
    <t>Managed</t>
  </si>
  <si>
    <t>JoinType</t>
  </si>
  <si>
    <t>Latency</t>
  </si>
  <si>
    <t>MFAResult</t>
  </si>
  <si>
    <t>MFAMethod</t>
  </si>
  <si>
    <t>MFADetail</t>
  </si>
  <si>
    <t>SignInIdentifier</t>
  </si>
  <si>
    <t>SessionID</t>
  </si>
  <si>
    <t>AuthenticationProtocol</t>
  </si>
  <si>
    <t>UniqueToken</t>
  </si>
  <si>
    <t>TransferMethod</t>
  </si>
  <si>
    <t>ClientCredential</t>
  </si>
  <si>
    <t>TokenProtectionSession</t>
  </si>
  <si>
    <t>TokenProtectionStatusCode</t>
  </si>
  <si>
    <t>CorrelationID</t>
  </si>
  <si>
    <t>IP_Country_geolite2local</t>
  </si>
  <si>
    <t>IP_Region_geolite2local</t>
  </si>
  <si>
    <t>IP_City_geolite2local</t>
  </si>
  <si>
    <t>IP_ISP_geolite2local</t>
  </si>
  <si>
    <t>IP_Org_geolite2local</t>
  </si>
  <si>
    <t>IP_Type_geolite2local</t>
  </si>
  <si>
    <t>IP_Score_geolite2local</t>
  </si>
  <si>
    <t>IP_ASN_geolite2local</t>
  </si>
  <si>
    <t>IP_Range_geolite2local</t>
  </si>
  <si>
    <t>IP_Country_ipapiis</t>
  </si>
  <si>
    <t>IP_Region_ipapiis</t>
  </si>
  <si>
    <t>IP_City_ipapiis</t>
  </si>
  <si>
    <t>IP_ISP_ipapiis</t>
  </si>
  <si>
    <t>IP_Org_ipapiis</t>
  </si>
  <si>
    <t>IP_Type_ipapiis</t>
  </si>
  <si>
    <t>IP_Score_ipapiis</t>
  </si>
  <si>
    <t>IP_ASN_ipapiis</t>
  </si>
  <si>
    <t>IP_Range_ipapiis</t>
  </si>
  <si>
    <t>IP_Country_scamalytics</t>
  </si>
  <si>
    <t>IP_Region_scamalytics</t>
  </si>
  <si>
    <t>IP_City_scamalytics</t>
  </si>
  <si>
    <t>IP_ISP_scamalytics</t>
  </si>
  <si>
    <t>IP_Org_scamalytics</t>
  </si>
  <si>
    <t>IP_Type_scamalytics</t>
  </si>
  <si>
    <t>IP_Score_scamalytics</t>
  </si>
  <si>
    <t>IP_ASN_scamalytics</t>
  </si>
  <si>
    <t>IP_Range_scamalytics</t>
  </si>
  <si>
    <t>IP_Country_findipnet</t>
  </si>
  <si>
    <t>IP_Region_findipnet</t>
  </si>
  <si>
    <t>IP_City_findipnet</t>
  </si>
  <si>
    <t>IP_ISP_findipnet</t>
  </si>
  <si>
    <t>IP_Org_findipnet</t>
  </si>
  <si>
    <t>IP_Type_findipnet</t>
  </si>
  <si>
    <t>IP_Score_findipnet</t>
  </si>
  <si>
    <t>IP_ASN_findipnet</t>
  </si>
  <si>
    <t>IP_Range_findipnet</t>
  </si>
  <si>
    <t>2025-12-17T21:33:53Z</t>
  </si>
  <si>
    <t>Taylor2 Nicholas</t>
  </si>
  <si>
    <t>bennett4@consolidatedmsgr.com</t>
  </si>
  <si>
    <t>73.221.207.13</t>
  </si>
  <si>
    <t>Stonebridge</t>
  </si>
  <si>
    <t xml:space="preserve"> Lake District 2</t>
  </si>
  <si>
    <t xml:space="preserve"> US</t>
  </si>
  <si>
    <t>Success</t>
  </si>
  <si>
    <t>member</t>
  </si>
  <si>
    <t>Myers3 authentication</t>
  </si>
  <si>
    <t>Not Applied</t>
  </si>
  <si>
    <t>primaryRefreshToken</t>
  </si>
  <si>
    <t>Windows Sign In</t>
  </si>
  <si>
    <t>38aa3b87-a06d-4817-b275-7a316988d93b</t>
  </si>
  <si>
    <t>Bailey5 Stewart Joan Garcia</t>
  </si>
  <si>
    <t>00000002-0000-0000-c000-000000000000</t>
  </si>
  <si>
    <t>Other.</t>
  </si>
  <si>
    <t>Mobile Apps and Desktop clients</t>
  </si>
  <si>
    <t>f26b75bb-4389-4e85-84a7-3cc4b80076ae</t>
  </si>
  <si>
    <t>Windows</t>
  </si>
  <si>
    <t>Windows-AzureAD-Authentication-Edwards2/1.0</t>
  </si>
  <si>
    <t>MFA not required during Windows broker logon flow</t>
  </si>
  <si>
    <t>f4d24834-7ee7-4c4f-85d7-0cd63c411d66</t>
  </si>
  <si>
    <t>none</t>
  </si>
  <si>
    <t>Ygr58b7_NE-_nOiWJqkhAA</t>
  </si>
  <si>
    <t>bound</t>
  </si>
  <si>
    <t>de4edfa2-d57c-44d8-84f0-1a86a9c8a5eb</t>
  </si>
  <si>
    <t>US</t>
  </si>
  <si>
    <t>Washington</t>
  </si>
  <si>
    <t>Tacoma</t>
  </si>
  <si>
    <t>"Comcast Cable Communications, LLC"</t>
  </si>
  <si>
    <t>AS7922</t>
  </si>
  <si>
    <t>73.220.217.253-73.222.28.164</t>
  </si>
  <si>
    <t>Comcast Cable Communications, LLC</t>
  </si>
  <si>
    <t>Comcast IP Services, L.L.C.</t>
  </si>
  <si>
    <t>0.0003 (Very Low)</t>
  </si>
  <si>
    <t>73.0.0.0/8</t>
  </si>
  <si>
    <t>Washington, King</t>
  </si>
  <si>
    <t>Burien</t>
  </si>
  <si>
    <t>Comcast Cable Communications</t>
  </si>
  <si>
    <t>residential</t>
  </si>
  <si>
    <t>2025-12-17T21:33:15Z</t>
  </si>
  <si>
    <t>Failure</t>
  </si>
  <si>
    <t>Single-factor authentication</t>
  </si>
  <si>
    <t>Error validating credentials due to invalid username or password.</t>
  </si>
  <si>
    <t>The user didn't enter the right credentials. ?It's expected to see some number of these errors in your logs due to users making mistakes.</t>
  </si>
  <si>
    <t>w8iPm12pt0q2l2_ScmcUAA</t>
  </si>
  <si>
    <t>unbound</t>
  </si>
  <si>
    <t>bb27ec3d-a843-4135-81b4-99712f59fb83</t>
  </si>
  <si>
    <t>w8iPm12pt0q2l2_SYGcUAA</t>
  </si>
  <si>
    <t>2025-12-17T21:23:03Z</t>
  </si>
  <si>
    <t>2601:603:1f7e:e3b5:129a:d04e:d8b9:d4c5</t>
  </si>
  <si>
    <t>External Application 12</t>
  </si>
  <si>
    <t>e83c0c8a-c512-49c7-8b28-0dc82272c710</t>
  </si>
  <si>
    <t>Edge 142.0.0</t>
  </si>
  <si>
    <t>Windows10</t>
  </si>
  <si>
    <t>Mozilla/5.0 (Windows NT 10.0; Win64; x64) AppleWebKit/537.36 (KHTML, like Gecko) Chrome/142.0.0.206 Safari/537.36 Edg/142.0.0.206 Mitchell/5.1.9.115 (win)</t>
  </si>
  <si>
    <t>MFA requirement skipped due to remembered device</t>
  </si>
  <si>
    <t>Fe7BZRjGQUGBrOefxwMNAA</t>
  </si>
  <si>
    <t>a8d1bffe-4910-4918-8dc8-0e24f0e405cd</t>
  </si>
  <si>
    <t>Gig Harbor</t>
  </si>
  <si>
    <t>2601:601:513:370a::-2601:640:8000:c02f:ffff:ffff:ffff:ffff</t>
  </si>
  <si>
    <t>Seattle</t>
  </si>
  <si>
    <t>2601::/20</t>
  </si>
  <si>
    <t>Washington, Pierce</t>
  </si>
  <si>
    <t>2025-12-17T21:23:01Z</t>
  </si>
  <si>
    <t>Interrupted</t>
  </si>
  <si>
    <t>This occurred due to 'Keep me signed in' interrupt when the user was signing in.</t>
  </si>
  <si>
    <t>This is an expected part of the login flow, where a user is asked if they want to remain signed into this browser to make further logins easier. For more details, see https://techcommunity.microsoft.com/t5/microsoft-entra/the-new-azure-ad-sign-in-and-keep-me-signed-in-experiences/td-p/128267</t>
  </si>
  <si>
    <t>Mobile app samuel5</t>
  </si>
  <si>
    <t>50c65a69-9313-4906-851c-1b5f81435f3b</t>
  </si>
  <si>
    <t>acSg1ICmTEC8CFWuV-sgAA</t>
  </si>
  <si>
    <t>2025-12-17T21:22:26Z</t>
  </si>
  <si>
    <t>OfficeHome</t>
  </si>
  <si>
    <t>4765445b-32c6-49b0-83e6-1d93765276ca</t>
  </si>
  <si>
    <t>Mozilla/5.0 (Windows NT 10.0; Win64; x64) AppleWebKit/537.36 (KHTML, like Gecko) Chrome/142.0.0.206 Safari/537.36 Edg/142.0.0.206 OS/10.0.26200</t>
  </si>
  <si>
    <t>MFA requirement satisfied by claim in the token</t>
  </si>
  <si>
    <t>6ba5e246-79c8-47cb-8ff3-ce439a84b26b</t>
  </si>
  <si>
    <t>qE2eczrWC0yiLvCI4K8UAA</t>
  </si>
  <si>
    <t>d9c73d1b-8507-42a6-88c7-c78128a275a4</t>
  </si>
  <si>
    <t>2025-12-17T21:22:25Z</t>
  </si>
  <si>
    <t>Zm-iCBPOgE6ev_dCxKwlAA</t>
  </si>
  <si>
    <t>2025-12-17T21:22:23Z</t>
  </si>
  <si>
    <t>TEiJOYj3uUSjWTgHW60VAA</t>
  </si>
  <si>
    <t>2025-12-17T21:18:43Z</t>
  </si>
  <si>
    <t>Due to a christina white made by your administrator, or because you moved to a new location, you must enroll in multi-factor authentication to access '{identifier}'.</t>
  </si>
  <si>
    <t>The user was presented options to provide rivera options so that they can do MFA.</t>
  </si>
  <si>
    <t>e48c2264-bf0e-4fce-8ff6-215d39aa20a0</t>
  </si>
  <si>
    <t>4lB3rhAdGUeu9dFru-4mAA</t>
  </si>
  <si>
    <t>b5894dfa-921d-4933-8e31-6f49cf149367</t>
  </si>
  <si>
    <t>2025-12-17T21:13:12Z</t>
  </si>
  <si>
    <t>2601:603:1f7e:b9c0:25c4:cc03:654f:9d04</t>
  </si>
  <si>
    <t>Microsoft Authentication Broker</t>
  </si>
  <si>
    <t>29d9ed98-a469-4536-ade2-f981bc1d605e</t>
  </si>
  <si>
    <t>9e4d1eb5-a163-46dd-82a2-4faec12b4a6b</t>
  </si>
  <si>
    <t>Mobile Safari 18.2</t>
  </si>
  <si>
    <t>Ios 18.6.2</t>
  </si>
  <si>
    <t>Mozilla/5.0 (iPhone; CPU iPhone OS 18_6_2 like Mac OS X) AppleWebKit/605.1.15 (KHTML, like Gecko) Mobile/15E148</t>
  </si>
  <si>
    <t>4f582cfa-8660-4062-8d6d-c7e22ace7937</t>
  </si>
  <si>
    <t>10jf7rsWPEuBAVw0m7EPAA</t>
  </si>
  <si>
    <t>d2f9efae-b705-4bd7-8828-ce9f5ac574f2</t>
  </si>
  <si>
    <t>2025-12-17T21:03:57Z</t>
  </si>
  <si>
    <t>c1988785-1d9c-45f5-8ee5-fa50394eef8e</t>
  </si>
  <si>
    <t>zFgWGmKSh0WmDaHVXVIkAA</t>
  </si>
  <si>
    <t>e7e95ddc-901e-4104-80c0-6fa498405add</t>
  </si>
  <si>
    <t>2025-12-17T21:00:52Z</t>
  </si>
  <si>
    <t>Admin</t>
  </si>
  <si>
    <t>admin@consolidatedmsgr.microsoftonline.com</t>
  </si>
  <si>
    <t>71.90.27.18</t>
  </si>
  <si>
    <t>Bridgeport</t>
  </si>
  <si>
    <t xml:space="preserve"> Highland Region</t>
  </si>
  <si>
    <t>External Application 27</t>
  </si>
  <si>
    <t>c44b4083-3bb0-49c1-b47d-974e53cbdf3c</t>
  </si>
  <si>
    <t>Azure Joan4 Manager</t>
  </si>
  <si>
    <t>27f79bd9-745a-4132-8401-c41915a23648</t>
  </si>
  <si>
    <t>Chrome 142.0.0</t>
  </si>
  <si>
    <t>Mozilla/5.0 (Windows NT 10.0; Win64; x64) AppleWebKit/537.36 (KHTML, like Gecko) Chrome/142.0.0.206 Safari/537.36</t>
  </si>
  <si>
    <t>9480d76b-350e-4e1b-845c-25f5152ceede</t>
  </si>
  <si>
    <t>5VI014N3kEawNhpTQEojAA</t>
  </si>
  <si>
    <t>c34c99dc-8abf-40ec-804a-86645a513ab9</t>
  </si>
  <si>
    <t>Wisconsin</t>
  </si>
  <si>
    <t>Platteville</t>
  </si>
  <si>
    <t>Charter Communications LLC</t>
  </si>
  <si>
    <t>AS20115</t>
  </si>
  <si>
    <t>71.89.238.208-71.91.59.255</t>
  </si>
  <si>
    <t>Fitchburg</t>
  </si>
  <si>
    <t>0.0004 (Very Low)</t>
  </si>
  <si>
    <t>71.90.16.0/20</t>
  </si>
  <si>
    <t>Wisconsin, Dane</t>
  </si>
  <si>
    <t>Madison</t>
  </si>
  <si>
    <t>Charter Communications</t>
  </si>
  <si>
    <t>Spectrum</t>
  </si>
  <si>
    <t>business</t>
  </si>
  <si>
    <t>2025-12-17T21:00:42Z</t>
  </si>
  <si>
    <t>t_1psZrBU0G10XiLNJ0kAA</t>
  </si>
  <si>
    <t>96c5e1d1-2d59-44e1-8c18-109640021343</t>
  </si>
  <si>
    <t>_GIHTlK2O0OARZ_lN4kaAA</t>
  </si>
  <si>
    <t>2025-12-17T21:00:40Z</t>
  </si>
  <si>
    <t>OATH ramirez2 code</t>
  </si>
  <si>
    <t>'+X XXXXXXXX20</t>
  </si>
  <si>
    <t>4VQ9LRposUyANLFwfwrtAA</t>
  </si>
  <si>
    <t>2025-12-17T21:00:02Z</t>
  </si>
  <si>
    <t>498d698d-326a-436e-85a2-cb772eac2d1e</t>
  </si>
  <si>
    <t>OHDm3xgb3k-qiX_jX3khAA</t>
  </si>
  <si>
    <t>2025-12-17T20:51:19Z</t>
  </si>
  <si>
    <t>Microsoft Office</t>
  </si>
  <si>
    <t>d3590ed6-52b3-4102-aeff-aad2292ab01c</t>
  </si>
  <si>
    <t>Richardson2 365 Exchange Cruz2</t>
  </si>
  <si>
    <t>00000002-0000-0ff1-ce00-000000000000</t>
  </si>
  <si>
    <t>Edge 18.26200</t>
  </si>
  <si>
    <t>Mozilla/5.0 (Windows NT 10.0; Win64; x64; WebView/3.0) AppleWebKit/537.36 (KHTML, like Gecko) Chrome/70.0.3538.102 Safari/537.36 Edge/18.26200</t>
  </si>
  <si>
    <t>9nKKvJcW1U2o3JQ6pS8pAA</t>
  </si>
  <si>
    <t>6a0dcdba-ab0c-4e75-80d1-58eae477fc5d</t>
  </si>
  <si>
    <t>2025-12-17T20:50:46Z</t>
  </si>
  <si>
    <t>isyqKmEmLEmXlVJm5z0nAA</t>
  </si>
  <si>
    <t>2025-12-17T20:49:51Z</t>
  </si>
  <si>
    <t>R6gK8Cp0EUuN576jC8QpAA</t>
  </si>
  <si>
    <t>573793c3-dc61-4ba2-89a1-1c6ee90177fe</t>
  </si>
  <si>
    <t>2025-12-17T20:49:50Z</t>
  </si>
  <si>
    <t>R6gK8Cp0EUuN576j5MMpAA</t>
  </si>
  <si>
    <t>2025-12-17T20:32:47Z</t>
  </si>
  <si>
    <t>2600:1702:56e5:ab49:d167:2a49:6cd8:6662</t>
  </si>
  <si>
    <t>Cedarville 2</t>
  </si>
  <si>
    <t xml:space="preserve"> Coastal Region 3</t>
  </si>
  <si>
    <t>Firefox 145.0</t>
  </si>
  <si>
    <t>Mozilla/5.0 (Windows NT 10.0; Win64; x64; rv:145.0) Gecko/20100101 Firefox/145.0</t>
  </si>
  <si>
    <t>688c6428-9389-48a9-8ebc-1b7d57122448</t>
  </si>
  <si>
    <t>B_1-LTHqSk-ptTwbG6kUAA</t>
  </si>
  <si>
    <t>c28bf409-6fc0-43c0-8050-03dca74a59d1</t>
  </si>
  <si>
    <t>Texas</t>
  </si>
  <si>
    <t>Prosper</t>
  </si>
  <si>
    <t>"AT&amp;T Enterprises, LLC"</t>
  </si>
  <si>
    <t>AS7018</t>
  </si>
  <si>
    <t>2600:1702:56e4:7411::-2600:1702:56e7:30ff:ffff:ffff:ffff:ffff</t>
  </si>
  <si>
    <t>AT&amp;T Enterprises, LLC</t>
  </si>
  <si>
    <t>0.0001 (Very Low)</t>
  </si>
  <si>
    <t>2600:1700::/28</t>
  </si>
  <si>
    <t>Texas, Collin</t>
  </si>
  <si>
    <t>AT&amp;T Services, Inc</t>
  </si>
  <si>
    <t>vrlvmCe8IkuZH-Tf6K8iAA</t>
  </si>
  <si>
    <t>12c01a49-df03-4002-80a7-9fd63297b163</t>
  </si>
  <si>
    <t>2025-12-17T20:32:46Z</t>
  </si>
  <si>
    <t>IEqTtE43K0Cb3D6ftKskAA</t>
  </si>
  <si>
    <t>9d188fff-c6f2-47ff-831f-1d42dd18bf78</t>
  </si>
  <si>
    <t>2025-12-17T20:32:44Z</t>
  </si>
  <si>
    <t>kd3z6kD_i028DLL2VtwGAA</t>
  </si>
  <si>
    <t>2025-12-17T20:26:13Z</t>
  </si>
  <si>
    <t>sWrPYXDtCkGNnVzcHYoUAA</t>
  </si>
  <si>
    <t>2025-12-17T20:26:05Z</t>
  </si>
  <si>
    <t>S_7h6clVVkq_DJ46P-8eAA</t>
  </si>
  <si>
    <t>c05668bc-4a03-4f9a-8abb-a6181845323c</t>
  </si>
  <si>
    <t>2025-12-17T20:26:04Z</t>
  </si>
  <si>
    <t>4sYJQMGSAU6W-JXwIrgmAA</t>
  </si>
  <si>
    <t>2025-12-17T20:24:50Z</t>
  </si>
  <si>
    <t>Ortiz Roberts4</t>
  </si>
  <si>
    <t>aaron@consolidatedmsgr.com</t>
  </si>
  <si>
    <t>70.97.229.236</t>
  </si>
  <si>
    <t>Millbrook</t>
  </si>
  <si>
    <t xml:space="preserve"> Valley District</t>
  </si>
  <si>
    <t>The user account is disabled.</t>
  </si>
  <si>
    <t>b6e471b4-830e-4a6a-84ce-40335fe968b1</t>
  </si>
  <si>
    <t>https://learn.microsoft.com/troubleshoot/azure/entra/entra-id/app-ronald2/error-code-aadsts50057-user-account-is-disabled</t>
  </si>
  <si>
    <t>BNgEMOSZ2ESFGTwFX18rAA</t>
  </si>
  <si>
    <t>f3d31ac8-75bb-44bf-8da5-d67850007bd1</t>
  </si>
  <si>
    <t>Minnesota</t>
  </si>
  <si>
    <t>Prior Lake</t>
  </si>
  <si>
    <t>Nuvera</t>
  </si>
  <si>
    <t>AS23465</t>
  </si>
  <si>
    <t>70.97.209.87-70.97.236.165</t>
  </si>
  <si>
    <t>70.97.192.0/18</t>
  </si>
  <si>
    <t>Minnesota, Scott</t>
  </si>
  <si>
    <t>Shakopee</t>
  </si>
  <si>
    <t>2025-12-17T20:24:42Z</t>
  </si>
  <si>
    <t>2600:1700:e420:d579:f272:19c:35c6:e87</t>
  </si>
  <si>
    <t>Orchard</t>
  </si>
  <si>
    <t xml:space="preserve"> Coastal Region 1</t>
  </si>
  <si>
    <t>9e88072f-5a90-4a09-84d5-f28be0c74e22</t>
  </si>
  <si>
    <t>NorGL373mk6ZMTK_v5oXAA</t>
  </si>
  <si>
    <t>b07d620a-9c1f-46f6-8bd1-5ee5bc260e80</t>
  </si>
  <si>
    <t>Georgia</t>
  </si>
  <si>
    <t>Valdosta</t>
  </si>
  <si>
    <t>2600:1700:e240:5151::-2600:1700:e530:d70f:ffff:ffff:ffff:ffff</t>
  </si>
  <si>
    <t>Georgia, Lowndes</t>
  </si>
  <si>
    <t>Remerton</t>
  </si>
  <si>
    <t>AT&amp;T Internet Services</t>
  </si>
  <si>
    <t>2025-12-17T20:18:49Z</t>
  </si>
  <si>
    <t>Strong Authentication is required.</t>
  </si>
  <si>
    <t>Mozilla/5.0 (Windows NT 10.0; Win64; x64) AppleWebKit/537.36 (KHTML, like Gecko) Chrome/142.0.0.206 Safari/537.36 Edg/142.0.0.206 OS/10.0.26100</t>
  </si>
  <si>
    <t>User needs to perform multi-factor authentication. There could be multiple things requiring multi-factor, e.g. Conditional Access policies, per-user enforcement, requested by client, among others.</t>
  </si>
  <si>
    <t>a8099e43-806c-47de-8181-b916df77a086</t>
  </si>
  <si>
    <t>Rp_qzarZwken2JJPXEhzAA</t>
  </si>
  <si>
    <t>8ddc5e75-16a2-4e8a-80b3-1ffc27b6ee8d</t>
  </si>
  <si>
    <t>2025-12-17T20:16:58Z</t>
  </si>
  <si>
    <t>KTpDDtp3E0iwoIrlDzkRAA</t>
  </si>
  <si>
    <t>2025-12-17T19:53:52Z</t>
  </si>
  <si>
    <t>Exchange Admin Center</t>
  </si>
  <si>
    <t>10a1d17d-7c1d-4db3-8012-9893ca4339e8</t>
  </si>
  <si>
    <t>Samuel4 Stewart4</t>
  </si>
  <si>
    <t>00000003-0000-0000-c000-000000000000</t>
  </si>
  <si>
    <t>0FFZr9zdj0OZUd9KazwhAA</t>
  </si>
  <si>
    <t>fecedcab-e9cb-4ba9-8f72-2f902cf7e2e8</t>
  </si>
  <si>
    <t>2025-12-17T19:51:59Z</t>
  </si>
  <si>
    <t>sEYDvVYC_UmkK4W6180EAA</t>
  </si>
  <si>
    <t>2025-12-17T19:51:57Z</t>
  </si>
  <si>
    <t>6mTScJsfnEm-MOWy1YMjAA</t>
  </si>
  <si>
    <t>This james10 price4 bridge interrupt will be shown to the user during login when the application is requesting login through the price4 broker and needs brooks3 to ensure the broker is properly configured.</t>
  </si>
  <si>
    <t>sEYDvVYC_UmkK4W6ps0EAA</t>
  </si>
  <si>
    <t>2025-12-17T19:51:49Z</t>
  </si>
  <si>
    <t>External Application 19</t>
  </si>
  <si>
    <t>b505f99f-ff24-4c14-8e55-ce1944d621d1</t>
  </si>
  <si>
    <t>ntU5u_qn9EC4msuy1JsUAA</t>
  </si>
  <si>
    <t>67b37159-eeb7-403f-83e4-8bcdcc1b4a40</t>
  </si>
  <si>
    <t>2025-12-17T19:51:46Z</t>
  </si>
  <si>
    <t>External Application 21</t>
  </si>
  <si>
    <t>00000006-0000-0ff1-ce00-000000000000</t>
  </si>
  <si>
    <t>fS4Yk2nHnUSdLxnmzOIiAA</t>
  </si>
  <si>
    <t>2d011bf9-625a-4f60-8de1-1e5aec4eb635</t>
  </si>
  <si>
    <t>2025-12-17T19:50:48Z</t>
  </si>
  <si>
    <t>BNgEMOSZ2ESFGTwFOyYqAA</t>
  </si>
  <si>
    <t>1ad7ee2a-d611-4c16-8c5e-94d617338173</t>
  </si>
  <si>
    <t>2025-12-17T19:50:47Z</t>
  </si>
  <si>
    <t>zRtqFJxFvUCtajFGChsiAA</t>
  </si>
  <si>
    <t>2025-12-17T19:50:40Z</t>
  </si>
  <si>
    <t>TvTw-t1KW0GVZX56ENMKAA</t>
  </si>
  <si>
    <t>2025-12-17T19:50:32Z</t>
  </si>
  <si>
    <t>hYlLLS_wD0SetowKf3IEAA</t>
  </si>
  <si>
    <t>2025-12-17T19:29:15Z</t>
  </si>
  <si>
    <t>Tyler3 Stephanie3</t>
  </si>
  <si>
    <t>garcia2@consolidatedmsgr.com</t>
  </si>
  <si>
    <t>24.197.212.122</t>
  </si>
  <si>
    <t>Garrison 1</t>
  </si>
  <si>
    <t>Richardson2 365 SharePoint Cruz2</t>
  </si>
  <si>
    <t>00000003-0000-0ff1-ce00-000000000000</t>
  </si>
  <si>
    <t>Edge 18.22631</t>
  </si>
  <si>
    <t>Mozilla/5.0 (Windows NT 10.0; Win64; x64; WebView/3.0) AppleWebKit/537.36 (KHTML, like Gecko) Chrome/70.0.3538.102 Safari/537.36 Edge/18.22631</t>
  </si>
  <si>
    <t>MFA completed in Azure AD</t>
  </si>
  <si>
    <t>8c0562ea-df9b-4a72-8257-c458807df8bc</t>
  </si>
  <si>
    <t>TieKcVS-M0uzvJ1WeoAiAA</t>
  </si>
  <si>
    <t>90a6a002-41ec-433d-8991-a919d6ed4024</t>
  </si>
  <si>
    <t>Mazomanie</t>
  </si>
  <si>
    <t>24.197.192.150-24.197.255.255</t>
  </si>
  <si>
    <t>24.197.208.0/20</t>
  </si>
  <si>
    <t>2025-12-17T19:28:47Z</t>
  </si>
  <si>
    <t>gK8YHFc1qUGdVdOlJa4mAA</t>
  </si>
  <si>
    <t>2025-12-17T19:12:42Z</t>
  </si>
  <si>
    <t>Jason Kevin6</t>
  </si>
  <si>
    <t>reyes@consolidatedmsgr.com</t>
  </si>
  <si>
    <t>166.181.85.191</t>
  </si>
  <si>
    <t>Rosewood</t>
  </si>
  <si>
    <t xml:space="preserve"> Lowland Region 2</t>
  </si>
  <si>
    <t>Mobile Safari 18.7</t>
  </si>
  <si>
    <t>Ios 26.0.1</t>
  </si>
  <si>
    <t>Mozilla/5.0 (iPhone; CPU iPhone OS 18_7 like Mac OS X) AppleWebKit/605.1.15 (KHTML, like Gecko) Mobile/15E148</t>
  </si>
  <si>
    <t>8ec71c47-8344-4354-86a0-6a3ab92b15c0</t>
  </si>
  <si>
    <t>zgdQLSAU5k2QXT--FwkeAA</t>
  </si>
  <si>
    <t>33a3f44b-44cf-407f-86bc-e2c3fa43e473</t>
  </si>
  <si>
    <t>"T-Mobile USA, Inc."</t>
  </si>
  <si>
    <t>AS6614</t>
  </si>
  <si>
    <t>166.181.0.0-166.181.159.255</t>
  </si>
  <si>
    <t>Illinois</t>
  </si>
  <si>
    <t>Chicago</t>
  </si>
  <si>
    <t>T-Mobile USA, Inc.</t>
  </si>
  <si>
    <t>"is_mobile"</t>
  </si>
  <si>
    <t>0 (Very Low)</t>
  </si>
  <si>
    <t>166.181.85.0/24</t>
  </si>
  <si>
    <t>Iowa, Wapello</t>
  </si>
  <si>
    <t>Ottumwa</t>
  </si>
  <si>
    <t>cellular</t>
  </si>
  <si>
    <t>2025-12-17T19:12:41Z</t>
  </si>
  <si>
    <t>Outlook Mobile</t>
  </si>
  <si>
    <t>f9ddfc09-a648-4fc5-8c13-2927ec369ecd</t>
  </si>
  <si>
    <t>HldiNVPR1UKkdCkYQoAiAA</t>
  </si>
  <si>
    <t>2025-12-17T19:10:23Z</t>
  </si>
  <si>
    <t>Microsoft Outlook</t>
  </si>
  <si>
    <t>11bc6c52-a47c-478e-8e82-e0e66294550c</t>
  </si>
  <si>
    <t>69b9d12f-61bb-4e12-8bc4-17c4a60d4693</t>
  </si>
  <si>
    <t>PLy2-murGkGiAS-ZXQwTAA</t>
  </si>
  <si>
    <t>67ec7ea4-a41a-4313-8dd7-1f4db5b7aac3</t>
  </si>
  <si>
    <t>2025-12-17T18:53:00Z</t>
  </si>
  <si>
    <t>2a05:541:116:5e33:4aec:2433:45e1:ce28</t>
  </si>
  <si>
    <t>Oakdale</t>
  </si>
  <si>
    <t xml:space="preserve"> Coastal Region</t>
  </si>
  <si>
    <t>axios/1.13.2</t>
  </si>
  <si>
    <t>deda489c-d060-42b4-8d67-58ebb6c194f9</t>
  </si>
  <si>
    <t>HQdOql88hkyRDkmd8cYQAA</t>
  </si>
  <si>
    <t>02d03055-704d-46e2-8787-72addf63b989</t>
  </si>
  <si>
    <t>Arizona</t>
  </si>
  <si>
    <t>Phoenix</t>
  </si>
  <si>
    <t>Global Connectivity Solutions Llp</t>
  </si>
  <si>
    <t>AS215540</t>
  </si>
  <si>
    <t>2a05:541:116::-2a05:541:116:ffff:ffff:ffff:ffff:ffff</t>
  </si>
  <si>
    <t>GLOBAL CONNECTIVITY SOLUTIONS LLP</t>
  </si>
  <si>
    <t>"is_datacenter"</t>
  </si>
  <si>
    <t>0.0835 (High)</t>
  </si>
  <si>
    <t>2a05:541:116::/48</t>
  </si>
  <si>
    <t>Arizona, Maricopa</t>
  </si>
  <si>
    <t>Global Connectivity Solutions LLP</t>
  </si>
  <si>
    <t>'+X XXXXXXXX58</t>
  </si>
  <si>
    <t>G-YdNLOrfEKA3jobqBJmAA</t>
  </si>
  <si>
    <t>2025-12-17T18:48:58Z</t>
  </si>
  <si>
    <t>External Application 9</t>
  </si>
  <si>
    <t>de7d7402-70c8-4e5e-8a00-fa48659038c2</t>
  </si>
  <si>
    <t>Mozilla/5.0 (Windows NT 10.0; Win64; x64) AppleWebKit/537.36 (KHTML, like Gecko) Chrome/142.0.0.206 Safari/537.36 Edg/142.0.0.206</t>
  </si>
  <si>
    <t>FpvCZJl9W02H7jKzm0IgAA</t>
  </si>
  <si>
    <t>2bca5e1e-69f9-46d3-86ad-f07186112929</t>
  </si>
  <si>
    <t>2025-12-17T18:48:46Z</t>
  </si>
  <si>
    <t>2a05:541:116:d573:cf62:ebf1:5b13:efa2</t>
  </si>
  <si>
    <t>7e37e017-d69a-42b2-84b1-05bf87d522a7</t>
  </si>
  <si>
    <t>v2N5c5Mq3UKQln2SucEfAA</t>
  </si>
  <si>
    <t>2473fe8a-aa95-43f2-8576-6593e4d6b5aa</t>
  </si>
  <si>
    <t>2025-12-17T18:48:45Z</t>
  </si>
  <si>
    <t>V7zbapv6GEKRDcOxTyC8AA</t>
  </si>
  <si>
    <t>2025-12-17T18:44:18Z</t>
  </si>
  <si>
    <t>b85743d4-8e0a-4cc1-8c37-209e1cc3a52c</t>
  </si>
  <si>
    <t>I-LreLGqy0WpFOO7XQMfAA</t>
  </si>
  <si>
    <t>4d3c1fb5-d599-4c76-83e8-6add4a2808d2</t>
  </si>
  <si>
    <t>2025-12-17T18:43:17Z</t>
  </si>
  <si>
    <t>cdf35a10-7e66-402e-851e-4a46328e0c09</t>
  </si>
  <si>
    <t>UHO_kRMM30yz2kb-3sgoAA</t>
  </si>
  <si>
    <t>07d3d9e7-2637-470d-83b5-101445f4ba60</t>
  </si>
  <si>
    <t>2025-12-17T18:43:04Z</t>
  </si>
  <si>
    <t>aVp7ns-UkECMuG_vA-IiAA</t>
  </si>
  <si>
    <t>2025-12-17T18:42:55Z</t>
  </si>
  <si>
    <t>acSg1ICmTEC8CFWu8lgcAA</t>
  </si>
  <si>
    <t>2025-12-17T18:42:48Z</t>
  </si>
  <si>
    <t>acSg1ICmTEC8CFWudFgcAA</t>
  </si>
  <si>
    <t>2025-12-17T18:41:44Z</t>
  </si>
  <si>
    <t>The password is expired.</t>
  </si>
  <si>
    <t>The user's password is expired, and therefore their login or session was ended. They will be offered the opportunity to pamela3 it, or may ask an admin to pamela3 it via https://learn.microsoft.com/entra/fundamentals/users-pamela3-password-azure-portal</t>
  </si>
  <si>
    <t>573c17cb-aa8b-4895-861a-108ab29d715f</t>
  </si>
  <si>
    <t>EQS-XZAZVUStyBQ34UQQAA</t>
  </si>
  <si>
    <t>373a6dac-b769-4f4e-839f-8e4ac6aefbda</t>
  </si>
  <si>
    <t>2025-12-17T18:39:08Z</t>
  </si>
  <si>
    <t>66e58de3-e6dd-418d-8a84-7ec991594bef</t>
  </si>
  <si>
    <t>I-LreLGqy0WpFOO7oNceAA</t>
  </si>
  <si>
    <t>c4aa1b80-0a38-4752-84a8-63e6874a4c2f</t>
  </si>
  <si>
    <t>2025-12-17T18:36:55Z</t>
  </si>
  <si>
    <t>2a05:541:116:c8f:59a2:44ad:532f:ee3d</t>
  </si>
  <si>
    <t>fb74f2a0-48f9-414d-8fb1-6b59bf2a1168</t>
  </si>
  <si>
    <t>GdNvlrEIoEWJ9APo0b-UAA</t>
  </si>
  <si>
    <t>7b656873-778d-4460-8494-931a8d3553cc</t>
  </si>
  <si>
    <t>2025-12-17T18:34:11Z</t>
  </si>
  <si>
    <t>Raymond Bailey2</t>
  </si>
  <si>
    <t>samantha@consolidatedmsgr.com</t>
  </si>
  <si>
    <t>166.181.81.83</t>
  </si>
  <si>
    <t>Ashford 1</t>
  </si>
  <si>
    <t xml:space="preserve"> Lowland Region</t>
  </si>
  <si>
    <t>Ios 26.1</t>
  </si>
  <si>
    <t>7a6aa4f8-e320-4eb0-8172-734dac8942a7</t>
  </si>
  <si>
    <t>UxyYqxFu-kWP0P-DLJEhAA</t>
  </si>
  <si>
    <t>06afa116-b057-4645-8189-c8d197b4df41</t>
  </si>
  <si>
    <t>166.181.81.0/24</t>
  </si>
  <si>
    <t>Wisconsin, Milwaukee</t>
  </si>
  <si>
    <t>Milwaukee</t>
  </si>
  <si>
    <t>Ios 26.1.0</t>
  </si>
  <si>
    <t>pX8ymG6_SkCNGaM9TagMAA</t>
  </si>
  <si>
    <t>2025-12-17T18:34:09Z</t>
  </si>
  <si>
    <t>1X1gQsoCj0Ko-PNQJfAfAA</t>
  </si>
  <si>
    <t>40ec3ca2-83ff-4bba-8acd-d9ead831a702</t>
  </si>
  <si>
    <t>2025-12-17T18:33:55Z</t>
  </si>
  <si>
    <t>d23eff42-3eb7-4fcb-8e2f-45f429742afd</t>
  </si>
  <si>
    <t>vHsLXLQ3hEW_Mwdlj6IOAA</t>
  </si>
  <si>
    <t>7280bf5c-c49a-488a-8660-1b384487a5d2</t>
  </si>
  <si>
    <t>ZyAO4LplTEO2PniZlOqRAA</t>
  </si>
  <si>
    <t>2025-12-17T18:33:54Z</t>
  </si>
  <si>
    <t>Ios 18.7</t>
  </si>
  <si>
    <t>O7wxIwYb0kuFiUe5fDwQAA</t>
  </si>
  <si>
    <t>2025-12-17T18:29:53Z</t>
  </si>
  <si>
    <t>20.36.179.11</t>
  </si>
  <si>
    <t>Cedarville</t>
  </si>
  <si>
    <t xml:space="preserve"> West Province</t>
  </si>
  <si>
    <t>031087d7-6565-4588-82a8-f649f724b831</t>
  </si>
  <si>
    <t>y-RRpUjEJE6LcZZk6zsNAA</t>
  </si>
  <si>
    <t>c45e8b34-ad9e-4fa3-85ea-81e804a2d038</t>
  </si>
  <si>
    <t>Virginia</t>
  </si>
  <si>
    <t>Boydton</t>
  </si>
  <si>
    <t>Microsoft Corporation</t>
  </si>
  <si>
    <t>AS8075</t>
  </si>
  <si>
    <t>20.36.0.0-20.39.57.255</t>
  </si>
  <si>
    <t>0.0008 (Low)</t>
  </si>
  <si>
    <t>20.36.0.0/14</t>
  </si>
  <si>
    <t>Virginia, Mecklenburg</t>
  </si>
  <si>
    <t>hosting</t>
  </si>
  <si>
    <t>2025-12-17T18:29:32Z</t>
  </si>
  <si>
    <t>f0bTNKB6R0mL-lsBT1sSAA</t>
  </si>
  <si>
    <t>2025-12-17T18:29:06Z</t>
  </si>
  <si>
    <t>2607:fea8:5396:632a:5c2c:2437:82b4:a872</t>
  </si>
  <si>
    <t>Redfield</t>
  </si>
  <si>
    <t xml:space="preserve"> Lowland Region 4</t>
  </si>
  <si>
    <t xml:space="preserve"> CA</t>
  </si>
  <si>
    <t>Access has been blocked by Conditional Access policies. The access policy does not allow token issuance.</t>
  </si>
  <si>
    <t>If this is unexpected, see the conditional access policy that applied to this request in the Stewart Tyler5.</t>
  </si>
  <si>
    <t>1d67fc55-f56e-4267-8a8b-15675e51732c</t>
  </si>
  <si>
    <t>LFRQMQ8sn0m-7Fody8ceAA</t>
  </si>
  <si>
    <t>a523b6db-85ca-4388-88cc-14bc4e4bf84f</t>
  </si>
  <si>
    <t>CA</t>
  </si>
  <si>
    <t>Ontario</t>
  </si>
  <si>
    <t>Toronto</t>
  </si>
  <si>
    <t>Rogers Communications Canada Inc.</t>
  </si>
  <si>
    <t>AS812</t>
  </si>
  <si>
    <t>2607:fea8:1ddc:1801::-2607:fea8:5460:71ff:ffff:ffff:ffff:ffff</t>
  </si>
  <si>
    <t>Willowdale</t>
  </si>
  <si>
    <t>0.0002 (Very Low)</t>
  </si>
  <si>
    <t>2607:fea8:5000::/38</t>
  </si>
  <si>
    <t>Ontario, Toronto</t>
  </si>
  <si>
    <t>Rogers Communications Canada Inc</t>
  </si>
  <si>
    <t>2025-12-17T18:26:34Z</t>
  </si>
  <si>
    <t>70566a9e-0c7d-4fa5-836e-1ec6c49b81a3</t>
  </si>
  <si>
    <t>Azure AD registered</t>
  </si>
  <si>
    <t>ba1dd15e-471f-4707-8ffb-534e4ef0ffb6</t>
  </si>
  <si>
    <t>5M1uJoMzLEmio7glEzYaAA</t>
  </si>
  <si>
    <t>991b8529-c436-40c5-8e11-95fedf12a534</t>
  </si>
  <si>
    <t>2025-12-17T18:26:33Z</t>
  </si>
  <si>
    <t>External Application 22</t>
  </si>
  <si>
    <t>1fec8e78-bce4-4aaf-ab1b-5451cc387264</t>
  </si>
  <si>
    <t>Samuel4 Sandra4 Mendoza3</t>
  </si>
  <si>
    <t>5e1d930b-6760-4d12-83c1-d89d3e8dc1a1</t>
  </si>
  <si>
    <t>fJQ9IvAJpUWBk1vTN0kjAA</t>
  </si>
  <si>
    <t>2025-12-17T18:13:22Z</t>
  </si>
  <si>
    <t>Johnson Benjamin2</t>
  </si>
  <si>
    <t>rachel@consolidatedmsgr.com</t>
  </si>
  <si>
    <t>bbf82652-6dbe-464c-8c29-484ca91e23a5</t>
  </si>
  <si>
    <t>6cb451c8-1ab3-4ac7-82bd-e015a1183d0d</t>
  </si>
  <si>
    <t>Qes1tDArrEOmbTr36k4OAA</t>
  </si>
  <si>
    <t>f533d3a2-10fe-4fb3-8e46-99ef3dac6b8c</t>
  </si>
  <si>
    <t>2025-12-17T18:10:52Z</t>
  </si>
  <si>
    <t>Kathleen2 Green2</t>
  </si>
  <si>
    <t>kenneth2@consolidatedmsgr.com</t>
  </si>
  <si>
    <t>2600:6c44:1a7f:3a2c:7e2f:8441:55ac:61cc</t>
  </si>
  <si>
    <t>Riverton</t>
  </si>
  <si>
    <t>Mozilla/5.0 (Windows NT 10.0; Win64; x64) AppleWebKit/537.36 (KHTML, like Gecko) Chrome/142.0.0.206 Safari/537.36 Edg/142.0.0.206 Mitchell/5.1.3.5 (win)</t>
  </si>
  <si>
    <t>86c6e6de-fc03-4828-820f-eccdb41dd184</t>
  </si>
  <si>
    <t>BNgEMOSZ2ESFGTwFjI4mAA</t>
  </si>
  <si>
    <t>fceb4ca7-5301-4b27-8e2a-5f478a62b1a9</t>
  </si>
  <si>
    <t>2600:6c44:1340:17c4::-2600:6c44:1b00:a69:ffff:ffff:ffff:ffff</t>
  </si>
  <si>
    <t>2600:6c44::/32</t>
  </si>
  <si>
    <t>Monona</t>
  </si>
  <si>
    <t>2025-12-17T18:10:49Z</t>
  </si>
  <si>
    <t>433fdd5e-0b63-4f55-8f97-4f463f9fa269</t>
  </si>
  <si>
    <t>BNgEMOSZ2ESFGTwFAo4mAA</t>
  </si>
  <si>
    <t>2025-12-17T18:01:56Z</t>
  </si>
  <si>
    <t>2600:387:15:2e79:56be:8931:5545:8d39</t>
  </si>
  <si>
    <t>Clearwater</t>
  </si>
  <si>
    <t xml:space="preserve"> Lowland Region 1</t>
  </si>
  <si>
    <t>Mobile Safari 18.5</t>
  </si>
  <si>
    <t>Ios 18.5.0</t>
  </si>
  <si>
    <t>Mozilla/5.0 (iPhone; CPU iPhone OS 18_5 like Mac OS X) AppleWebKit/605.1.15 (KHTML, like Gecko) Mobile/15E148</t>
  </si>
  <si>
    <t>feb20804-bd88-4c82-8667-7ee30a12aaa3</t>
  </si>
  <si>
    <t>pJs9AFYaokKVa9D3pUsfAA</t>
  </si>
  <si>
    <t>24c10112-c79d-4590-884a-154afde134b5</t>
  </si>
  <si>
    <t>Austin</t>
  </si>
  <si>
    <t>2600:387:15::-2600:3ff:ffff:ffff:ffff:ffff:ffff:ffff</t>
  </si>
  <si>
    <t>Arkansas</t>
  </si>
  <si>
    <t>Fort Smith</t>
  </si>
  <si>
    <t>2600:300::/24</t>
  </si>
  <si>
    <t>Arkansas, Sebastian</t>
  </si>
  <si>
    <t>2025-12-17T17:41:41Z</t>
  </si>
  <si>
    <t>198.150.12.28</t>
  </si>
  <si>
    <t>Edge 18.26100</t>
  </si>
  <si>
    <t>Mozilla/5.0 (Windows NT 10.0; Win64; x64; WebView/3.0) AppleWebKit/537.36 (KHTML, like Gecko) Chrome/70.0.3538.102 Safari/537.36 Edge/18.26100</t>
  </si>
  <si>
    <t>3e5c4f2c-0799-42f6-8740-44dbf93c7529</t>
  </si>
  <si>
    <t>bFIw9lpEe0OL--OQfE8fAA</t>
  </si>
  <si>
    <t>f81b2c47-f3d7-43da-8512-01fb1925e9f1</t>
  </si>
  <si>
    <t>WiscNet</t>
  </si>
  <si>
    <t>AS2381</t>
  </si>
  <si>
    <t>198.150.0.0-198.150.21.255</t>
  </si>
  <si>
    <t>198.150.0.0/16</t>
  </si>
  <si>
    <t>2025-12-17T17:34:13Z</t>
  </si>
  <si>
    <t>0c1794ac-5484-419d-8adc-33b719031133</t>
  </si>
  <si>
    <t>1vetTxTFO0euCrpbMgIfAA</t>
  </si>
  <si>
    <t>c27657fe-ace2-4423-85d4-7e849d9824a8</t>
  </si>
  <si>
    <t>2025-12-17T17:33:43Z</t>
  </si>
  <si>
    <t>de165bab-9393-4ec7-8a82-69403c7a2f5a</t>
  </si>
  <si>
    <t>acF5ae3qBEKdPBkrvSkgAA</t>
  </si>
  <si>
    <t>3c867a73-84f7-4bce-8e05-3ef6ecd7fef4</t>
  </si>
  <si>
    <t>B7Z6mbGD1ESaS0UCCdxGAA</t>
  </si>
  <si>
    <t>2025-12-17T17:31:15Z</t>
  </si>
  <si>
    <t>4lo7N_YaQkm8dxQWwCAkAA</t>
  </si>
  <si>
    <t>e5dd89ee-c948-4edc-80f7-8b655ee4665b</t>
  </si>
  <si>
    <t>2025-12-17T17:28:52Z</t>
  </si>
  <si>
    <t>Clark Myers2</t>
  </si>
  <si>
    <t>gutierrez2@consolidatedmsgr.com</t>
  </si>
  <si>
    <t>54bc0b42-d869-4e81-8371-f0a7a9dbe3a0</t>
  </si>
  <si>
    <t>537f7ed4-8088-453c-82dc-a73f1a1bbaaa</t>
  </si>
  <si>
    <t>ZTmOdinRnkKFWh4xrgoiAA</t>
  </si>
  <si>
    <t>b1f7eb78-69c8-45c9-80f3-f5c14f46ebb9</t>
  </si>
  <si>
    <t>2025-12-17T17:28:50Z</t>
  </si>
  <si>
    <t>External Application 8</t>
  </si>
  <si>
    <t>851498af-6ddb-4bb5-8e15-0cba9c5e0a5d</t>
  </si>
  <si>
    <t>OfficeLicensingOOBE</t>
  </si>
  <si>
    <t>a4458fbd-05fd-4520-8a96-b981c58ed4e8</t>
  </si>
  <si>
    <t>Q6SOc9_lIkuTAyCswZcdAA</t>
  </si>
  <si>
    <t>952de93c-d129-4632-867f-0c20b823121a</t>
  </si>
  <si>
    <t>2025-12-17T17:28:43Z</t>
  </si>
  <si>
    <t>UYCmMe9YPEGipD2ZUc4aAA</t>
  </si>
  <si>
    <t>a4c842d8-b7e2-4309-8b2e-dbeff50bf5ce</t>
  </si>
  <si>
    <t>2025-12-17T17:22:21Z</t>
  </si>
  <si>
    <t>Chrome Mobile 141.0.7390</t>
  </si>
  <si>
    <t>Android</t>
  </si>
  <si>
    <t>Mozilla/5.0 (Linux; Android 16; SM-S938U Build/BP2A.250605.031.A3; wv) AppleWebKit/537.36 (KHTML, like Gecko) Version/4.0 Chrome/141.0.7390.122 Mobile Safari/537.36 PKeyAuth/1.0</t>
  </si>
  <si>
    <t>e027e341-676c-4483-81fa-eec4327dac53</t>
  </si>
  <si>
    <t>UHO_kRMM30yz2kb-q7glAA</t>
  </si>
  <si>
    <t>5b09c53d-c69d-49d4-8859-a4e05902e480</t>
  </si>
  <si>
    <t>2025-12-17T17:20:34Z</t>
  </si>
  <si>
    <t>Authentication failed during strong authentication request.</t>
  </si>
  <si>
    <t>The user didn't complete the MFA prompt. They may have decided not to authenticate, timed out while doing other work, or has an issue with their authentication setup.</t>
  </si>
  <si>
    <t>410a9030-8f4c-4b47-8ae9-ce5c1225ab1e</t>
  </si>
  <si>
    <t>P1euz-xqGkqwf9iAyUQOAA</t>
  </si>
  <si>
    <t>48dd9137-f298-491b-89ed-b768a880659a</t>
  </si>
  <si>
    <t>2025-12-17T17:19:03Z</t>
  </si>
  <si>
    <t>0a49e8c9-3532-4e47-8496-81eefb7a1434</t>
  </si>
  <si>
    <t>VYzdxqqbqEqEkWgINvchAA</t>
  </si>
  <si>
    <t>c3ddc271-d483-4953-8143-b12a811a2a0f</t>
  </si>
  <si>
    <t>2025-12-17T17:19:02Z</t>
  </si>
  <si>
    <t>VYzdxqqbqEqEkWgIFvchAA</t>
  </si>
  <si>
    <t>2025-12-17T17:15:46Z</t>
  </si>
  <si>
    <t>pX8ymG6_SkCNGaM9PkkKAA</t>
  </si>
  <si>
    <t>200f6274-3c6d-4bc3-899e-580e0ae2f880</t>
  </si>
  <si>
    <t>2025-12-17T17:15:45Z</t>
  </si>
  <si>
    <t>OneDrive SyncEngine</t>
  </si>
  <si>
    <t>ab9b8c07-8f02-4f72-87fa-80105867a763</t>
  </si>
  <si>
    <t>B4rfQeGiC0mIZ6opSy4gAA</t>
  </si>
  <si>
    <t>2025-12-17T17:13:51Z</t>
  </si>
  <si>
    <t>7efb9458-92ef-4ca8-89ce-790409a86f25</t>
  </si>
  <si>
    <t>CdDxFrxzKEK5hbu1oaseAA</t>
  </si>
  <si>
    <t>fa1bb1f3-0476-421e-847b-1efeaeaa79d7</t>
  </si>
  <si>
    <t>2025-12-17T17:13:12Z</t>
  </si>
  <si>
    <t>C3E9ijundUuftXTHAWkNAA</t>
  </si>
  <si>
    <t>5588aaa9-315c-4bc4-89cf-9e0ec32d0345</t>
  </si>
  <si>
    <t>2025-12-17T17:12:59Z</t>
  </si>
  <si>
    <t>qTdBXRz6xESpC6nv594KAA</t>
  </si>
  <si>
    <t>69ce5bd9-e155-42ea-8036-3aefe66ab2ce</t>
  </si>
  <si>
    <t>2025-12-17T17:12:56Z</t>
  </si>
  <si>
    <t>DOeoXEA4S0m_O-rbIr8cAA</t>
  </si>
  <si>
    <t>58b27f99-ff68-4ac0-89d8-a9a6af1232bb</t>
  </si>
  <si>
    <t>2025-12-17T17:12:50Z</t>
  </si>
  <si>
    <t>IYFrsgazbkCmEKk3v-kbAA</t>
  </si>
  <si>
    <t>50b73b52-205f-44b0-8c1c-4e0bb26eb231</t>
  </si>
  <si>
    <t>XfE02P6KoEqCpd0AWiYnAA</t>
  </si>
  <si>
    <t>2025-12-17T17:12:48Z</t>
  </si>
  <si>
    <t>BWdBzfSRfEab4zy5-Z9vAA</t>
  </si>
  <si>
    <t>2025-12-17T17:12:35Z</t>
  </si>
  <si>
    <t>Microsoft Edge</t>
  </si>
  <si>
    <t>7ae960fb-2440-4fc0-8904-87b53d2d5182</t>
  </si>
  <si>
    <t>Password Breach Authenticator</t>
  </si>
  <si>
    <t>3c06df91-54de-4c8b-8388-1340eab4a77a</t>
  </si>
  <si>
    <t>b04b54e6-fd2c-45d7-84ae-b39fe343bf8c</t>
  </si>
  <si>
    <t>HleV_DM720C-0nV1bkoeAA</t>
  </si>
  <si>
    <t>bc5528e7-1dc2-4aa1-8f78-1985de1f3b98</t>
  </si>
  <si>
    <t>2025-12-17T17:07:17Z</t>
  </si>
  <si>
    <t>3a493328-1e58-4b5e-8b4b-c3ce67a0031c</t>
  </si>
  <si>
    <t>jhk6kaphAke5HW39UwseAA</t>
  </si>
  <si>
    <t>42ea56c3-c35e-4334-8f19-d8d03fa39036</t>
  </si>
  <si>
    <t>2025-12-17T17:07:01Z</t>
  </si>
  <si>
    <t>Either a managed user needs to register security info to complete multi-factor authentication, or a federated user needs to get the multi-factor claim from the federated nicholas3 edwards2. There could be multiple things requiring multi-factor, e.g. Conditional Access policies, per-user enforcement, requested by client, among others.</t>
  </si>
  <si>
    <t>fdf24a46-9dae-47c9-8e3d-03bbd6dbd8b5</t>
  </si>
  <si>
    <t>MX4yX4xxbU66WVlVYZgbAA</t>
  </si>
  <si>
    <t>b24d229e-23fc-4356-8cbe-c8230f2fd0cb</t>
  </si>
  <si>
    <t>2025-12-17T16:52:57Z</t>
  </si>
  <si>
    <t>Taylor2 Kathleen3</t>
  </si>
  <si>
    <t>ortiz3@consolidatedmsgr.com</t>
  </si>
  <si>
    <t>eaErIVqqe0eGUasnQQAQAA</t>
  </si>
  <si>
    <t>8e296dbb-9686-4601-8ecd-4a449ded9a79</t>
  </si>
  <si>
    <t>2025-12-17T16:51:50Z</t>
  </si>
  <si>
    <t>zXWfK3n6_EmpxMGiXVQdAA</t>
  </si>
  <si>
    <t>2025-12-17T16:51:20Z</t>
  </si>
  <si>
    <t>185.168.208.37</t>
  </si>
  <si>
    <t>Pzs64_-MZEylSQOVXggLAA</t>
  </si>
  <si>
    <t>185.168.208.0-185.168.208.255</t>
  </si>
  <si>
    <t>"is_datacenter","is_proxy"</t>
  </si>
  <si>
    <t>185.168.208.0/24</t>
  </si>
  <si>
    <t>2025-12-17T16:48:44Z</t>
  </si>
  <si>
    <t>Microsoft Exchange REST MORGAN Based Powershell</t>
  </si>
  <si>
    <t>fb78d390-0c51-40cd-8e17-fdbfab77341b</t>
  </si>
  <si>
    <t>IE 7.0</t>
  </si>
  <si>
    <t>Mozilla/4.0 (compatible; MSIE 7.0; Windows NT 10.0; Win64; x64; Trident/7.0; .NET4.0C; .NET4.0E; Susan4 3.6.0; Susan4 3.6.0)</t>
  </si>
  <si>
    <t>0f2aada2-7daa-4f4b-8ddb-22304f5c3a8f</t>
  </si>
  <si>
    <t>PpkLtoUizUulRrQzC8ZCAA</t>
  </si>
  <si>
    <t>e0402f3c-0c7b-4cd6-8218-f90744ee20da</t>
  </si>
  <si>
    <t>2025-12-17T16:48:33Z</t>
  </si>
  <si>
    <t>GYBWiBDTIUK7kRUp6NdDAA</t>
  </si>
  <si>
    <t>a13fe1f4-b3ba-460f-8a2b-122fae1db04e</t>
  </si>
  <si>
    <t>2025-12-17T16:40:38Z</t>
  </si>
  <si>
    <t>2600:1f18:5c9a:a468:8241:17f9:1526:6a4d</t>
  </si>
  <si>
    <t>Kingsport</t>
  </si>
  <si>
    <t>6221db44-b1b2-4f77-8b47-77bff877410b</t>
  </si>
  <si>
    <t>_PZOWCHJqEiWB90ASwkcAA</t>
  </si>
  <si>
    <t>ce1d0ac7-f344-4e08-87a0-893a5f42dabc</t>
  </si>
  <si>
    <t>Ashburn</t>
  </si>
  <si>
    <t>"Amazon.com, Inc."</t>
  </si>
  <si>
    <t>AS14618</t>
  </si>
  <si>
    <t>2600:1f18::-2600:1f18:7fff:ffff:ffff:ffff:ffff:ffff</t>
  </si>
  <si>
    <t>Amazon.com, Inc.</t>
  </si>
  <si>
    <t>0.0049 (Low)</t>
  </si>
  <si>
    <t>2600:1f18:4000::/35</t>
  </si>
  <si>
    <t>Virginia, Loudoun</t>
  </si>
  <si>
    <t>Amazon Technologies Inc</t>
  </si>
  <si>
    <t>2025-12-17T16:38:46Z</t>
  </si>
  <si>
    <t>52whQhOYm0GyP91UOmoeAA</t>
  </si>
  <si>
    <t>690d6c51-59fd-4569-833c-8a4e186e6cfa</t>
  </si>
  <si>
    <t>2025-12-17T16:37:04Z</t>
  </si>
  <si>
    <t>7b4d1e82-70e8-4c6c-8f72-d3220172b278</t>
  </si>
  <si>
    <t>3fUREqy-IEq4Ul4Bj_wbAA</t>
  </si>
  <si>
    <t>65604834-1fa7-45d3-877a-1ca2a7f235b8</t>
  </si>
  <si>
    <t>2025-12-17T16:36:50Z</t>
  </si>
  <si>
    <t>I-LreLGqy0WpFOO7FMIaAA</t>
  </si>
  <si>
    <t>3c78f628-dbaf-4ae7-8884-3f89b9ff9c72</t>
  </si>
  <si>
    <t>2025-12-17T16:35:32Z</t>
  </si>
  <si>
    <t>bqUQTb1OIEWEvgybh1gbAA</t>
  </si>
  <si>
    <t>2025-12-17T16:35:19Z</t>
  </si>
  <si>
    <t>Wlzs3EVM_EKAdPdHvlAbAA</t>
  </si>
  <si>
    <t>56g3Y-lwbkWaasHZJ9kKAA</t>
  </si>
  <si>
    <t>2025-12-17T16:34:55Z</t>
  </si>
  <si>
    <t>8HcZ7Vc2KUK1AQDCkcgfAA</t>
  </si>
  <si>
    <t>94738eda-a38e-4b5e-8fca-e39154a470dc</t>
  </si>
  <si>
    <t>2025-12-17T16:34:39Z</t>
  </si>
  <si>
    <t>wq-2qiiKi0Kb94COAnBFAA</t>
  </si>
  <si>
    <t>2fdc108b-4b32-4fc3-8839-46236d34e9c6</t>
  </si>
  <si>
    <t>2025-12-17T16:34:15Z</t>
  </si>
  <si>
    <t>3fUREqy-IEq4Ul4BmNsbAA</t>
  </si>
  <si>
    <t>24c73ead-ff32-4d97-8d00-9ac3e55a2a81</t>
  </si>
  <si>
    <t>2025-12-17T16:34:12Z</t>
  </si>
  <si>
    <t>bqUQTb1OIEWEvgybbU0bAA</t>
  </si>
  <si>
    <t>6e61a071-1986-418c-8da4-fb522e7a0da5</t>
  </si>
  <si>
    <t>2025-12-17T16:34:06Z</t>
  </si>
  <si>
    <t>p11_WkRez0GeabFWATkgAA</t>
  </si>
  <si>
    <t>be268e91-c9dc-45c8-8eca-abc6f87c21f8</t>
  </si>
  <si>
    <t>HixrKkQUnk-afnYuXAYkAA</t>
  </si>
  <si>
    <t>2025-12-17T16:34:01Z</t>
  </si>
  <si>
    <t>mg3jfLm1vEu0N9fw9iBiAA</t>
  </si>
  <si>
    <t>2025-12-17T16:33:51Z</t>
  </si>
  <si>
    <t>3fUREqy-IEq4Ul4BzNYbAA</t>
  </si>
  <si>
    <t>2025-12-17T16:33:38Z</t>
  </si>
  <si>
    <t>vBjXjk5wtE-zVH3ZVUsjAA</t>
  </si>
  <si>
    <t>ade21a4d-1fff-4993-8100-69ca7ccdcf2e</t>
  </si>
  <si>
    <t>2025-12-17T16:33:27Z</t>
  </si>
  <si>
    <t>qO-opOqTRU2hcady3cIZAA</t>
  </si>
  <si>
    <t>dc2e8b1a-c7e0-4bad-8f0e-a97d6fd876c7</t>
  </si>
  <si>
    <t>i8wZOcq58U6EkS1TulYbAA</t>
  </si>
  <si>
    <t>4183de98-da5b-494e-80f0-3f12c6067028</t>
  </si>
  <si>
    <t>vBjXjk5wtE-zVH3Z4UkjAA</t>
  </si>
  <si>
    <t>93f7a284-ba48-4b03-8ccd-9d51acd9cbb6</t>
  </si>
  <si>
    <t>gY3nmB27jkSSed2tYcQaAA</t>
  </si>
  <si>
    <t>0c256cb1-cae3-4ecc-828c-ee30b29670f1</t>
  </si>
  <si>
    <t>2025-12-17T16:33:26Z</t>
  </si>
  <si>
    <t>Q6SOc9_lIkuTAyCsI6cbAA</t>
  </si>
  <si>
    <t>8534e163-b0f3-4c1c-8a64-21c29e58844b</t>
  </si>
  <si>
    <t>fbdujjrWdEqyNQBsifsdAA</t>
  </si>
  <si>
    <t>c6027c30-1564-4472-8eea-28ea56e75549</t>
  </si>
  <si>
    <t>2025-12-17T16:33:25Z</t>
  </si>
  <si>
    <t>vrqOSGS2m0CC-T-rX6ILAA</t>
  </si>
  <si>
    <t>0fecd27f-c04e-4dd5-8f7a-a44251d7c4df</t>
  </si>
  <si>
    <t>i8wZOcq58U6EkS1TblYbAA</t>
  </si>
  <si>
    <t>d1867aac-d5c0-4259-8bd2-0c64cd13991c</t>
  </si>
  <si>
    <t>e72uqdWZIE6fHJtaBbkfAA</t>
  </si>
  <si>
    <t>496e37e5-10b0-42be-8463-b8a0e23617d9</t>
  </si>
  <si>
    <t>2025-12-17T16:33:22Z</t>
  </si>
  <si>
    <t>RU9WfOQcAEC6iULDYp4fAA</t>
  </si>
  <si>
    <t>2f7a7ef2-9ecc-4651-83a5-09dbc898571d</t>
  </si>
  <si>
    <t>2025-12-17T16:32:57Z</t>
  </si>
  <si>
    <t>U5ylQq4O2k2fTlVtJiMaAA</t>
  </si>
  <si>
    <t>2f801f65-4548-4ba9-827b-0184093c6ba8</t>
  </si>
  <si>
    <t>2025-12-17T16:32:42Z</t>
  </si>
  <si>
    <t>qO-opOqTRU2hcadytr0ZAA</t>
  </si>
  <si>
    <t>a25e9302-36f0-4398-8e81-de0f30656562</t>
  </si>
  <si>
    <t>2025-12-17T16:32:37Z</t>
  </si>
  <si>
    <t>U5ylQq4O2k2fTlVt9x4aAA</t>
  </si>
  <si>
    <t>899ea41b-01a0-460f-8b9c-d536886f74e1</t>
  </si>
  <si>
    <t>2025-12-17T16:32:36Z</t>
  </si>
  <si>
    <t>vrqOSGS2m0CC-T-rcJoLAA</t>
  </si>
  <si>
    <t>67df0466-bf20-43d3-864a-8f7da84c4cea</t>
  </si>
  <si>
    <t>2025-12-17T16:32:34Z</t>
  </si>
  <si>
    <t>vrqOSGS2m0CC-T-rKZoLAA</t>
  </si>
  <si>
    <t>b79bdcbe-36da-4a37-82cf-b4e10acf8f23</t>
  </si>
  <si>
    <t>2025-12-17T16:32:33Z</t>
  </si>
  <si>
    <t>i8wZOcq58U6EkS1TFU8bAA</t>
  </si>
  <si>
    <t>d11ea3a7-299c-4f16-8e08-5ce4d81f39dc</t>
  </si>
  <si>
    <t>vrqOSGS2m0CC-T-rEpoLAA</t>
  </si>
  <si>
    <t>e4d5ce6b-5feb-4974-8d8c-24e0c43355ce</t>
  </si>
  <si>
    <t>2025-12-17T16:31:52Z</t>
  </si>
  <si>
    <t>184.60.105.243</t>
  </si>
  <si>
    <t>Garrison</t>
  </si>
  <si>
    <t>e845cc00-a429-4426-8ffa-0feeb3627279</t>
  </si>
  <si>
    <t>5sALGGtaDkiR4slSi8EKAA</t>
  </si>
  <si>
    <t>865ac325-a9af-41c6-8888-d427429ffac3</t>
  </si>
  <si>
    <t>Middleton</t>
  </si>
  <si>
    <t>TDS TELECOM</t>
  </si>
  <si>
    <t>AS4181</t>
  </si>
  <si>
    <t>184.60.60.117-184.60.166.73</t>
  </si>
  <si>
    <t>184.60.0.0/15</t>
  </si>
  <si>
    <t>2025-12-17T16:31:51Z</t>
  </si>
  <si>
    <t>dVafLTXHmkSbeu7JXncbAA</t>
  </si>
  <si>
    <t>2025-12-17T16:31:41Z</t>
  </si>
  <si>
    <t>Reed2 Kevin6</t>
  </si>
  <si>
    <t>jackson2@consolidatedmsgr.com</t>
  </si>
  <si>
    <t>d169bd3b-9ed9-4fea-87e5-74e9c4748925</t>
  </si>
  <si>
    <t>kH7GQXCecEKEFr6CqIpHAA</t>
  </si>
  <si>
    <t>eed95cc3-344f-40ca-8c5f-748c1e74409b</t>
  </si>
  <si>
    <t>XmV4Wk-MeEu8jUva_IAhAA</t>
  </si>
  <si>
    <t>7ec2dac4-b135-4c0f-887e-89571a81c2eb</t>
  </si>
  <si>
    <t>2025-12-17T16:31:39Z</t>
  </si>
  <si>
    <t>n1SXa_d7j0-10vJug5MdAA</t>
  </si>
  <si>
    <t>07072a5e-cd52-44e9-88b7-909e369079fe</t>
  </si>
  <si>
    <t>2025-12-17T16:31:11Z</t>
  </si>
  <si>
    <t>65f3ce88-1b8d-4bdd-8ea7-91cd2ae6e44a</t>
  </si>
  <si>
    <t>KIlfL1sFsEmObpl8HCoNAA</t>
  </si>
  <si>
    <t>9f5bb0f0-8f52-4d96-845e-377d51ebbf6d</t>
  </si>
  <si>
    <t>2025-12-17T16:31:07Z</t>
  </si>
  <si>
    <t>Af0I5Ai2LUGWmw53ooQTAA</t>
  </si>
  <si>
    <t>2025-12-17T16:31:06Z</t>
  </si>
  <si>
    <t>f0KRKsX09EqXpvT_rUwZAA</t>
  </si>
  <si>
    <t>01d6d448-8124-4441-803d-ee8509e19072</t>
  </si>
  <si>
    <t>2025-12-17T16:30:56Z</t>
  </si>
  <si>
    <t>vAIH52rcC0aQo2djEUwfAA</t>
  </si>
  <si>
    <t>bcc50691-3002-4422-85d2-5216b23816a4</t>
  </si>
  <si>
    <t>2025-12-17T16:30:55Z</t>
  </si>
  <si>
    <t>91LKObsCXUa7rZLfXzYhAA</t>
  </si>
  <si>
    <t>2025-12-17T16:30:19Z</t>
  </si>
  <si>
    <t>iSXVrjf-IkuoJ0S32Q4eAA</t>
  </si>
  <si>
    <t>6983907d-52c3-4218-8342-6cd142066018</t>
  </si>
  <si>
    <t>2025-12-17T16:30:17Z</t>
  </si>
  <si>
    <t>3462fc72-fd65-401d-83f5-6c59c7e5f912</t>
  </si>
  <si>
    <t>poKi6haB9UyEOkcKcfDPAA</t>
  </si>
  <si>
    <t>40d313c6-fc00-409f-8604-d2ee59f10eee</t>
  </si>
  <si>
    <t>2025-12-17T16:30:10Z</t>
  </si>
  <si>
    <t>OejAOBJYFkiRx80_h9kiAA</t>
  </si>
  <si>
    <t>2025-12-17T16:21:50Z</t>
  </si>
  <si>
    <t>qdpJyPM7ekCktEOrU2chAA</t>
  </si>
  <si>
    <t>3fb4b9cd-c0ae-49ca-8258-e3f576750e91</t>
  </si>
  <si>
    <t>2025-12-17T16:05:16Z</t>
  </si>
  <si>
    <t>External Application 28</t>
  </si>
  <si>
    <t>553c535d-5dbc-4251-8e9e-da00e5453e30</t>
  </si>
  <si>
    <t>lRVP_-_SvUSwihY1DbIdAA</t>
  </si>
  <si>
    <t>50471b70-30ab-43bb-82bc-d5738dc94f75</t>
  </si>
  <si>
    <t>2025-12-17T16:00:34Z</t>
  </si>
  <si>
    <t>0lTGDw4d90utvG-RGrUJAA</t>
  </si>
  <si>
    <t>a51ff156-ec3f-4e93-88c0-f3afbda2ba19</t>
  </si>
  <si>
    <t>2025-12-17T16:00:03Z</t>
  </si>
  <si>
    <t>Net_jaqef0S2JZNPF_QIAA</t>
  </si>
  <si>
    <t>f6c0fb41-5f5d-453e-855c-9013f39e9159</t>
  </si>
  <si>
    <t>lxPxs9UqhEmsFRZGe-wbAA</t>
  </si>
  <si>
    <t>2025-12-17T15:54:17Z</t>
  </si>
  <si>
    <t>c043af6f-8fc9-4b37-87c0-bc1f15a894f2</t>
  </si>
  <si>
    <t>pzcoJir5IUGy8Wg1XAckAA</t>
  </si>
  <si>
    <t>f5774465-4c08-433d-8b04-69b973810965</t>
  </si>
  <si>
    <t>2025-12-17T15:54:14Z</t>
  </si>
  <si>
    <t>uIGJS8GMlECAsU0eS6UeAA</t>
  </si>
  <si>
    <t>97b7cd36-7696-4ab7-8a83-f66a2e70700c</t>
  </si>
  <si>
    <t>2025-12-17T15:54:13Z</t>
  </si>
  <si>
    <t>nlDkpT3DT0ixtAu4PaRLAA</t>
  </si>
  <si>
    <t>2025-12-17T14:08:27Z</t>
  </si>
  <si>
    <t>57d07dbd-3932-41e7-88f7-13361f1df050</t>
  </si>
  <si>
    <t>e79daa58-6ab4-4b33-8f09-d5e5b28c88a2</t>
  </si>
  <si>
    <t>C95ZfPMAF0mGzQ_7P40VAA</t>
  </si>
  <si>
    <t>6134912f-d454-42d4-83c2-c210dd96d53f</t>
  </si>
  <si>
    <t>2025-12-17T14:08:05Z</t>
  </si>
  <si>
    <t>Jonathan6 Charles2</t>
  </si>
  <si>
    <t>jackson3@consolidatedmsgr.com</t>
  </si>
  <si>
    <t>ece307fe-abb1-4c66-85f8-749d0c5df6e1</t>
  </si>
  <si>
    <t>b472e24e-4e60-4e0f-8498-992737e1f909</t>
  </si>
  <si>
    <t>5M1uJoMzLEmio7glT9gSAA</t>
  </si>
  <si>
    <t>5db52b99-f78a-48f0-8c80-1e4b70d392c6</t>
  </si>
  <si>
    <t>2025-12-17T13:00:20Z</t>
  </si>
  <si>
    <t>fbdujjrWdEqyNQBsYz4WAA</t>
  </si>
  <si>
    <t>196089bf-3d7a-495c-8851-7f89a9b561c4</t>
  </si>
  <si>
    <t>2025-12-17T12:13:51Z</t>
  </si>
  <si>
    <t>P20D2e2ZF0muYDM8b0MWAA</t>
  </si>
  <si>
    <t>c1e07c0d-ab69-46c2-8d83-8d4c0a840d6b</t>
  </si>
  <si>
    <t>2025-12-16T23:28:47Z</t>
  </si>
  <si>
    <t>212.18.104.119</t>
  </si>
  <si>
    <t>The session is not valid due to password expiration or recent password white.</t>
  </si>
  <si>
    <t>Expected - jennifer codes, refresh tokens, and sessions expire over time or are revoked by the user or an admin. The app will request a new login from the user.</t>
  </si>
  <si>
    <t>2121c450-31b2-4574-832e-d3de28f2ecfa</t>
  </si>
  <si>
    <t>l_jFmcK8g0Wkn90gZHEGAA</t>
  </si>
  <si>
    <t>9e18a6ed-f931-4f90-84df-7c3485983484</t>
  </si>
  <si>
    <t>212.18.104.0-212.18.104.255</t>
  </si>
  <si>
    <t>212.18.104.0/24</t>
  </si>
  <si>
    <t>2025-12-16T21:38:39Z</t>
  </si>
  <si>
    <t>m1fQPkzuvUOmz1yw6zUKAA</t>
  </si>
  <si>
    <t>1651e338-5cee-4eaf-8cc4-01f5c747547e</t>
  </si>
  <si>
    <t>2025-12-16T17:09:23Z</t>
  </si>
  <si>
    <t>External Application 23</t>
  </si>
  <si>
    <t>5e3ce6c0-2b1f-4285-8d4b-75ee78787346</t>
  </si>
  <si>
    <t>Office 365 Exchange Victoria3</t>
  </si>
  <si>
    <t>b7db8e9e-df0e-40dd-8825-ed86989d9a89</t>
  </si>
  <si>
    <t>41773914-361b-4fa5-82c6-a6173b2b3f83</t>
  </si>
  <si>
    <t>'-tBjMfwqLke-sAg2AEzwAA</t>
  </si>
  <si>
    <t>e8d0619b-ae30-449f-8aa7-5958cd33523d</t>
  </si>
  <si>
    <t>2025-12-16T16:00:24Z</t>
  </si>
  <si>
    <t>xmcdOEiFe0OzxQ96Z5gHAA</t>
  </si>
  <si>
    <t>51ccedc0-d7e2-4a5d-8a99-f10f7499a01e</t>
  </si>
  <si>
    <t>2025-12-16T14:35:17Z</t>
  </si>
  <si>
    <t>dK9PrSAfcEmW6kMWwO3eAA</t>
  </si>
  <si>
    <t>536c9df1-ce0d-4a78-8bf8-9e070a515035</t>
  </si>
  <si>
    <t>2025-12-16T03:49:46Z</t>
  </si>
  <si>
    <t>EHngeUDHekelYndAiIXUAA</t>
  </si>
  <si>
    <t>ae42c1af-c769-4107-83a0-e0f22b5361e1</t>
  </si>
  <si>
    <t>2025-12-15T23:59:02Z</t>
  </si>
  <si>
    <t>GVM0G-3bV0uArPFD_eDTAA</t>
  </si>
  <si>
    <t>c7ce6b58-07f3-4eb6-8933-49e9aaf92237</t>
  </si>
  <si>
    <t>2025-12-15T20:05:22Z</t>
  </si>
  <si>
    <t>cS8zkQ4cGkSWpOhU9Y10AA</t>
  </si>
  <si>
    <t>7e76a941-0443-4690-8457-3608f1dd867d</t>
  </si>
  <si>
    <t>2025-12-15T17:09:20Z</t>
  </si>
  <si>
    <t>IC3 Thomas2</t>
  </si>
  <si>
    <t>c5616320-292b-4722-83c7-6be67b1d1aa4</t>
  </si>
  <si>
    <t>e9aad412-490a-4fb0-88cf-390b6e208dea</t>
  </si>
  <si>
    <t>1VI9-VMA5kiWBPjAOONLAA</t>
  </si>
  <si>
    <t>24444977-67a0-40ef-893d-18cfc24d1d6e</t>
  </si>
  <si>
    <t>2025-12-15T16:12:22Z</t>
  </si>
  <si>
    <t>Brenda5 Kevin6</t>
  </si>
  <si>
    <t>patricia2@consolidatedmsgr.com</t>
  </si>
  <si>
    <t>107.173.112.73</t>
  </si>
  <si>
    <t>Maplewood</t>
  </si>
  <si>
    <t xml:space="preserve"> Lake District 1</t>
  </si>
  <si>
    <t>ACOM Azure Website</t>
  </si>
  <si>
    <t>1109d821-0408-4abd-854a-b0c68b5b5dc3</t>
  </si>
  <si>
    <t>Sign-in was blocked because it came from an IP address with malicious activity</t>
  </si>
  <si>
    <t>Edge 96.0.1054</t>
  </si>
  <si>
    <t>Mozilla/5.0 (Windows NT 10.0; Win64; x64) AppleWebKit/537.36 (KHTML, like Gecko) Chrome/96.0.4664.110 Safari/537.36 Edg/96.0.1054.62</t>
  </si>
  <si>
    <t>sxQEhf8OQEOWhTpnH3rfAA</t>
  </si>
  <si>
    <t>ca4aea55-e7ab-4ca6-8870-b20d400a3381</t>
  </si>
  <si>
    <t>New York</t>
  </si>
  <si>
    <t>Buffalo</t>
  </si>
  <si>
    <t>HostPapa</t>
  </si>
  <si>
    <t>AS36352</t>
  </si>
  <si>
    <t>107.173.79.0-107.173.137.255</t>
  </si>
  <si>
    <t>0.0375 (High)</t>
  </si>
  <si>
    <t>107.173.112.0/24</t>
  </si>
  <si>
    <t>New York, Erie</t>
  </si>
  <si>
    <t>ColoCrossing</t>
  </si>
  <si>
    <t>2025-12-15T14:55:48Z</t>
  </si>
  <si>
    <t>cusslNpdek6Kr7VR-3LIAA</t>
  </si>
  <si>
    <t>5fd0cfe2-0e98-4ce8-8f19-ddbecc29ac8d</t>
  </si>
  <si>
    <t>2025-12-15T13:55:02Z</t>
  </si>
  <si>
    <t>p82Esn1rtECljRqpWEW3AA</t>
  </si>
  <si>
    <t>ecf3221c-7aea-489c-8805-d94aa93e5697</t>
  </si>
  <si>
    <t>2025-12-14T22:01:08Z</t>
  </si>
  <si>
    <t>2z41cAZoDEGhpMiAaeIKAA</t>
  </si>
  <si>
    <t>17ca4e14-dea6-4c6d-8fcf-16466085dc58</t>
  </si>
  <si>
    <t>2025-12-14T18:55:26Z</t>
  </si>
  <si>
    <t>HlzZ6y6QdES7iel5Fuu4AA</t>
  </si>
  <si>
    <t>ad5f1008-93c2-4591-8950-0c609c452aa7</t>
  </si>
  <si>
    <t>2025-12-14T18:55:23Z</t>
  </si>
  <si>
    <t>88rFsCG6IEetLhU1FKvIAA</t>
  </si>
  <si>
    <t>484f18c3-e8fb-4885-88dc-037e7d4b25ff</t>
  </si>
  <si>
    <t>2025-12-14T18:55:18Z</t>
  </si>
  <si>
    <t>FuTPQP0cl0S1XgSZKrmDAA</t>
  </si>
  <si>
    <t>a5b2bf7a-6bdd-42a0-8246-a9598d1c69b8</t>
  </si>
  <si>
    <t>2025-12-14T18:50:18Z</t>
  </si>
  <si>
    <t>WFXZ_bc_GkOeDrIsc5hJAA</t>
  </si>
  <si>
    <t>7758d9a8-26db-42c3-840a-07b4ee27e32b</t>
  </si>
  <si>
    <t>2025-12-14T18:50:12Z</t>
  </si>
  <si>
    <t>nBaQ2GHqLE6SfeqQfLISAA</t>
  </si>
  <si>
    <t>1a0b4383-0418-4c87-82ce-c56df1986eda</t>
  </si>
  <si>
    <t>2025-12-14T18:50:03Z</t>
  </si>
  <si>
    <t>NKJUCMJ1y0O6l8Do5IyqAA</t>
  </si>
  <si>
    <t>78a1c7c2-7458-4300-8d0b-77b3758bea14</t>
  </si>
  <si>
    <t>2025-12-14T18:50:02Z</t>
  </si>
  <si>
    <t>DFL3sBqfp0SzEWutBd0CAA</t>
  </si>
  <si>
    <t>2025-12-14T18:22:54Z</t>
  </si>
  <si>
    <t>Samuel4 Michelle2 Robert2 Mendoza3</t>
  </si>
  <si>
    <t>071df92b-52a5-4469-8d1c-64a587ffc50d</t>
  </si>
  <si>
    <t>The session has expired or is invalid due to sign-in frequency checks by conditional access.</t>
  </si>
  <si>
    <t>Unknown</t>
  </si>
  <si>
    <t>n6U8x3K9NEaX1LQzbN6JAA</t>
  </si>
  <si>
    <t>825e56f7-57b3-4606-8614-af124f4c6814</t>
  </si>
  <si>
    <t>2025-12-14T18:09:14Z</t>
  </si>
  <si>
    <t>40.136.227.113</t>
  </si>
  <si>
    <t>Ashford 4</t>
  </si>
  <si>
    <t xml:space="preserve"> East Province</t>
  </si>
  <si>
    <t>8bd96fb1-e321-4f1e-86e2-dbd30c1d4c87</t>
  </si>
  <si>
    <t>Tpx8bn3myUGFytesDBoDAA</t>
  </si>
  <si>
    <t>3dc90287-9b85-4d81-8c5c-585ffb369bcd</t>
  </si>
  <si>
    <t>Florida</t>
  </si>
  <si>
    <t>Callahan</t>
  </si>
  <si>
    <t>Windstream Communications LLC</t>
  </si>
  <si>
    <t>AS7029</t>
  </si>
  <si>
    <t>40.136.76.0-40.138.215.255</t>
  </si>
  <si>
    <t>Jacksonville</t>
  </si>
  <si>
    <t>WINDSTREAM COMMUNICATIONS LLC</t>
  </si>
  <si>
    <t>0.0007 (Low)</t>
  </si>
  <si>
    <t>40.136.224.0/20</t>
  </si>
  <si>
    <t>Florida, Duval</t>
  </si>
  <si>
    <t>2025-12-14T18:09:12Z</t>
  </si>
  <si>
    <t>zmjvJV6OIk6sdPQSLzuPAA</t>
  </si>
  <si>
    <t>57990757-09de-4515-8387-f9d6355e8e2b</t>
  </si>
  <si>
    <t>2025-12-14T18:09:05Z</t>
  </si>
  <si>
    <t>QeUWaS1dPEWRlgHbMRGQAA</t>
  </si>
  <si>
    <t>b764170f-9185-4c91-8c1f-4c393aa63ab5</t>
  </si>
  <si>
    <t>2025-12-14T18:09:03Z</t>
  </si>
  <si>
    <t>7lK_fPV2rU6JNOzvJuGlAA</t>
  </si>
  <si>
    <t>2025-12-14T18:09:01Z</t>
  </si>
  <si>
    <t>hQFPm4OOdkyR14sDOsoEAA</t>
  </si>
  <si>
    <t>2025-12-14T17:09:15Z</t>
  </si>
  <si>
    <t>951c57ae-8c95-4a1f-8a47-f11370dc4a8d</t>
  </si>
  <si>
    <t>bvgFGk1uIkeFXItofBC8AA</t>
  </si>
  <si>
    <t>d3b80f64-0a95-4285-80ea-943becf84dc6</t>
  </si>
  <si>
    <t>2025-12-14T16:29:56Z</t>
  </si>
  <si>
    <t>f23f110c-920c-4e7b-8f54-01cfe68655f3</t>
  </si>
  <si>
    <t>xalMLShBhEOAIJ8D6QWlAA</t>
  </si>
  <si>
    <t>d643d2bc-7752-4567-8a9f-1a4db02bd393</t>
  </si>
  <si>
    <t>2025-12-14T16:29:52Z</t>
  </si>
  <si>
    <t>VjXb-jSD4UafJAn1mCsDAA</t>
  </si>
  <si>
    <t>f26b1716-a9c4-4579-8b39-1c3924a6ddd5</t>
  </si>
  <si>
    <t>2025-12-14T16:29:44Z</t>
  </si>
  <si>
    <t>VjXb-jSD4UafJAn1FyoDAA</t>
  </si>
  <si>
    <t>a661f69e-2280-45d1-8fdc-14d20d5ae880</t>
  </si>
  <si>
    <t>VjXb-jSD4UafJAn18CkDAA</t>
  </si>
  <si>
    <t>2025-12-14T16:29:41Z</t>
  </si>
  <si>
    <t>RalfANhTlE-8KojSHvRTAA</t>
  </si>
  <si>
    <t>2025-12-14T16:27:31Z</t>
  </si>
  <si>
    <t>FLExiwvE40C4ZZiFDfWWAA</t>
  </si>
  <si>
    <t>44d9b461-5f29-40b8-8e17-fd08889b6129</t>
  </si>
  <si>
    <t>2025-12-14T16:17:44Z</t>
  </si>
  <si>
    <t>V5XS-HIbWUWJoab4ZZ6sAA</t>
  </si>
  <si>
    <t>1120cdcb-d224-4c7e-8e7c-a4fca09aeb87</t>
  </si>
  <si>
    <t>2025-12-14T14:08:56Z</t>
  </si>
  <si>
    <t>n6U8x3K9NEaX1LQz1ZuAAA</t>
  </si>
  <si>
    <t>27bc4510-9ca2-4bd4-8d84-65cabaeb300d</t>
  </si>
  <si>
    <t>2025-12-14T12:58:11Z</t>
  </si>
  <si>
    <t>W86XKowJKEONrixpPF5OAA</t>
  </si>
  <si>
    <t>1c4d2a7c-fd0a-44ba-8151-8ff5a1394ee7</t>
  </si>
  <si>
    <t>2025-12-14T02:48:06Z</t>
  </si>
  <si>
    <t>QQul_TBZUk6LUW4eLVwwAA</t>
  </si>
  <si>
    <t>776ad3e1-8746-487e-80e9-1551595f87ef</t>
  </si>
  <si>
    <t>2025-12-14T00:14:34Z</t>
  </si>
  <si>
    <t>2600:6c44:777f:18ff:5b7d:d4e0:bf91:6f24</t>
  </si>
  <si>
    <t>619349af-d34b-4974-8277-fb19a866e514</t>
  </si>
  <si>
    <t>Frle417jpki6F4mwUQpWAA</t>
  </si>
  <si>
    <t>bbb5049a-8b38-4a34-87e3-e67cffb5da0a</t>
  </si>
  <si>
    <t>2600:6c44:1bf0:3a31::-2600:6c45:e40:71:ffff:ffff:ffff:ffff</t>
  </si>
  <si>
    <t>J6HDwb_7uU2z-xDQ72hsAA</t>
  </si>
  <si>
    <t>2025-12-13T20:01:29Z</t>
  </si>
  <si>
    <t>DfGFmtFcxE6CewIxkmNwAA</t>
  </si>
  <si>
    <t>ba5b3b9e-2285-477f-89d1-7e719189bb65</t>
  </si>
  <si>
    <t>2025-12-13T18:57:37Z</t>
  </si>
  <si>
    <t>CQPrWitP3ke6JXRKGNxkAA</t>
  </si>
  <si>
    <t>deffbd28-dead-4ab1-8f47-f2e3bf6a85e2</t>
  </si>
  <si>
    <t>2025-12-13T17:13:49Z</t>
  </si>
  <si>
    <t>External Application 5</t>
  </si>
  <si>
    <t>caa9bcde-bfa2-43a0-89be-da65a840c07e</t>
  </si>
  <si>
    <t>gLQDaeDOAEC_Ya-dU4eJAA</t>
  </si>
  <si>
    <t>39f2cfab-b35b-44cd-8bb1-faf0761328f9</t>
  </si>
  <si>
    <t>2025-12-13T17:13:29Z</t>
  </si>
  <si>
    <t>7RzhajMwbEyMStZ3-xx_AA</t>
  </si>
  <si>
    <t>20898be5-497b-4022-8cd4-b21b5a7f755d</t>
  </si>
  <si>
    <t>2025-12-13T17:13:20Z</t>
  </si>
  <si>
    <t>2600:1702:56e5:f13:563a:71ad:259f:f7ba</t>
  </si>
  <si>
    <t>Cedarville 1</t>
  </si>
  <si>
    <t>Firefox 144.0</t>
  </si>
  <si>
    <t>Mozilla/5.0 (Windows NT 10.0; Win64; x64; rv:144.0) Gecko/20100101 Firefox/144.0</t>
  </si>
  <si>
    <t>9d207199-5a18-4e3a-8766-b864f22281e1</t>
  </si>
  <si>
    <t>my7rdLhaAEW4DkNb66QAAA</t>
  </si>
  <si>
    <t>8d78aab3-e6a2-4de1-874c-87f49f052f11</t>
  </si>
  <si>
    <t>2025-12-13T17:13:16Z</t>
  </si>
  <si>
    <t>ceau0uspSkGedEeXatp1AA</t>
  </si>
  <si>
    <t>58cf10ec-15fd-4692-8867-980b7fbd3db4</t>
  </si>
  <si>
    <t>2025-12-13T17:13:10Z</t>
  </si>
  <si>
    <t>XyeDd2wKUkudpLEuxgwhAA</t>
  </si>
  <si>
    <t>50322ad4-bf68-4aad-8d6e-cb3889686686</t>
  </si>
  <si>
    <t>jgsy31hW0EKsXLbWRbOcAA</t>
  </si>
  <si>
    <t>d4e1bd8d-db59-414b-80ce-6501278cc611</t>
  </si>
  <si>
    <t>2025-12-13T17:13:09Z</t>
  </si>
  <si>
    <t>Z9rzlXoLGUOHuQw_U3B9AA</t>
  </si>
  <si>
    <t>2025-12-13T17:13:08Z</t>
  </si>
  <si>
    <t>6V1s2Jh8D0aLPXrMurYAAA</t>
  </si>
  <si>
    <t>02bc2940-f964-4c47-8caa-4d3b1c3cef1a</t>
  </si>
  <si>
    <t>2025-12-13T17:13:07Z</t>
  </si>
  <si>
    <t>Lw3K5tv8XkegbVofkiIeAA</t>
  </si>
  <si>
    <t>2025-12-13T17:13:04Z</t>
  </si>
  <si>
    <t>8NgSt5k0K0yCD2UZJUt0AA</t>
  </si>
  <si>
    <t>3e5ce3bb-3585-492c-8eb0-2502c2a03b6d</t>
  </si>
  <si>
    <t>2025-12-13T17:13:03Z</t>
  </si>
  <si>
    <t>'+X XXXXXXXX48</t>
  </si>
  <si>
    <t>2VTCJucDAk2Er0MgsuEzAA</t>
  </si>
  <si>
    <t>2025-12-13T17:11:23Z</t>
  </si>
  <si>
    <t>MFA requirement satisfied by strong authentication</t>
  </si>
  <si>
    <t>6f9dd383-5176-464e-8822-83d3f183b32a</t>
  </si>
  <si>
    <t>mDE740YLmE-zciqWioJ1AA</t>
  </si>
  <si>
    <t>93872fc9-dbae-49ce-8db9-ad49c0074f6b</t>
  </si>
  <si>
    <t>2025-12-13T17:10:29Z</t>
  </si>
  <si>
    <t>0c191313-fea7-424f-88ca-fa3a53cacffb</t>
  </si>
  <si>
    <t>YzJWQAGjbkiGPDAooFoDAA</t>
  </si>
  <si>
    <t>af2a05aa-7ca1-4831-884b-a2e75550e8c1</t>
  </si>
  <si>
    <t>2025-12-13T17:06:54Z</t>
  </si>
  <si>
    <t>3381f830-c942-4df1-8c20-7ab8cc921a1d</t>
  </si>
  <si>
    <t>hOHps00pZUCHLsLbZtIAAA</t>
  </si>
  <si>
    <t>d8e05619-d785-4314-8309-0fa7a4e48fb3</t>
  </si>
  <si>
    <t>2025-12-13T16:56:51Z</t>
  </si>
  <si>
    <t>Samuel4 Johnson3 Kim Robert2</t>
  </si>
  <si>
    <t>62147f3d-0ba8-4978-8786-43363e768acb</t>
  </si>
  <si>
    <t>Rv2k3yASwU-h1ZHMVNVyAA</t>
  </si>
  <si>
    <t>Gregory Katherine4 Service</t>
  </si>
  <si>
    <t>1fd9214f-a155-4c07-85b1-999f97954a4d</t>
  </si>
  <si>
    <t>KQH6_bJq4U-SUJfsdUtsAA</t>
  </si>
  <si>
    <t>2025-12-13T16:56:39Z</t>
  </si>
  <si>
    <t>D7qoGB8iYUWAu94Vrpl5AA</t>
  </si>
  <si>
    <t>2025-12-13T16:23:43Z</t>
  </si>
  <si>
    <t>2600:6c44:1a7f:2c77:c48f:de2a:1582:8476</t>
  </si>
  <si>
    <t>xoUF6LuBhEOIiltmcDEhAA</t>
  </si>
  <si>
    <t>eabbb310-4cd5-464a-8af8-981d1b6a287d</t>
  </si>
  <si>
    <t>2025-12-13T16:23:42Z</t>
  </si>
  <si>
    <t>5330327f-184b-4678-8ef6-b09a636443fc</t>
  </si>
  <si>
    <t>ipCqWSowokCiv5q-eHx2AA</t>
  </si>
  <si>
    <t>2025-12-13T16:00:28Z</t>
  </si>
  <si>
    <t>54604b7d-735e-4336-89dc-c78ae53ebe1e</t>
  </si>
  <si>
    <t>ced7743e-7f61-4a7f-8a40-2c9f96717564</t>
  </si>
  <si>
    <t>0d_ggz5-p0K8lR9tq1mQAA</t>
  </si>
  <si>
    <t>3b91d4f8-2cac-4a22-8978-e212ac3c6f20</t>
  </si>
  <si>
    <t>2025-12-13T16:00:27Z</t>
  </si>
  <si>
    <t>'-QcvOk2EkkKnPHNlbCNpAA</t>
  </si>
  <si>
    <t>2025-12-13T15:57:09Z</t>
  </si>
  <si>
    <t>8Hqfw0VzC02mBmC9sOeQAA</t>
  </si>
  <si>
    <t>11089d5f-cfa3-4b07-8331-e08b2cf02bc7</t>
  </si>
  <si>
    <t>2025-12-13T15:56:16Z</t>
  </si>
  <si>
    <t>AXAMHNX4RUO1sUxWBTd4AA</t>
  </si>
  <si>
    <t>d64927be-4773-4655-8bd4-61090794ce80</t>
  </si>
  <si>
    <t>2025-12-13T15:10:30Z</t>
  </si>
  <si>
    <t>J1ILYzSgAEC_iejX9sR3AA</t>
  </si>
  <si>
    <t>d374a02c-b7bf-4c9e-83c3-d16fa6438ae0</t>
  </si>
  <si>
    <t>2025-12-13T15:10:27Z</t>
  </si>
  <si>
    <t>a5f84ea7-bcba-489e-8fb9-a49c25bce922</t>
  </si>
  <si>
    <t>j1WEEkp4R0SAaGbMNWl1AA</t>
  </si>
  <si>
    <t>2025-12-13T15:09:47Z</t>
  </si>
  <si>
    <t>raV1iYN1DkGCRaPF75gmAA</t>
  </si>
  <si>
    <t>6151e87b-7ebd-4304-80f4-e9954f7849af</t>
  </si>
  <si>
    <t>2025-12-13T15:09:44Z</t>
  </si>
  <si>
    <t>01586c73-3bb6-4ad6-8cc7-512308bf83ea</t>
  </si>
  <si>
    <t>qDEhmCqDM06EiSkIFyyZAA</t>
  </si>
  <si>
    <t>2025-12-13T14:13:02Z</t>
  </si>
  <si>
    <t>hH3AkB8-e0e7ECSVRY1xAA</t>
  </si>
  <si>
    <t>cd026148-6dd9-4711-8f23-8fef5ff7f2c4</t>
  </si>
  <si>
    <t>2025-12-13T13:50:30Z</t>
  </si>
  <si>
    <t>2600:6c44:1a7f:4f65:b922:fba8:be04:20a2</t>
  </si>
  <si>
    <t>erSSuadtkkmz8qBvMzxyAA</t>
  </si>
  <si>
    <t>1cbe7183-79e0-4f2c-83fb-6a86873ba080</t>
  </si>
  <si>
    <t>2025-12-13T13:50:25Z</t>
  </si>
  <si>
    <t>83354882-26f5-4375-8f4f-064da2df478a</t>
  </si>
  <si>
    <t>n3viSi6X-kamlf8LCqkkAA</t>
  </si>
  <si>
    <t>2025-12-13T13:26:52Z</t>
  </si>
  <si>
    <t>tsvmZjF9RUaqn0pp1ghaAA</t>
  </si>
  <si>
    <t>8e11ac79-4db7-41f3-82da-a2cdf250da61</t>
  </si>
  <si>
    <t>2025-12-13T13:02:45Z</t>
  </si>
  <si>
    <t>wO_qck-kRUWCz3056x51AA</t>
  </si>
  <si>
    <t>8c5df95f-0263-491f-8e83-2dca9d1449ce</t>
  </si>
  <si>
    <t>2025-12-12T23:02:18Z</t>
  </si>
  <si>
    <t>2605:6400:c077:bd7d:ef7d:9edc:8d45:5fb4</t>
  </si>
  <si>
    <t>Ashford 3</t>
  </si>
  <si>
    <t xml:space="preserve"> Coastal Region 2</t>
  </si>
  <si>
    <t xml:space="preserve"> LU</t>
  </si>
  <si>
    <t>Microsoft Azure CLI</t>
  </si>
  <si>
    <t>04b07795-8ddb-461a-bbee-02f9e1bf7b46</t>
  </si>
  <si>
    <t>node-fetch</t>
  </si>
  <si>
    <t>jXay8tfUX0yiy0aK7ehbAA</t>
  </si>
  <si>
    <t>c9a71a2a-5ec0-4203-8654-03e120a52012</t>
  </si>
  <si>
    <t>LU</t>
  </si>
  <si>
    <t>Luxembourg</t>
  </si>
  <si>
    <t>FranTech Solutions</t>
  </si>
  <si>
    <t>AS53667</t>
  </si>
  <si>
    <t>2605:6400:4000::-2605:6400:ffff:ffff:ffff:ffff:ffff:ffff</t>
  </si>
  <si>
    <t>0.1176 (High)</t>
  </si>
  <si>
    <t>2605:6400:c000::/34</t>
  </si>
  <si>
    <t>Mersch, Bissen</t>
  </si>
  <si>
    <t>Bissen</t>
  </si>
  <si>
    <t>2025-12-12T22:25:08Z</t>
  </si>
  <si>
    <t>166.181.85.21</t>
  </si>
  <si>
    <t>Newbury</t>
  </si>
  <si>
    <t>My Signins</t>
  </si>
  <si>
    <t>59e4b826-5ac5-4e8b-8722-2ecedd194bea</t>
  </si>
  <si>
    <t>Chrome Mobile iOS 142.0.7444</t>
  </si>
  <si>
    <t>Mozilla/5.0 (iPhone; CPU iPhone OS 26_0_1 like Mac OS X) AppleWebKit/605.1.15 (KHTML, like Gecko) CriOS/142.0.7444.128 Mobile/15E148 Safari/604.1</t>
  </si>
  <si>
    <t>e946ca2f-034c-4e01-8a4a-46bb73f62d6f</t>
  </si>
  <si>
    <t>ckephC1b6ES1pECb-UEHAA</t>
  </si>
  <si>
    <t>927878d5-dcde-4fbd-8782-44e48e1a22e5</t>
  </si>
  <si>
    <t>2025-12-12T22:25:00Z</t>
  </si>
  <si>
    <t>Microsoft Authenticator App</t>
  </si>
  <si>
    <t>ae6d8f95-3e3f-4536-8b15-b59aac8c8306</t>
  </si>
  <si>
    <t>cEUWt9BT7Em3doazUcFxAA</t>
  </si>
  <si>
    <t>9426aa81-6694-42f6-84f2-5b2813326ff9</t>
  </si>
  <si>
    <t>2025-12-12T22:22:21Z</t>
  </si>
  <si>
    <t>2vsmt-qPY0inE4i5kDhDAA</t>
  </si>
  <si>
    <t>63cf992d-338a-4ac1-886d-4ef220b8b871</t>
  </si>
  <si>
    <t>2025-12-12T22:21:22Z</t>
  </si>
  <si>
    <t>elPOWr4LREeUPB0e0ndXAA</t>
  </si>
  <si>
    <t>a45f7f4c-06fb-438b-8ca6-596a2cddd091</t>
  </si>
  <si>
    <t>2025-12-12T22:21:20Z</t>
  </si>
  <si>
    <t>kic4x5sMrk-Pmjn6-TcVAA</t>
  </si>
  <si>
    <t>2025-12-12T22:19:56Z</t>
  </si>
  <si>
    <t>564c105b-e584-477a-8bf9-4f9f7e2af6ba</t>
  </si>
  <si>
    <t>EVwGzKyrL0aEY3NKd4YYAA</t>
  </si>
  <si>
    <t>2025-12-12T22:19:44Z</t>
  </si>
  <si>
    <t>kic4x5sMrk-Pmjn65C4VAA</t>
  </si>
  <si>
    <t>2025-12-12T22:19:12Z</t>
  </si>
  <si>
    <t>X5X8eOrL2Eej2qLBtoxXAA</t>
  </si>
  <si>
    <t>2025-12-12T20:24:40Z</t>
  </si>
  <si>
    <t>2600:6c44:1a7f:f053:43b0:c1ea:4db3:1f8e</t>
  </si>
  <si>
    <t>eiaL-p1dnUC80ek2dOtXAA</t>
  </si>
  <si>
    <t>a73d9f9e-ca82-486f-8005-fc7ab3e64ffb</t>
  </si>
  <si>
    <t>2025-12-12T20:24:38Z</t>
  </si>
  <si>
    <t>14eb21e6-78de-4941-8301-31acba125277</t>
  </si>
  <si>
    <t>iPFas9xby0KROQwaUCUUAA</t>
  </si>
  <si>
    <t>2025-12-12T19:54:36Z</t>
  </si>
  <si>
    <t>o8mNTSuOdEu1E6fgBsEqAA</t>
  </si>
  <si>
    <t>b3e56361-0408-47cf-8fb2-8ab7f4ff4bb4</t>
  </si>
  <si>
    <t>2025-12-12T19:42:01Z</t>
  </si>
  <si>
    <t>S4iCiIRKNUWg-gmIcuQSAA</t>
  </si>
  <si>
    <t>954f239f-ae2c-4c08-84c9-b469455f4b23</t>
  </si>
  <si>
    <t>2025-12-12T16:56:35Z</t>
  </si>
  <si>
    <t>xVmaXO4p-0mGRYxboKNKAA</t>
  </si>
  <si>
    <t>d8eca587-5f83-4cfb-8de1-324a5e916193</t>
  </si>
  <si>
    <t>2025-12-12T16:36:57Z</t>
  </si>
  <si>
    <t>Ag5fyG4m806DuYNSwzdIAA</t>
  </si>
  <si>
    <t>c64439ec-82f8-4b4a-8a40-d4671f3bc4b2</t>
  </si>
  <si>
    <t>2025-12-12T16:26:18Z</t>
  </si>
  <si>
    <t>2601:603:1f7e:5c55:1ac5:7035:9870:f6c0</t>
  </si>
  <si>
    <t>vLDfb5nBOUKUsaOyUDtKAA</t>
  </si>
  <si>
    <t>16940dc5-54be-4281-8ff3-a15f4b40d12c</t>
  </si>
  <si>
    <t>2025-12-12T14:14:55Z</t>
  </si>
  <si>
    <t>erSSuadtkkmz8qBvxQlJAA</t>
  </si>
  <si>
    <t>fb6c079a-a644-4292-8885-2163f8651d2a</t>
  </si>
  <si>
    <t>2025-12-12T14:01:42Z</t>
  </si>
  <si>
    <t>MOlgdH6W706kBFYnXPkgAA</t>
  </si>
  <si>
    <t>b9446e7b-5d46-4995-859d-3215b03decbb</t>
  </si>
  <si>
    <t>2025-12-12T12:30:32Z</t>
  </si>
  <si>
    <t>ZnV7KiIhh0Gs4Yl8InRwAA</t>
  </si>
  <si>
    <t>5009b210-1e8d-47c7-8689-8ce6591d428d</t>
  </si>
  <si>
    <t>2025-12-12T01:21:48Z</t>
  </si>
  <si>
    <t>Z2tCBqZK5ESicW1q5oo7AA</t>
  </si>
  <si>
    <t>a8307016-8cd6-461c-8204-5f0ccbb9b0d7</t>
  </si>
  <si>
    <t>2025-12-12T00:01:05Z</t>
  </si>
  <si>
    <t>2600:6c44:1a7f:9310:65af:1f22:9e2c:660d</t>
  </si>
  <si>
    <t>0buKdG8Gl06RQ1CMGtg2AA</t>
  </si>
  <si>
    <t>0fd0470f-5cea-4862-8e59-6a8766806e9d</t>
  </si>
  <si>
    <t>2025-12-12T00:01:02Z</t>
  </si>
  <si>
    <t>2bd705a5-7867-4def-8b6f-2b6cc735e2b2</t>
  </si>
  <si>
    <t>CHhhg9NMoUivKMgb9pQ6AA</t>
  </si>
  <si>
    <t>2025-12-11T22:30:42Z</t>
  </si>
  <si>
    <t>166.181.84.87</t>
  </si>
  <si>
    <t>Meadowbrook</t>
  </si>
  <si>
    <t>Mobile Safari</t>
  </si>
  <si>
    <t>Mozilla/5.0 (iPhone; CPU iPhone OS 18_7 like Mac OS X) AppleWebKit/605.1.15 (KHTML, like Gecko) PKeyAuth/1.0</t>
  </si>
  <si>
    <t>c86e589d-5730-4c67-8baa-f5c486026d32</t>
  </si>
  <si>
    <t>qhFAghYUe0-58KoVXp8RAA</t>
  </si>
  <si>
    <t>e58edc4d-424b-4ed7-802f-d9238defc0ca</t>
  </si>
  <si>
    <t>166.181.84.0/24</t>
  </si>
  <si>
    <t>West Milwaukee</t>
  </si>
  <si>
    <t>2025-12-11T22:30:28Z</t>
  </si>
  <si>
    <t>1C7GEaSG0Uqe84nvXIwzAA</t>
  </si>
  <si>
    <t>2025-12-11T21:06:12Z</t>
  </si>
  <si>
    <t>X1JwpagSqEuFr-WrJ9IvAA</t>
  </si>
  <si>
    <t>4e839d29-5af5-443d-852f-2348e4752295</t>
  </si>
  <si>
    <t>2025-12-11T20:48:29Z</t>
  </si>
  <si>
    <t>LRoJJ9fDgEm-QY2Mwi4uAA</t>
  </si>
  <si>
    <t>f7c206d5-407c-46b8-8305-4909f0164246</t>
  </si>
  <si>
    <t>ZkaQu1YngUyKpJ1Gr24vAA</t>
  </si>
  <si>
    <t>2025-12-11T20:48:08Z</t>
  </si>
  <si>
    <t>MFA claim has expired due to the policies configured on tenant</t>
  </si>
  <si>
    <t>v7jbRPDC2Em_EkDLs7AUAA</t>
  </si>
  <si>
    <t>3dbd62db-09c6-4bc1-880c-ab3142222009</t>
  </si>
  <si>
    <t>2025-12-11T20:29:56Z</t>
  </si>
  <si>
    <t>0d_ggz5-p0K8lR9tPBZMAA</t>
  </si>
  <si>
    <t>1c3d10d4-6196-477b-8a64-30f0573dcc47</t>
  </si>
  <si>
    <t>2025-12-11T19:19:27Z</t>
  </si>
  <si>
    <t>z7O8_kNpu0GYZPhfRbJOAA</t>
  </si>
  <si>
    <t>e44e3017-8839-4bff-8f6b-dc5a993414ed</t>
  </si>
  <si>
    <t>2025-12-11T19:17:39Z</t>
  </si>
  <si>
    <t>2601:603:1f7e:e1db:9de3:8877:dbb7:7329</t>
  </si>
  <si>
    <t>XSvQRnJWXU-3D47-tGpLAA</t>
  </si>
  <si>
    <t>08c80905-8e36-4bb0-84f5-42e49459d8f8</t>
  </si>
  <si>
    <t>2025-12-11T19:17:35Z</t>
  </si>
  <si>
    <t>2ff025ca-cfc8-41df-8407-221f14d8d42e</t>
  </si>
  <si>
    <t>avzEdfg7L0C0NsbDyxhHAA</t>
  </si>
  <si>
    <t>2025-12-11T16:16:08Z</t>
  </si>
  <si>
    <t>2601:603:1f7e:2f3d:b0e4:186c:b4f4:9cb0</t>
  </si>
  <si>
    <t>OHANwOpufEuBXCz4U_RJAA</t>
  </si>
  <si>
    <t>dd45bb10-07be-4a1f-8c1f-96719b3f9dda</t>
  </si>
  <si>
    <t>2025-12-11T14:01:00Z</t>
  </si>
  <si>
    <t>tmCmrCwkFUGj39OjgDsjAA</t>
  </si>
  <si>
    <t>05536577-804d-446e-8829-e0bad1c81ab6</t>
  </si>
  <si>
    <t>2025-12-11T13:03:13Z</t>
  </si>
  <si>
    <t>OA_keZNP90GLNH9mYmcnAA</t>
  </si>
  <si>
    <t>affdd8f5-ffce-41e2-8e02-9f4c58e44bf8</t>
  </si>
  <si>
    <t>2025-12-11T12:11:52Z</t>
  </si>
  <si>
    <t>N5pn9CWjck-fRbeaH3oiAA</t>
  </si>
  <si>
    <t>1bf5b051-87cd-44dc-81d3-d30e425bec34</t>
  </si>
  <si>
    <t>2025-12-11T11:50:51Z</t>
  </si>
  <si>
    <t>xuergskKvk-Z28iWpuMcAA</t>
  </si>
  <si>
    <t>a33259a4-9c26-435f-85a9-c8820f00a5e0</t>
  </si>
  <si>
    <t>2025-12-11T02:15:31Z</t>
  </si>
  <si>
    <t>2601:603:1f7e:b2cc:7d1d:16f6:5b7e:a208</t>
  </si>
  <si>
    <t>uxIyCFy7-EiPn8oe9HkwAA</t>
  </si>
  <si>
    <t>25dda1a2-ba7a-483b-8a8a-a28145145a5e</t>
  </si>
  <si>
    <t>2025-12-11T00:21:17Z</t>
  </si>
  <si>
    <t>2600:6c44:777f:c45d:9ad9:4778:6b65:fa</t>
  </si>
  <si>
    <t>a5e52dca-250c-4614-8ba7-61f45c3188fc</t>
  </si>
  <si>
    <t>Edge 141.0.0</t>
  </si>
  <si>
    <t>Mozilla/5.0 (Windows NT 10.0; Win64; x64) AppleWebKit/537.36 (KHTML, like Gecko) Chrome/141.0.0.183 Safari/537.36 Edg/141.0.0.183 Mitchell/5.1.6.149 (win)</t>
  </si>
  <si>
    <t>566fad1b-66a4-43b8-8b38-6330b2297f0e</t>
  </si>
  <si>
    <t>fyWaNRsUPkCR9I5oROoOAA</t>
  </si>
  <si>
    <t>a56f1f5a-6225-4f94-8354-805788294ad9</t>
  </si>
  <si>
    <t>2025-12-11T00:21:14Z</t>
  </si>
  <si>
    <t>ba7e47ad-04bf-4ca5-8850-75a4ccb33054</t>
  </si>
  <si>
    <t>rbvsidVPNkSOBgs0zXYPAA</t>
  </si>
  <si>
    <t>2025-12-10T23:38:59Z</t>
  </si>
  <si>
    <t>gjBuI984vEG12PHV02UvAA</t>
  </si>
  <si>
    <t>7650700d-eeac-422a-8bea-10e46a728ff8</t>
  </si>
  <si>
    <t>2025-12-10T22:31:08Z</t>
  </si>
  <si>
    <t>2600:6c44:1a7f:60c3:3983:e344:5109:d86d</t>
  </si>
  <si>
    <t>zzT2zATibUO7JKLrAZYKAA</t>
  </si>
  <si>
    <t>c4f796c9-3dd7-4e68-8878-e26ebeff618f</t>
  </si>
  <si>
    <t>2025-12-10T22:31:05Z</t>
  </si>
  <si>
    <t>d82314a4-b4d1-4deb-820c-dc186e58d8a6</t>
  </si>
  <si>
    <t>vn97IZbGCEmYAtEWlrQLAA</t>
  </si>
  <si>
    <t>Hybrid Azure AD joined</t>
  </si>
  <si>
    <t>IPaddressFrequency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</si>
</sst>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CB"/>
        <bgColor indexed="64"/>
      </patternFill>
    </fill>
    <fill>
      <patternFill patternType="solid">
        <fgColor rgb="FFDB7093"/>
        <bgColor indexed="64"/>
      </patternFill>
    </fill>
    <fill>
      <patternFill patternType="solid">
        <fgColor rgb="FF98FB98"/>
        <bgColor indexed="64"/>
      </patternFill>
    </fill>
    <fill>
      <patternFill patternType="solid">
        <fgColor rgb="FFAFEE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1" fontId="0" fillId="0" borderId="0" xfId="0" applyNumberFormat="1"/>
    <xf numFmtId="0" fontId="0" fillId="33" borderId="0" xfId="0" applyFill="1"/>
    <xf numFmtId="14" fontId="0" fillId="33" borderId="0" xfId="0" applyNumberFormat="1" applyFill="1"/>
    <xf numFmtId="21" fontId="0" fillId="33" borderId="0" xfId="0" applyNumberFormat="1" applyFill="1"/>
    <xf numFmtId="0" fontId="0" fillId="34" borderId="0" xfId="0" applyFill="1"/>
    <xf numFmtId="0" fontId="0" fillId="35" borderId="0" xfId="0" applyFill="1"/>
    <xf numFmtId="14" fontId="0" fillId="35" borderId="0" xfId="0" applyNumberFormat="1" applyFill="1"/>
    <xf numFmtId="21" fontId="0" fillId="35" borderId="0" xfId="0" applyNumberFormat="1" applyFill="1"/>
    <xf numFmtId="11" fontId="0" fillId="35" borderId="0" xfId="0" applyNumberFormat="1"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3C34-EB50-4355-AA59-0C9989234A65}">
  <dimension ref="A1:BZ278"/>
  <sheetViews>
    <sheetView tabSelected="1" workbookViewId="0">
      <pane ySplit="1" topLeftCell="A62" activePane="bottomLeft" state="frozenSplit"/>
      <selection pane="bottomLeft" activeCell="AE97" sqref="AE97"/>
    </sheetView>
  </sheetViews>
  <sheetFormatPr defaultRowHeight="14.5" x14ac:dyDescent="0.35"/>
  <cols>
    <col min="1" max="1" width="19.1796875" bestFit="1" customWidth="1"/>
    <col min="2" max="2" width="10.08984375" bestFit="1" customWidth="1"/>
    <col min="3" max="3" width="8.36328125" bestFit="1" customWidth="1"/>
    <col min="4" max="4" width="16.81640625" bestFit="1" customWidth="1"/>
    <col min="5" max="5" width="39.81640625" bestFit="1" customWidth="1"/>
    <col min="6" max="6" width="37.1796875" bestFit="1" customWidth="1"/>
    <col min="7" max="7" width="19.7265625" bestFit="1" customWidth="1"/>
    <col min="8" max="8" width="12.08984375" bestFit="1" customWidth="1"/>
    <col min="9" max="9" width="15.08984375" bestFit="1" customWidth="1"/>
    <col min="10" max="10" width="7.1796875" bestFit="1" customWidth="1"/>
    <col min="11" max="11" width="9.81640625" bestFit="1" customWidth="1"/>
    <col min="12" max="12" width="13.90625" bestFit="1" customWidth="1"/>
    <col min="13" max="13" width="8.36328125" bestFit="1" customWidth="1"/>
    <col min="14" max="14" width="23.54296875" bestFit="1" customWidth="1"/>
    <col min="15" max="15" width="16.08984375" bestFit="1" customWidth="1"/>
    <col min="16" max="16" width="18.08984375" bestFit="1" customWidth="1"/>
    <col min="17" max="17" width="44.08984375" bestFit="1" customWidth="1"/>
    <col min="18" max="18" width="35.90625" hidden="1" customWidth="1"/>
    <col min="19" max="19" width="31.81640625" bestFit="1" customWidth="1"/>
    <col min="20" max="20" width="35.90625" hidden="1" customWidth="1"/>
    <col min="21" max="21" width="50.6328125" customWidth="1"/>
    <col min="22" max="22" width="27.1796875" bestFit="1" customWidth="1"/>
    <col min="23" max="23" width="35.90625" hidden="1" customWidth="1"/>
    <col min="24" max="24" width="26" bestFit="1" customWidth="1"/>
    <col min="25" max="25" width="10.08984375" bestFit="1" customWidth="1"/>
    <col min="26" max="26" width="50.6328125" customWidth="1"/>
    <col min="27" max="27" width="9.1796875" bestFit="1" customWidth="1"/>
    <col min="28" max="28" width="8.1796875" bestFit="1" customWidth="1"/>
    <col min="29" max="29" width="22.453125" bestFit="1" customWidth="1"/>
    <col min="30" max="30" width="7.1796875" bestFit="1" customWidth="1"/>
    <col min="31" max="31" width="50.6328125" customWidth="1"/>
    <col min="32" max="32" width="17.453125" bestFit="1" customWidth="1"/>
    <col min="33" max="33" width="13.6328125" bestFit="1" customWidth="1"/>
    <col min="34" max="34" width="39.81640625" bestFit="1" customWidth="1"/>
    <col min="35" max="35" width="35.90625" hidden="1" customWidth="1"/>
    <col min="36" max="36" width="19.7265625" bestFit="1" customWidth="1"/>
    <col min="37" max="37" width="26.26953125" bestFit="1" customWidth="1"/>
    <col min="38" max="38" width="13.6328125" bestFit="1" customWidth="1"/>
    <col min="39" max="39" width="14.1796875" bestFit="1" customWidth="1"/>
    <col min="40" max="40" width="20.54296875" bestFit="1" customWidth="1"/>
    <col min="41" max="41" width="23.81640625" bestFit="1" customWidth="1"/>
    <col min="42" max="42" width="35.90625" hidden="1" customWidth="1"/>
    <col min="43" max="43" width="20.90625" bestFit="1" customWidth="1"/>
    <col min="44" max="44" width="20" bestFit="1" customWidth="1"/>
    <col min="45" max="45" width="17.7265625" bestFit="1" customWidth="1"/>
    <col min="46" max="47" width="33.1796875" bestFit="1" customWidth="1"/>
    <col min="48" max="48" width="18.26953125" hidden="1" customWidth="1"/>
    <col min="49" max="49" width="19.1796875" hidden="1" customWidth="1"/>
    <col min="50" max="50" width="17.90625" bestFit="1" customWidth="1"/>
    <col min="51" max="51" width="49.08984375" bestFit="1" customWidth="1"/>
    <col min="52" max="52" width="15.7265625" bestFit="1" customWidth="1"/>
    <col min="53" max="53" width="14.81640625" bestFit="1" customWidth="1"/>
    <col min="54" max="54" width="17.7265625" bestFit="1" customWidth="1"/>
    <col min="55" max="56" width="33.81640625" bestFit="1" customWidth="1"/>
    <col min="57" max="57" width="21.7265625" bestFit="1" customWidth="1"/>
    <col min="58" max="58" width="15.1796875" bestFit="1" customWidth="1"/>
    <col min="59" max="59" width="12.6328125" bestFit="1" customWidth="1"/>
    <col min="60" max="60" width="17.81640625" bestFit="1" customWidth="1"/>
    <col min="61" max="61" width="20.26953125" hidden="1" customWidth="1"/>
    <col min="62" max="62" width="19.36328125" hidden="1" customWidth="1"/>
    <col min="63" max="63" width="17.08984375" hidden="1" customWidth="1"/>
    <col min="64" max="64" width="16.36328125" hidden="1" customWidth="1"/>
    <col min="65" max="65" width="16.7265625" hidden="1" customWidth="1"/>
    <col min="66" max="66" width="17.6328125" hidden="1" customWidth="1"/>
    <col min="67" max="67" width="18.54296875" bestFit="1" customWidth="1"/>
    <col min="68" max="68" width="17.26953125" hidden="1" customWidth="1"/>
    <col min="69" max="69" width="18.90625" hidden="1" customWidth="1"/>
    <col min="70" max="70" width="17.6328125" bestFit="1" customWidth="1"/>
    <col min="71" max="71" width="20.7265625" bestFit="1" customWidth="1"/>
    <col min="72" max="72" width="27.1796875" bestFit="1" customWidth="1"/>
    <col min="73" max="74" width="31.90625" bestFit="1" customWidth="1"/>
    <col min="75" max="75" width="14.90625" bestFit="1" customWidth="1"/>
    <col min="76" max="76" width="15.81640625" hidden="1" customWidth="1"/>
    <col min="77" max="77" width="14.54296875" hidden="1" customWidth="1"/>
    <col min="78" max="78" width="16.1796875" hidden="1" customWidth="1"/>
  </cols>
  <sheetData>
    <row r="1" spans="1:78" x14ac:dyDescent="0.35">
      <c r="A1" t="s">
        <v>0</v>
      </c>
      <c r="B1" t="s">
        <v>1</v>
      </c>
      <c r="C1" t="s">
        <v>2</v>
      </c>
      <c r="D1" t="s">
        <v>3</v>
      </c>
      <c r="E1" t="s">
        <v>4</v>
      </c>
      <c r="F1" t="s">
        <v>5</v>
      </c>
      <c r="G1" t="s">
        <v>1332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row>
    <row r="2" spans="1:78" s="7" customFormat="1" x14ac:dyDescent="0.35">
      <c r="A2" s="7" t="s">
        <v>77</v>
      </c>
      <c r="B2" s="8">
        <v>46008</v>
      </c>
      <c r="C2" s="9">
        <v>0.89853009259259264</v>
      </c>
      <c r="D2" s="7" t="s">
        <v>78</v>
      </c>
      <c r="E2" s="7" t="s">
        <v>79</v>
      </c>
      <c r="F2" s="7" t="s">
        <v>80</v>
      </c>
      <c r="G2" s="7">
        <f>COUNTIF($F$2:$F$278,F2)</f>
        <v>5</v>
      </c>
      <c r="H2" s="7" t="s">
        <v>81</v>
      </c>
      <c r="I2" s="7" t="s">
        <v>82</v>
      </c>
      <c r="J2" s="7" t="s">
        <v>83</v>
      </c>
      <c r="K2" s="7" t="s">
        <v>84</v>
      </c>
      <c r="M2" s="7" t="s">
        <v>85</v>
      </c>
      <c r="N2" s="7" t="s">
        <v>86</v>
      </c>
      <c r="O2" s="7" t="s">
        <v>87</v>
      </c>
      <c r="P2" s="7" t="s">
        <v>88</v>
      </c>
      <c r="Q2" s="7" t="s">
        <v>89</v>
      </c>
      <c r="R2" s="7" t="s">
        <v>90</v>
      </c>
      <c r="S2" s="7" t="s">
        <v>91</v>
      </c>
      <c r="T2" s="7" t="s">
        <v>92</v>
      </c>
      <c r="U2" s="7" t="s">
        <v>93</v>
      </c>
      <c r="V2" s="7" t="s">
        <v>94</v>
      </c>
      <c r="W2" s="7" t="s">
        <v>95</v>
      </c>
      <c r="Y2" s="7" t="s">
        <v>96</v>
      </c>
      <c r="Z2" s="7" t="s">
        <v>97</v>
      </c>
      <c r="AA2" s="7" t="b">
        <v>0</v>
      </c>
      <c r="AB2" s="7" t="b">
        <v>0</v>
      </c>
      <c r="AC2" s="11" t="s">
        <v>1331</v>
      </c>
      <c r="AD2" s="7">
        <v>128</v>
      </c>
      <c r="AE2" s="7" t="s">
        <v>98</v>
      </c>
      <c r="AI2" s="7" t="s">
        <v>99</v>
      </c>
      <c r="AJ2" s="7" t="s">
        <v>100</v>
      </c>
      <c r="AK2" s="7" t="s">
        <v>101</v>
      </c>
      <c r="AL2" s="7" t="s">
        <v>100</v>
      </c>
      <c r="AM2" s="7" t="s">
        <v>100</v>
      </c>
      <c r="AN2" s="7" t="s">
        <v>102</v>
      </c>
      <c r="AP2" s="7" t="s">
        <v>103</v>
      </c>
      <c r="AQ2" s="7" t="s">
        <v>104</v>
      </c>
      <c r="AR2" s="7" t="s">
        <v>105</v>
      </c>
      <c r="AS2" s="7" t="s">
        <v>106</v>
      </c>
      <c r="AT2" s="7" t="s">
        <v>107</v>
      </c>
      <c r="AU2" s="7" t="s">
        <v>107</v>
      </c>
      <c r="AX2" s="7" t="s">
        <v>108</v>
      </c>
      <c r="AY2" s="7" t="s">
        <v>109</v>
      </c>
      <c r="AZ2" s="7" t="s">
        <v>104</v>
      </c>
      <c r="BA2" s="7" t="s">
        <v>105</v>
      </c>
      <c r="BB2" s="7" t="s">
        <v>106</v>
      </c>
      <c r="BC2" s="7" t="s">
        <v>110</v>
      </c>
      <c r="BD2" s="7" t="s">
        <v>111</v>
      </c>
      <c r="BF2" s="7" t="s">
        <v>112</v>
      </c>
      <c r="BG2" s="7">
        <v>7922</v>
      </c>
      <c r="BH2" s="7" t="s">
        <v>113</v>
      </c>
      <c r="BO2" s="7">
        <v>16</v>
      </c>
      <c r="BR2" s="7" t="s">
        <v>104</v>
      </c>
      <c r="BS2" s="7" t="s">
        <v>114</v>
      </c>
      <c r="BT2" s="7" t="s">
        <v>115</v>
      </c>
      <c r="BU2" s="7" t="s">
        <v>116</v>
      </c>
      <c r="BV2" s="7" t="s">
        <v>111</v>
      </c>
      <c r="BW2" s="7" t="s">
        <v>117</v>
      </c>
    </row>
    <row r="3" spans="1:78" s="7" customFormat="1" x14ac:dyDescent="0.35">
      <c r="A3" s="7" t="s">
        <v>118</v>
      </c>
      <c r="B3" s="8">
        <v>46008</v>
      </c>
      <c r="C3" s="9">
        <v>0.89809027777777783</v>
      </c>
      <c r="D3" s="7" t="s">
        <v>78</v>
      </c>
      <c r="E3" s="7" t="s">
        <v>79</v>
      </c>
      <c r="F3" s="7" t="s">
        <v>80</v>
      </c>
      <c r="G3" s="7">
        <f>COUNTIF($F$2:$F$278,F3)</f>
        <v>5</v>
      </c>
      <c r="H3" s="7" t="s">
        <v>81</v>
      </c>
      <c r="I3" s="7" t="s">
        <v>82</v>
      </c>
      <c r="J3" s="7" t="s">
        <v>83</v>
      </c>
      <c r="K3" s="7" t="s">
        <v>119</v>
      </c>
      <c r="L3" s="7">
        <v>50126</v>
      </c>
      <c r="M3" s="7" t="s">
        <v>85</v>
      </c>
      <c r="N3" s="7" t="s">
        <v>120</v>
      </c>
      <c r="O3" s="7" t="s">
        <v>87</v>
      </c>
      <c r="P3" s="7" t="s">
        <v>88</v>
      </c>
      <c r="Q3" s="7" t="s">
        <v>89</v>
      </c>
      <c r="R3" s="7" t="s">
        <v>90</v>
      </c>
      <c r="S3" s="7" t="s">
        <v>91</v>
      </c>
      <c r="T3" s="7" t="s">
        <v>92</v>
      </c>
      <c r="U3" s="7" t="s">
        <v>121</v>
      </c>
      <c r="V3" s="7" t="s">
        <v>94</v>
      </c>
      <c r="W3" s="7" t="s">
        <v>95</v>
      </c>
      <c r="Y3" s="7" t="s">
        <v>96</v>
      </c>
      <c r="Z3" s="7" t="s">
        <v>97</v>
      </c>
      <c r="AA3" s="7" t="b">
        <v>0</v>
      </c>
      <c r="AB3" s="7" t="b">
        <v>0</v>
      </c>
      <c r="AC3" s="11" t="s">
        <v>1331</v>
      </c>
      <c r="AD3" s="7">
        <v>62</v>
      </c>
      <c r="AE3" s="7" t="s">
        <v>122</v>
      </c>
      <c r="AI3" s="7" t="s">
        <v>99</v>
      </c>
      <c r="AJ3" s="7" t="s">
        <v>100</v>
      </c>
      <c r="AK3" s="7" t="s">
        <v>123</v>
      </c>
      <c r="AL3" s="7" t="s">
        <v>100</v>
      </c>
      <c r="AM3" s="7" t="s">
        <v>100</v>
      </c>
      <c r="AN3" s="7" t="s">
        <v>124</v>
      </c>
      <c r="AP3" s="7" t="s">
        <v>125</v>
      </c>
      <c r="AQ3" s="7" t="s">
        <v>104</v>
      </c>
      <c r="AR3" s="7" t="s">
        <v>105</v>
      </c>
      <c r="AS3" s="7" t="s">
        <v>106</v>
      </c>
      <c r="AT3" s="7" t="s">
        <v>107</v>
      </c>
      <c r="AU3" s="7" t="s">
        <v>107</v>
      </c>
      <c r="AX3" s="7" t="s">
        <v>108</v>
      </c>
      <c r="AY3" s="7" t="s">
        <v>109</v>
      </c>
      <c r="AZ3" s="7" t="s">
        <v>104</v>
      </c>
      <c r="BA3" s="7" t="s">
        <v>105</v>
      </c>
      <c r="BB3" s="7" t="s">
        <v>106</v>
      </c>
      <c r="BC3" s="7" t="s">
        <v>110</v>
      </c>
      <c r="BD3" s="7" t="s">
        <v>111</v>
      </c>
      <c r="BF3" s="7" t="s">
        <v>112</v>
      </c>
      <c r="BG3" s="7">
        <v>7922</v>
      </c>
      <c r="BH3" s="7" t="s">
        <v>113</v>
      </c>
      <c r="BO3" s="7">
        <v>16</v>
      </c>
      <c r="BR3" s="7" t="s">
        <v>104</v>
      </c>
      <c r="BS3" s="7" t="s">
        <v>114</v>
      </c>
      <c r="BT3" s="7" t="s">
        <v>115</v>
      </c>
      <c r="BU3" s="7" t="s">
        <v>116</v>
      </c>
      <c r="BV3" s="7" t="s">
        <v>111</v>
      </c>
      <c r="BW3" s="7" t="s">
        <v>117</v>
      </c>
    </row>
    <row r="4" spans="1:78" s="7" customFormat="1" x14ac:dyDescent="0.35">
      <c r="A4" s="7" t="s">
        <v>118</v>
      </c>
      <c r="B4" s="8">
        <v>46008</v>
      </c>
      <c r="C4" s="9">
        <v>0.89809027777777783</v>
      </c>
      <c r="D4" s="7" t="s">
        <v>78</v>
      </c>
      <c r="E4" s="7" t="s">
        <v>79</v>
      </c>
      <c r="F4" s="7" t="s">
        <v>80</v>
      </c>
      <c r="G4" s="7">
        <f>COUNTIF($F$2:$F$278,F4)</f>
        <v>5</v>
      </c>
      <c r="H4" s="7" t="s">
        <v>81</v>
      </c>
      <c r="I4" s="7" t="s">
        <v>82</v>
      </c>
      <c r="J4" s="7" t="s">
        <v>83</v>
      </c>
      <c r="K4" s="7" t="s">
        <v>119</v>
      </c>
      <c r="L4" s="7">
        <v>50126</v>
      </c>
      <c r="M4" s="7" t="s">
        <v>85</v>
      </c>
      <c r="N4" s="7" t="s">
        <v>120</v>
      </c>
      <c r="O4" s="7" t="s">
        <v>87</v>
      </c>
      <c r="P4" s="7" t="s">
        <v>88</v>
      </c>
      <c r="Q4" s="7" t="s">
        <v>89</v>
      </c>
      <c r="R4" s="7" t="s">
        <v>90</v>
      </c>
      <c r="S4" s="7" t="s">
        <v>91</v>
      </c>
      <c r="T4" s="7" t="s">
        <v>92</v>
      </c>
      <c r="U4" s="7" t="s">
        <v>121</v>
      </c>
      <c r="V4" s="7" t="s">
        <v>94</v>
      </c>
      <c r="W4" s="7" t="s">
        <v>95</v>
      </c>
      <c r="Y4" s="7" t="s">
        <v>96</v>
      </c>
      <c r="Z4" s="7" t="s">
        <v>97</v>
      </c>
      <c r="AA4" s="7" t="b">
        <v>0</v>
      </c>
      <c r="AB4" s="7" t="b">
        <v>0</v>
      </c>
      <c r="AC4" s="11" t="s">
        <v>1331</v>
      </c>
      <c r="AD4" s="7">
        <v>72</v>
      </c>
      <c r="AE4" s="7" t="s">
        <v>122</v>
      </c>
      <c r="AI4" s="7" t="s">
        <v>99</v>
      </c>
      <c r="AJ4" s="7" t="s">
        <v>100</v>
      </c>
      <c r="AK4" s="7" t="s">
        <v>126</v>
      </c>
      <c r="AL4" s="7" t="s">
        <v>100</v>
      </c>
      <c r="AM4" s="7" t="s">
        <v>100</v>
      </c>
      <c r="AN4" s="7" t="s">
        <v>124</v>
      </c>
      <c r="AP4" s="7" t="s">
        <v>125</v>
      </c>
      <c r="AQ4" s="7" t="s">
        <v>104</v>
      </c>
      <c r="AR4" s="7" t="s">
        <v>105</v>
      </c>
      <c r="AS4" s="7" t="s">
        <v>106</v>
      </c>
      <c r="AT4" s="7" t="s">
        <v>107</v>
      </c>
      <c r="AU4" s="7" t="s">
        <v>107</v>
      </c>
      <c r="AX4" s="7" t="s">
        <v>108</v>
      </c>
      <c r="AY4" s="7" t="s">
        <v>109</v>
      </c>
      <c r="AZ4" s="7" t="s">
        <v>104</v>
      </c>
      <c r="BA4" s="7" t="s">
        <v>105</v>
      </c>
      <c r="BB4" s="7" t="s">
        <v>106</v>
      </c>
      <c r="BC4" s="7" t="s">
        <v>110</v>
      </c>
      <c r="BD4" s="7" t="s">
        <v>111</v>
      </c>
      <c r="BF4" s="7" t="s">
        <v>112</v>
      </c>
      <c r="BG4" s="7">
        <v>7922</v>
      </c>
      <c r="BH4" s="7" t="s">
        <v>113</v>
      </c>
      <c r="BO4" s="7">
        <v>16</v>
      </c>
      <c r="BR4" s="7" t="s">
        <v>104</v>
      </c>
      <c r="BS4" s="7" t="s">
        <v>114</v>
      </c>
      <c r="BT4" s="7" t="s">
        <v>115</v>
      </c>
      <c r="BU4" s="7" t="s">
        <v>116</v>
      </c>
      <c r="BV4" s="7" t="s">
        <v>111</v>
      </c>
      <c r="BW4" s="7" t="s">
        <v>117</v>
      </c>
    </row>
    <row r="5" spans="1:78" s="7" customFormat="1" x14ac:dyDescent="0.35">
      <c r="A5" s="7" t="s">
        <v>127</v>
      </c>
      <c r="B5" s="8">
        <v>46008</v>
      </c>
      <c r="C5" s="9">
        <v>0.89100694444444439</v>
      </c>
      <c r="D5" s="7" t="s">
        <v>78</v>
      </c>
      <c r="E5" s="7" t="s">
        <v>79</v>
      </c>
      <c r="F5" s="7" t="s">
        <v>128</v>
      </c>
      <c r="G5" s="7">
        <f>COUNTIF($F$2:$F$278,F5)</f>
        <v>26</v>
      </c>
      <c r="H5" s="7" t="s">
        <v>81</v>
      </c>
      <c r="I5" s="7" t="s">
        <v>82</v>
      </c>
      <c r="J5" s="7" t="s">
        <v>83</v>
      </c>
      <c r="K5" s="7" t="s">
        <v>84</v>
      </c>
      <c r="M5" s="7" t="s">
        <v>85</v>
      </c>
      <c r="N5" s="7" t="s">
        <v>86</v>
      </c>
      <c r="O5" s="7" t="s">
        <v>84</v>
      </c>
      <c r="P5" s="7" t="s">
        <v>88</v>
      </c>
      <c r="Q5" s="7" t="s">
        <v>129</v>
      </c>
      <c r="R5" s="7" t="s">
        <v>130</v>
      </c>
      <c r="S5" s="7" t="s">
        <v>91</v>
      </c>
      <c r="T5" s="7" t="s">
        <v>92</v>
      </c>
      <c r="U5" s="7" t="s">
        <v>93</v>
      </c>
      <c r="V5" s="7" t="s">
        <v>22</v>
      </c>
      <c r="W5" s="7" t="s">
        <v>95</v>
      </c>
      <c r="X5" s="7" t="s">
        <v>131</v>
      </c>
      <c r="Y5" s="7" t="s">
        <v>132</v>
      </c>
      <c r="Z5" s="7" t="s">
        <v>133</v>
      </c>
      <c r="AA5" s="7" t="b">
        <v>0</v>
      </c>
      <c r="AB5" s="7" t="b">
        <v>0</v>
      </c>
      <c r="AC5" s="11" t="s">
        <v>1331</v>
      </c>
      <c r="AD5" s="7">
        <v>110</v>
      </c>
      <c r="AE5" s="7" t="s">
        <v>134</v>
      </c>
      <c r="AH5" s="7" t="s">
        <v>79</v>
      </c>
      <c r="AI5" s="7" t="s">
        <v>99</v>
      </c>
      <c r="AJ5" s="7" t="s">
        <v>100</v>
      </c>
      <c r="AK5" s="7" t="s">
        <v>135</v>
      </c>
      <c r="AL5" s="7" t="s">
        <v>100</v>
      </c>
      <c r="AM5" s="7" t="s">
        <v>100</v>
      </c>
      <c r="AN5" s="7" t="s">
        <v>124</v>
      </c>
      <c r="AO5" s="7">
        <v>1008</v>
      </c>
      <c r="AP5" s="7" t="s">
        <v>136</v>
      </c>
      <c r="AQ5" s="7" t="s">
        <v>104</v>
      </c>
      <c r="AR5" s="7" t="s">
        <v>105</v>
      </c>
      <c r="AS5" s="7" t="s">
        <v>137</v>
      </c>
      <c r="AT5" s="7" t="s">
        <v>107</v>
      </c>
      <c r="AU5" s="7" t="s">
        <v>107</v>
      </c>
      <c r="AX5" s="7" t="s">
        <v>108</v>
      </c>
      <c r="AY5" s="7" t="s">
        <v>138</v>
      </c>
      <c r="AZ5" s="7" t="s">
        <v>104</v>
      </c>
      <c r="BA5" s="7" t="s">
        <v>105</v>
      </c>
      <c r="BB5" s="7" t="s">
        <v>139</v>
      </c>
      <c r="BC5" s="7" t="s">
        <v>110</v>
      </c>
      <c r="BD5" s="7" t="s">
        <v>110</v>
      </c>
      <c r="BF5" s="7" t="s">
        <v>112</v>
      </c>
      <c r="BG5" s="7">
        <v>7922</v>
      </c>
      <c r="BH5" s="7" t="s">
        <v>140</v>
      </c>
      <c r="BO5" s="7">
        <v>5</v>
      </c>
      <c r="BR5" s="7" t="s">
        <v>104</v>
      </c>
      <c r="BS5" s="7" t="s">
        <v>141</v>
      </c>
      <c r="BT5" s="7" t="s">
        <v>106</v>
      </c>
      <c r="BU5" s="7" t="s">
        <v>110</v>
      </c>
      <c r="BV5" s="7" t="s">
        <v>110</v>
      </c>
      <c r="BW5" s="7" t="s">
        <v>117</v>
      </c>
    </row>
    <row r="6" spans="1:78" s="7" customFormat="1" x14ac:dyDescent="0.35">
      <c r="A6" s="7" t="s">
        <v>142</v>
      </c>
      <c r="B6" s="8">
        <v>46008</v>
      </c>
      <c r="C6" s="9">
        <v>0.89098379629629632</v>
      </c>
      <c r="D6" s="7" t="s">
        <v>78</v>
      </c>
      <c r="E6" s="7" t="s">
        <v>79</v>
      </c>
      <c r="F6" s="7" t="s">
        <v>128</v>
      </c>
      <c r="G6" s="7">
        <f>COUNTIF($F$2:$F$278,F6)</f>
        <v>26</v>
      </c>
      <c r="H6" s="7" t="s">
        <v>81</v>
      </c>
      <c r="I6" s="7" t="s">
        <v>82</v>
      </c>
      <c r="J6" s="7" t="s">
        <v>83</v>
      </c>
      <c r="K6" s="7" t="s">
        <v>143</v>
      </c>
      <c r="L6" s="7">
        <v>50140</v>
      </c>
      <c r="M6" s="7" t="s">
        <v>85</v>
      </c>
      <c r="N6" s="7" t="s">
        <v>86</v>
      </c>
      <c r="O6" s="7" t="s">
        <v>84</v>
      </c>
      <c r="P6" s="7" t="s">
        <v>100</v>
      </c>
      <c r="Q6" s="7" t="s">
        <v>129</v>
      </c>
      <c r="R6" s="7" t="s">
        <v>130</v>
      </c>
      <c r="S6" s="7" t="s">
        <v>91</v>
      </c>
      <c r="T6" s="7" t="s">
        <v>92</v>
      </c>
      <c r="U6" s="7" t="s">
        <v>144</v>
      </c>
      <c r="V6" s="7" t="s">
        <v>22</v>
      </c>
      <c r="W6" s="7" t="s">
        <v>95</v>
      </c>
      <c r="X6" s="7" t="s">
        <v>131</v>
      </c>
      <c r="Y6" s="7" t="s">
        <v>132</v>
      </c>
      <c r="Z6" s="7" t="s">
        <v>133</v>
      </c>
      <c r="AA6" s="7" t="b">
        <v>0</v>
      </c>
      <c r="AB6" s="7" t="b">
        <v>0</v>
      </c>
      <c r="AC6" s="11" t="s">
        <v>1331</v>
      </c>
      <c r="AD6" s="7">
        <v>96</v>
      </c>
      <c r="AE6" s="7" t="s">
        <v>145</v>
      </c>
      <c r="AF6" s="7" t="s">
        <v>146</v>
      </c>
      <c r="AH6" s="7" t="s">
        <v>79</v>
      </c>
      <c r="AI6" s="7" t="s">
        <v>147</v>
      </c>
      <c r="AJ6" s="7" t="s">
        <v>100</v>
      </c>
      <c r="AK6" s="7" t="s">
        <v>148</v>
      </c>
      <c r="AL6" s="7" t="s">
        <v>100</v>
      </c>
      <c r="AM6" s="7" t="s">
        <v>100</v>
      </c>
      <c r="AN6" s="7" t="s">
        <v>124</v>
      </c>
      <c r="AO6" s="7">
        <v>1008</v>
      </c>
      <c r="AP6" s="7" t="s">
        <v>136</v>
      </c>
      <c r="AQ6" s="7" t="s">
        <v>104</v>
      </c>
      <c r="AR6" s="7" t="s">
        <v>105</v>
      </c>
      <c r="AS6" s="7" t="s">
        <v>137</v>
      </c>
      <c r="AT6" s="7" t="s">
        <v>107</v>
      </c>
      <c r="AU6" s="7" t="s">
        <v>107</v>
      </c>
      <c r="AX6" s="7" t="s">
        <v>108</v>
      </c>
      <c r="AY6" s="7" t="s">
        <v>138</v>
      </c>
      <c r="AZ6" s="7" t="s">
        <v>104</v>
      </c>
      <c r="BA6" s="7" t="s">
        <v>105</v>
      </c>
      <c r="BB6" s="7" t="s">
        <v>139</v>
      </c>
      <c r="BC6" s="7" t="s">
        <v>110</v>
      </c>
      <c r="BD6" s="7" t="s">
        <v>110</v>
      </c>
      <c r="BF6" s="7" t="s">
        <v>112</v>
      </c>
      <c r="BG6" s="7">
        <v>7922</v>
      </c>
      <c r="BH6" s="7" t="s">
        <v>140</v>
      </c>
      <c r="BO6" s="7">
        <v>5</v>
      </c>
      <c r="BR6" s="7" t="s">
        <v>104</v>
      </c>
      <c r="BS6" s="7" t="s">
        <v>141</v>
      </c>
      <c r="BT6" s="7" t="s">
        <v>106</v>
      </c>
      <c r="BU6" s="7" t="s">
        <v>110</v>
      </c>
      <c r="BV6" s="7" t="s">
        <v>110</v>
      </c>
      <c r="BW6" s="7" t="s">
        <v>117</v>
      </c>
    </row>
    <row r="7" spans="1:78" s="7" customFormat="1" x14ac:dyDescent="0.35">
      <c r="A7" s="7" t="s">
        <v>149</v>
      </c>
      <c r="B7" s="8">
        <v>46008</v>
      </c>
      <c r="C7" s="9">
        <v>0.89057870370370373</v>
      </c>
      <c r="D7" s="7" t="s">
        <v>78</v>
      </c>
      <c r="E7" s="7" t="s">
        <v>79</v>
      </c>
      <c r="F7" s="7" t="s">
        <v>128</v>
      </c>
      <c r="G7" s="7">
        <f>COUNTIF($F$2:$F$278,F7)</f>
        <v>26</v>
      </c>
      <c r="H7" s="7" t="s">
        <v>81</v>
      </c>
      <c r="I7" s="7" t="s">
        <v>82</v>
      </c>
      <c r="J7" s="7" t="s">
        <v>83</v>
      </c>
      <c r="K7" s="7" t="s">
        <v>84</v>
      </c>
      <c r="M7" s="7" t="s">
        <v>85</v>
      </c>
      <c r="N7" s="7" t="s">
        <v>86</v>
      </c>
      <c r="O7" s="7" t="s">
        <v>84</v>
      </c>
      <c r="P7" s="7" t="s">
        <v>88</v>
      </c>
      <c r="Q7" s="7" t="s">
        <v>150</v>
      </c>
      <c r="R7" s="7" t="s">
        <v>151</v>
      </c>
      <c r="S7" s="7" t="s">
        <v>150</v>
      </c>
      <c r="T7" s="7" t="s">
        <v>151</v>
      </c>
      <c r="U7" s="7" t="s">
        <v>93</v>
      </c>
      <c r="V7" s="7" t="s">
        <v>22</v>
      </c>
      <c r="W7" s="7" t="s">
        <v>95</v>
      </c>
      <c r="X7" s="7" t="s">
        <v>131</v>
      </c>
      <c r="Y7" s="7" t="s">
        <v>132</v>
      </c>
      <c r="Z7" s="7" t="s">
        <v>152</v>
      </c>
      <c r="AA7" s="7" t="b">
        <v>0</v>
      </c>
      <c r="AB7" s="7" t="b">
        <v>0</v>
      </c>
      <c r="AC7" s="11" t="s">
        <v>1331</v>
      </c>
      <c r="AD7" s="7">
        <v>107</v>
      </c>
      <c r="AE7" s="7" t="s">
        <v>153</v>
      </c>
      <c r="AI7" s="7" t="s">
        <v>154</v>
      </c>
      <c r="AJ7" s="7" t="s">
        <v>100</v>
      </c>
      <c r="AK7" s="7" t="s">
        <v>155</v>
      </c>
      <c r="AL7" s="7" t="s">
        <v>100</v>
      </c>
      <c r="AM7" s="7" t="s">
        <v>100</v>
      </c>
      <c r="AN7" s="7" t="s">
        <v>124</v>
      </c>
      <c r="AO7" s="7">
        <v>1008</v>
      </c>
      <c r="AP7" s="7" t="s">
        <v>156</v>
      </c>
      <c r="AQ7" s="7" t="s">
        <v>104</v>
      </c>
      <c r="AR7" s="7" t="s">
        <v>105</v>
      </c>
      <c r="AS7" s="7" t="s">
        <v>137</v>
      </c>
      <c r="AT7" s="7" t="s">
        <v>107</v>
      </c>
      <c r="AU7" s="7" t="s">
        <v>107</v>
      </c>
      <c r="AX7" s="7" t="s">
        <v>108</v>
      </c>
      <c r="AY7" s="7" t="s">
        <v>138</v>
      </c>
      <c r="AZ7" s="7" t="s">
        <v>104</v>
      </c>
      <c r="BA7" s="7" t="s">
        <v>105</v>
      </c>
      <c r="BB7" s="7" t="s">
        <v>139</v>
      </c>
      <c r="BC7" s="7" t="s">
        <v>110</v>
      </c>
      <c r="BD7" s="7" t="s">
        <v>110</v>
      </c>
      <c r="BF7" s="7" t="s">
        <v>112</v>
      </c>
      <c r="BG7" s="7">
        <v>7922</v>
      </c>
      <c r="BH7" s="7" t="s">
        <v>140</v>
      </c>
      <c r="BO7" s="7">
        <v>5</v>
      </c>
      <c r="BR7" s="7" t="s">
        <v>104</v>
      </c>
      <c r="BS7" s="7" t="s">
        <v>141</v>
      </c>
      <c r="BT7" s="7" t="s">
        <v>106</v>
      </c>
      <c r="BU7" s="7" t="s">
        <v>110</v>
      </c>
      <c r="BV7" s="7" t="s">
        <v>110</v>
      </c>
      <c r="BW7" s="7" t="s">
        <v>117</v>
      </c>
    </row>
    <row r="8" spans="1:78" s="7" customFormat="1" x14ac:dyDescent="0.35">
      <c r="A8" s="7" t="s">
        <v>157</v>
      </c>
      <c r="B8" s="8">
        <v>46008</v>
      </c>
      <c r="C8" s="9">
        <v>0.89056712962962958</v>
      </c>
      <c r="D8" s="7" t="s">
        <v>78</v>
      </c>
      <c r="E8" s="7" t="s">
        <v>79</v>
      </c>
      <c r="F8" s="7" t="s">
        <v>128</v>
      </c>
      <c r="G8" s="7">
        <f>COUNTIF($F$2:$F$278,F8)</f>
        <v>26</v>
      </c>
      <c r="H8" s="7" t="s">
        <v>81</v>
      </c>
      <c r="I8" s="7" t="s">
        <v>82</v>
      </c>
      <c r="J8" s="7" t="s">
        <v>83</v>
      </c>
      <c r="K8" s="7" t="s">
        <v>84</v>
      </c>
      <c r="M8" s="7" t="s">
        <v>85</v>
      </c>
      <c r="N8" s="7" t="s">
        <v>86</v>
      </c>
      <c r="O8" s="7" t="s">
        <v>84</v>
      </c>
      <c r="P8" s="7" t="s">
        <v>88</v>
      </c>
      <c r="Q8" s="7" t="s">
        <v>150</v>
      </c>
      <c r="R8" s="7" t="s">
        <v>151</v>
      </c>
      <c r="S8" s="7" t="s">
        <v>150</v>
      </c>
      <c r="T8" s="7" t="s">
        <v>151</v>
      </c>
      <c r="U8" s="7" t="s">
        <v>93</v>
      </c>
      <c r="V8" s="7" t="s">
        <v>22</v>
      </c>
      <c r="W8" s="7" t="s">
        <v>95</v>
      </c>
      <c r="X8" s="7" t="s">
        <v>131</v>
      </c>
      <c r="Y8" s="7" t="s">
        <v>132</v>
      </c>
      <c r="Z8" s="7" t="s">
        <v>152</v>
      </c>
      <c r="AA8" s="7" t="b">
        <v>0</v>
      </c>
      <c r="AB8" s="7" t="b">
        <v>0</v>
      </c>
      <c r="AC8" s="11" t="s">
        <v>1331</v>
      </c>
      <c r="AD8" s="7">
        <v>94</v>
      </c>
      <c r="AE8" s="7" t="s">
        <v>134</v>
      </c>
      <c r="AH8" s="7" t="s">
        <v>79</v>
      </c>
      <c r="AI8" s="7" t="s">
        <v>154</v>
      </c>
      <c r="AJ8" s="7" t="s">
        <v>100</v>
      </c>
      <c r="AK8" s="7" t="s">
        <v>158</v>
      </c>
      <c r="AL8" s="7" t="s">
        <v>100</v>
      </c>
      <c r="AM8" s="7" t="s">
        <v>100</v>
      </c>
      <c r="AN8" s="7" t="s">
        <v>102</v>
      </c>
      <c r="AP8" s="7" t="s">
        <v>156</v>
      </c>
      <c r="AQ8" s="7" t="s">
        <v>104</v>
      </c>
      <c r="AR8" s="7" t="s">
        <v>105</v>
      </c>
      <c r="AS8" s="7" t="s">
        <v>137</v>
      </c>
      <c r="AT8" s="7" t="s">
        <v>107</v>
      </c>
      <c r="AU8" s="7" t="s">
        <v>107</v>
      </c>
      <c r="AX8" s="7" t="s">
        <v>108</v>
      </c>
      <c r="AY8" s="7" t="s">
        <v>138</v>
      </c>
      <c r="AZ8" s="7" t="s">
        <v>104</v>
      </c>
      <c r="BA8" s="7" t="s">
        <v>105</v>
      </c>
      <c r="BB8" s="7" t="s">
        <v>139</v>
      </c>
      <c r="BC8" s="7" t="s">
        <v>110</v>
      </c>
      <c r="BD8" s="7" t="s">
        <v>110</v>
      </c>
      <c r="BF8" s="7" t="s">
        <v>112</v>
      </c>
      <c r="BG8" s="7">
        <v>7922</v>
      </c>
      <c r="BH8" s="7" t="s">
        <v>140</v>
      </c>
      <c r="BO8" s="7">
        <v>5</v>
      </c>
      <c r="BR8" s="7" t="s">
        <v>104</v>
      </c>
      <c r="BS8" s="7" t="s">
        <v>141</v>
      </c>
      <c r="BT8" s="7" t="s">
        <v>106</v>
      </c>
      <c r="BU8" s="7" t="s">
        <v>110</v>
      </c>
      <c r="BV8" s="7" t="s">
        <v>110</v>
      </c>
      <c r="BW8" s="7" t="s">
        <v>117</v>
      </c>
    </row>
    <row r="9" spans="1:78" s="7" customFormat="1" x14ac:dyDescent="0.35">
      <c r="A9" s="7" t="s">
        <v>159</v>
      </c>
      <c r="B9" s="8">
        <v>46008</v>
      </c>
      <c r="C9" s="9">
        <v>0.89054398148148151</v>
      </c>
      <c r="D9" s="7" t="s">
        <v>78</v>
      </c>
      <c r="E9" s="7" t="s">
        <v>79</v>
      </c>
      <c r="F9" s="7" t="s">
        <v>128</v>
      </c>
      <c r="G9" s="7">
        <f>COUNTIF($F$2:$F$278,F9)</f>
        <v>26</v>
      </c>
      <c r="H9" s="7" t="s">
        <v>81</v>
      </c>
      <c r="I9" s="7" t="s">
        <v>82</v>
      </c>
      <c r="J9" s="7" t="s">
        <v>83</v>
      </c>
      <c r="K9" s="7" t="s">
        <v>143</v>
      </c>
      <c r="L9" s="7">
        <v>50140</v>
      </c>
      <c r="M9" s="7" t="s">
        <v>85</v>
      </c>
      <c r="N9" s="7" t="s">
        <v>86</v>
      </c>
      <c r="O9" s="7" t="s">
        <v>84</v>
      </c>
      <c r="P9" s="7" t="s">
        <v>100</v>
      </c>
      <c r="Q9" s="7" t="s">
        <v>150</v>
      </c>
      <c r="R9" s="7" t="s">
        <v>151</v>
      </c>
      <c r="S9" s="7" t="s">
        <v>150</v>
      </c>
      <c r="T9" s="7" t="s">
        <v>151</v>
      </c>
      <c r="U9" s="7" t="s">
        <v>144</v>
      </c>
      <c r="V9" s="7" t="s">
        <v>22</v>
      </c>
      <c r="W9" s="7" t="s">
        <v>95</v>
      </c>
      <c r="X9" s="7" t="s">
        <v>131</v>
      </c>
      <c r="Y9" s="7" t="s">
        <v>132</v>
      </c>
      <c r="Z9" s="7" t="s">
        <v>152</v>
      </c>
      <c r="AA9" s="7" t="b">
        <v>0</v>
      </c>
      <c r="AB9" s="7" t="b">
        <v>0</v>
      </c>
      <c r="AC9" s="11" t="s">
        <v>1331</v>
      </c>
      <c r="AD9" s="7">
        <v>83</v>
      </c>
      <c r="AE9" s="7" t="s">
        <v>145</v>
      </c>
      <c r="AF9" s="7" t="s">
        <v>146</v>
      </c>
      <c r="AH9" s="7" t="s">
        <v>79</v>
      </c>
      <c r="AI9" s="7" t="s">
        <v>154</v>
      </c>
      <c r="AJ9" s="7" t="s">
        <v>100</v>
      </c>
      <c r="AK9" s="7" t="s">
        <v>160</v>
      </c>
      <c r="AL9" s="7" t="s">
        <v>100</v>
      </c>
      <c r="AM9" s="7" t="s">
        <v>100</v>
      </c>
      <c r="AN9" s="7" t="s">
        <v>102</v>
      </c>
      <c r="AP9" s="7" t="s">
        <v>156</v>
      </c>
      <c r="AQ9" s="7" t="s">
        <v>104</v>
      </c>
      <c r="AR9" s="7" t="s">
        <v>105</v>
      </c>
      <c r="AS9" s="7" t="s">
        <v>137</v>
      </c>
      <c r="AT9" s="7" t="s">
        <v>107</v>
      </c>
      <c r="AU9" s="7" t="s">
        <v>107</v>
      </c>
      <c r="AX9" s="7" t="s">
        <v>108</v>
      </c>
      <c r="AY9" s="7" t="s">
        <v>138</v>
      </c>
      <c r="AZ9" s="7" t="s">
        <v>104</v>
      </c>
      <c r="BA9" s="7" t="s">
        <v>105</v>
      </c>
      <c r="BB9" s="7" t="s">
        <v>139</v>
      </c>
      <c r="BC9" s="7" t="s">
        <v>110</v>
      </c>
      <c r="BD9" s="7" t="s">
        <v>110</v>
      </c>
      <c r="BF9" s="7" t="s">
        <v>112</v>
      </c>
      <c r="BG9" s="7">
        <v>7922</v>
      </c>
      <c r="BH9" s="7" t="s">
        <v>140</v>
      </c>
      <c r="BO9" s="7">
        <v>5</v>
      </c>
      <c r="BR9" s="7" t="s">
        <v>104</v>
      </c>
      <c r="BS9" s="7" t="s">
        <v>141</v>
      </c>
      <c r="BT9" s="7" t="s">
        <v>106</v>
      </c>
      <c r="BU9" s="7" t="s">
        <v>110</v>
      </c>
      <c r="BV9" s="7" t="s">
        <v>110</v>
      </c>
      <c r="BW9" s="7" t="s">
        <v>117</v>
      </c>
    </row>
    <row r="10" spans="1:78" s="7" customFormat="1" x14ac:dyDescent="0.35">
      <c r="A10" s="7" t="s">
        <v>161</v>
      </c>
      <c r="B10" s="8">
        <v>46008</v>
      </c>
      <c r="C10" s="9">
        <v>0.88799768518518529</v>
      </c>
      <c r="D10" s="7" t="s">
        <v>78</v>
      </c>
      <c r="E10" s="7" t="s">
        <v>79</v>
      </c>
      <c r="F10" s="7" t="s">
        <v>128</v>
      </c>
      <c r="G10" s="7">
        <f>COUNTIF($F$2:$F$278,F10)</f>
        <v>26</v>
      </c>
      <c r="H10" s="7" t="s">
        <v>81</v>
      </c>
      <c r="I10" s="7" t="s">
        <v>82</v>
      </c>
      <c r="J10" s="7" t="s">
        <v>83</v>
      </c>
      <c r="K10" s="7" t="s">
        <v>143</v>
      </c>
      <c r="L10" s="7">
        <v>50072</v>
      </c>
      <c r="M10" s="7" t="s">
        <v>85</v>
      </c>
      <c r="N10" s="7" t="s">
        <v>86</v>
      </c>
      <c r="O10" s="7" t="s">
        <v>119</v>
      </c>
      <c r="P10" s="7" t="s">
        <v>100</v>
      </c>
      <c r="Q10" s="7" t="s">
        <v>129</v>
      </c>
      <c r="R10" s="7" t="s">
        <v>130</v>
      </c>
      <c r="S10" s="7" t="s">
        <v>91</v>
      </c>
      <c r="T10" s="7" t="s">
        <v>92</v>
      </c>
      <c r="U10" s="7" t="s">
        <v>162</v>
      </c>
      <c r="V10" s="7" t="s">
        <v>22</v>
      </c>
      <c r="W10" s="7" t="s">
        <v>95</v>
      </c>
      <c r="X10" s="7" t="s">
        <v>131</v>
      </c>
      <c r="Y10" s="7" t="s">
        <v>132</v>
      </c>
      <c r="Z10" s="7" t="s">
        <v>133</v>
      </c>
      <c r="AA10" s="7" t="b">
        <v>0</v>
      </c>
      <c r="AB10" s="7" t="b">
        <v>0</v>
      </c>
      <c r="AC10" s="11" t="s">
        <v>1331</v>
      </c>
      <c r="AD10" s="7">
        <v>103</v>
      </c>
      <c r="AE10" s="7" t="s">
        <v>163</v>
      </c>
      <c r="AH10" s="7" t="s">
        <v>79</v>
      </c>
      <c r="AI10" s="7" t="s">
        <v>164</v>
      </c>
      <c r="AJ10" s="7" t="s">
        <v>100</v>
      </c>
      <c r="AK10" s="7" t="s">
        <v>165</v>
      </c>
      <c r="AL10" s="7" t="s">
        <v>100</v>
      </c>
      <c r="AM10" s="7" t="s">
        <v>100</v>
      </c>
      <c r="AN10" s="7" t="s">
        <v>124</v>
      </c>
      <c r="AO10" s="7">
        <v>1008</v>
      </c>
      <c r="AP10" s="7" t="s">
        <v>166</v>
      </c>
      <c r="AQ10" s="7" t="s">
        <v>104</v>
      </c>
      <c r="AR10" s="7" t="s">
        <v>105</v>
      </c>
      <c r="AS10" s="7" t="s">
        <v>137</v>
      </c>
      <c r="AT10" s="7" t="s">
        <v>107</v>
      </c>
      <c r="AU10" s="7" t="s">
        <v>107</v>
      </c>
      <c r="AX10" s="7" t="s">
        <v>108</v>
      </c>
      <c r="AY10" s="7" t="s">
        <v>138</v>
      </c>
      <c r="AZ10" s="7" t="s">
        <v>104</v>
      </c>
      <c r="BA10" s="7" t="s">
        <v>105</v>
      </c>
      <c r="BB10" s="7" t="s">
        <v>139</v>
      </c>
      <c r="BC10" s="7" t="s">
        <v>110</v>
      </c>
      <c r="BD10" s="7" t="s">
        <v>110</v>
      </c>
      <c r="BF10" s="7" t="s">
        <v>112</v>
      </c>
      <c r="BG10" s="7">
        <v>7922</v>
      </c>
      <c r="BH10" s="7" t="s">
        <v>140</v>
      </c>
      <c r="BO10" s="7">
        <v>5</v>
      </c>
      <c r="BR10" s="7" t="s">
        <v>104</v>
      </c>
      <c r="BS10" s="7" t="s">
        <v>141</v>
      </c>
      <c r="BT10" s="7" t="s">
        <v>106</v>
      </c>
      <c r="BU10" s="7" t="s">
        <v>110</v>
      </c>
      <c r="BV10" s="7" t="s">
        <v>110</v>
      </c>
      <c r="BW10" s="7" t="s">
        <v>117</v>
      </c>
    </row>
    <row r="11" spans="1:78" x14ac:dyDescent="0.35">
      <c r="A11" t="s">
        <v>167</v>
      </c>
      <c r="B11" s="1">
        <v>46008</v>
      </c>
      <c r="C11" s="2">
        <v>0.88416666666666666</v>
      </c>
      <c r="D11" t="s">
        <v>78</v>
      </c>
      <c r="E11" t="s">
        <v>79</v>
      </c>
      <c r="F11" t="s">
        <v>168</v>
      </c>
      <c r="G11">
        <f>COUNTIF($F$2:$F$278,F11)</f>
        <v>2</v>
      </c>
      <c r="H11" t="s">
        <v>81</v>
      </c>
      <c r="I11" t="s">
        <v>82</v>
      </c>
      <c r="J11" t="s">
        <v>83</v>
      </c>
      <c r="K11" t="s">
        <v>143</v>
      </c>
      <c r="L11">
        <v>50072</v>
      </c>
      <c r="M11" t="s">
        <v>85</v>
      </c>
      <c r="N11" t="s">
        <v>86</v>
      </c>
      <c r="O11" t="s">
        <v>87</v>
      </c>
      <c r="P11" t="s">
        <v>100</v>
      </c>
      <c r="Q11" t="s">
        <v>169</v>
      </c>
      <c r="R11" t="s">
        <v>170</v>
      </c>
      <c r="T11" t="s">
        <v>171</v>
      </c>
      <c r="U11" t="s">
        <v>162</v>
      </c>
      <c r="V11" t="s">
        <v>94</v>
      </c>
      <c r="X11" t="s">
        <v>172</v>
      </c>
      <c r="Y11" t="s">
        <v>173</v>
      </c>
      <c r="Z11" t="s">
        <v>174</v>
      </c>
      <c r="AA11" t="b">
        <v>0</v>
      </c>
      <c r="AB11" t="b">
        <v>0</v>
      </c>
      <c r="AD11">
        <v>241</v>
      </c>
      <c r="AE11" t="s">
        <v>163</v>
      </c>
      <c r="AH11" t="s">
        <v>79</v>
      </c>
      <c r="AI11" t="s">
        <v>175</v>
      </c>
      <c r="AJ11" t="s">
        <v>100</v>
      </c>
      <c r="AK11" t="s">
        <v>176</v>
      </c>
      <c r="AL11" t="s">
        <v>100</v>
      </c>
      <c r="AM11" t="s">
        <v>100</v>
      </c>
      <c r="AN11" t="s">
        <v>124</v>
      </c>
      <c r="AO11">
        <v>1002</v>
      </c>
      <c r="AP11" t="s">
        <v>177</v>
      </c>
      <c r="AQ11" t="s">
        <v>104</v>
      </c>
      <c r="AR11" t="s">
        <v>105</v>
      </c>
      <c r="AS11" t="s">
        <v>137</v>
      </c>
      <c r="AT11" t="s">
        <v>107</v>
      </c>
      <c r="AU11" t="s">
        <v>107</v>
      </c>
      <c r="AX11" t="s">
        <v>108</v>
      </c>
      <c r="AY11" t="s">
        <v>138</v>
      </c>
      <c r="AZ11" t="s">
        <v>104</v>
      </c>
      <c r="BA11" t="s">
        <v>105</v>
      </c>
      <c r="BB11" t="s">
        <v>139</v>
      </c>
      <c r="BC11" t="s">
        <v>110</v>
      </c>
      <c r="BD11" t="s">
        <v>110</v>
      </c>
      <c r="BF11" t="s">
        <v>112</v>
      </c>
      <c r="BG11">
        <v>7922</v>
      </c>
      <c r="BH11" t="s">
        <v>140</v>
      </c>
      <c r="BO11">
        <v>5</v>
      </c>
      <c r="BR11" t="s">
        <v>104</v>
      </c>
      <c r="BS11" t="s">
        <v>141</v>
      </c>
      <c r="BT11" t="s">
        <v>106</v>
      </c>
      <c r="BU11" t="s">
        <v>110</v>
      </c>
      <c r="BV11" t="s">
        <v>110</v>
      </c>
      <c r="BW11" t="s">
        <v>117</v>
      </c>
    </row>
    <row r="12" spans="1:78" x14ac:dyDescent="0.35">
      <c r="A12" t="s">
        <v>178</v>
      </c>
      <c r="B12" s="1">
        <v>46008</v>
      </c>
      <c r="C12" s="2">
        <v>0.87774305555555554</v>
      </c>
      <c r="D12" t="s">
        <v>78</v>
      </c>
      <c r="E12" t="s">
        <v>79</v>
      </c>
      <c r="F12" t="s">
        <v>168</v>
      </c>
      <c r="G12">
        <f>COUNTIF($F$2:$F$278,F12)</f>
        <v>2</v>
      </c>
      <c r="H12" t="s">
        <v>81</v>
      </c>
      <c r="I12" t="s">
        <v>82</v>
      </c>
      <c r="J12" t="s">
        <v>83</v>
      </c>
      <c r="K12" t="s">
        <v>143</v>
      </c>
      <c r="L12">
        <v>50072</v>
      </c>
      <c r="M12" t="s">
        <v>85</v>
      </c>
      <c r="N12" t="s">
        <v>86</v>
      </c>
      <c r="O12" t="s">
        <v>87</v>
      </c>
      <c r="P12" t="s">
        <v>100</v>
      </c>
      <c r="Q12" t="s">
        <v>169</v>
      </c>
      <c r="R12" t="s">
        <v>170</v>
      </c>
      <c r="T12" t="s">
        <v>171</v>
      </c>
      <c r="U12" t="s">
        <v>162</v>
      </c>
      <c r="V12" t="s">
        <v>94</v>
      </c>
      <c r="X12" t="s">
        <v>172</v>
      </c>
      <c r="Y12" t="s">
        <v>173</v>
      </c>
      <c r="Z12" t="s">
        <v>174</v>
      </c>
      <c r="AA12" t="b">
        <v>0</v>
      </c>
      <c r="AB12" t="b">
        <v>0</v>
      </c>
      <c r="AD12">
        <v>113</v>
      </c>
      <c r="AE12" t="s">
        <v>163</v>
      </c>
      <c r="AH12" t="s">
        <v>79</v>
      </c>
      <c r="AI12" t="s">
        <v>179</v>
      </c>
      <c r="AJ12" t="s">
        <v>100</v>
      </c>
      <c r="AK12" t="s">
        <v>180</v>
      </c>
      <c r="AL12" t="s">
        <v>100</v>
      </c>
      <c r="AM12" t="s">
        <v>100</v>
      </c>
      <c r="AN12" t="s">
        <v>124</v>
      </c>
      <c r="AO12">
        <v>1002</v>
      </c>
      <c r="AP12" t="s">
        <v>181</v>
      </c>
      <c r="AQ12" t="s">
        <v>104</v>
      </c>
      <c r="AR12" t="s">
        <v>105</v>
      </c>
      <c r="AS12" t="s">
        <v>137</v>
      </c>
      <c r="AT12" t="s">
        <v>107</v>
      </c>
      <c r="AU12" t="s">
        <v>107</v>
      </c>
      <c r="AX12" t="s">
        <v>108</v>
      </c>
      <c r="AY12" t="s">
        <v>138</v>
      </c>
      <c r="AZ12" t="s">
        <v>104</v>
      </c>
      <c r="BA12" t="s">
        <v>105</v>
      </c>
      <c r="BB12" t="s">
        <v>139</v>
      </c>
      <c r="BC12" t="s">
        <v>110</v>
      </c>
      <c r="BD12" t="s">
        <v>110</v>
      </c>
      <c r="BF12" t="s">
        <v>112</v>
      </c>
      <c r="BG12">
        <v>7922</v>
      </c>
      <c r="BH12" t="s">
        <v>140</v>
      </c>
      <c r="BO12">
        <v>5</v>
      </c>
      <c r="BR12" t="s">
        <v>104</v>
      </c>
      <c r="BS12" t="s">
        <v>141</v>
      </c>
      <c r="BT12" t="s">
        <v>106</v>
      </c>
      <c r="BU12" t="s">
        <v>110</v>
      </c>
      <c r="BV12" t="s">
        <v>110</v>
      </c>
      <c r="BW12" t="s">
        <v>117</v>
      </c>
    </row>
    <row r="13" spans="1:78" s="7" customFormat="1" x14ac:dyDescent="0.35">
      <c r="A13" s="7" t="s">
        <v>182</v>
      </c>
      <c r="B13" s="8">
        <v>46008</v>
      </c>
      <c r="C13" s="9">
        <v>0.8756018518518518</v>
      </c>
      <c r="D13" s="7" t="s">
        <v>183</v>
      </c>
      <c r="E13" s="7" t="s">
        <v>184</v>
      </c>
      <c r="F13" s="11" t="s">
        <v>185</v>
      </c>
      <c r="G13" s="7">
        <f>COUNTIF($F$2:$F$278,F13)</f>
        <v>10</v>
      </c>
      <c r="H13" s="7" t="s">
        <v>186</v>
      </c>
      <c r="I13" s="7" t="s">
        <v>187</v>
      </c>
      <c r="J13" s="7" t="s">
        <v>83</v>
      </c>
      <c r="K13" s="7" t="s">
        <v>84</v>
      </c>
      <c r="M13" s="7" t="s">
        <v>85</v>
      </c>
      <c r="N13" s="7" t="s">
        <v>86</v>
      </c>
      <c r="O13" s="7" t="s">
        <v>84</v>
      </c>
      <c r="P13" s="7" t="s">
        <v>100</v>
      </c>
      <c r="Q13" s="7" t="s">
        <v>188</v>
      </c>
      <c r="R13" s="7" t="s">
        <v>189</v>
      </c>
      <c r="S13" s="7" t="s">
        <v>190</v>
      </c>
      <c r="T13" s="7" t="s">
        <v>191</v>
      </c>
      <c r="U13" s="7" t="s">
        <v>93</v>
      </c>
      <c r="V13" s="7" t="s">
        <v>22</v>
      </c>
      <c r="X13" s="7" t="s">
        <v>192</v>
      </c>
      <c r="Y13" s="7" t="s">
        <v>132</v>
      </c>
      <c r="Z13" s="7" t="s">
        <v>193</v>
      </c>
      <c r="AA13" s="7" t="b">
        <v>0</v>
      </c>
      <c r="AB13" s="7" t="b">
        <v>0</v>
      </c>
      <c r="AD13" s="7">
        <v>65</v>
      </c>
      <c r="AE13" s="7" t="s">
        <v>153</v>
      </c>
      <c r="AI13" s="7" t="s">
        <v>194</v>
      </c>
      <c r="AJ13" s="7" t="s">
        <v>100</v>
      </c>
      <c r="AK13" s="7" t="s">
        <v>195</v>
      </c>
      <c r="AL13" s="7" t="s">
        <v>100</v>
      </c>
      <c r="AM13" s="7" t="s">
        <v>100</v>
      </c>
      <c r="AN13" s="7" t="s">
        <v>124</v>
      </c>
      <c r="AO13" s="7">
        <v>1002</v>
      </c>
      <c r="AP13" s="7" t="s">
        <v>196</v>
      </c>
      <c r="AQ13" s="7" t="s">
        <v>104</v>
      </c>
      <c r="AR13" s="7" t="s">
        <v>197</v>
      </c>
      <c r="AS13" s="7" t="s">
        <v>198</v>
      </c>
      <c r="AT13" s="7" t="s">
        <v>199</v>
      </c>
      <c r="AU13" s="7" t="s">
        <v>199</v>
      </c>
      <c r="AX13" s="7" t="s">
        <v>200</v>
      </c>
      <c r="AY13" s="7" t="s">
        <v>201</v>
      </c>
      <c r="AZ13" s="7" t="s">
        <v>104</v>
      </c>
      <c r="BA13" s="7" t="s">
        <v>197</v>
      </c>
      <c r="BB13" s="7" t="s">
        <v>202</v>
      </c>
      <c r="BC13" s="7" t="s">
        <v>199</v>
      </c>
      <c r="BD13" s="7" t="s">
        <v>199</v>
      </c>
      <c r="BF13" s="7" t="s">
        <v>203</v>
      </c>
      <c r="BG13" s="7">
        <v>20115</v>
      </c>
      <c r="BH13" s="7" t="s">
        <v>204</v>
      </c>
      <c r="BO13" s="7">
        <v>9</v>
      </c>
      <c r="BR13" s="7" t="s">
        <v>104</v>
      </c>
      <c r="BS13" s="7" t="s">
        <v>205</v>
      </c>
      <c r="BT13" s="7" t="s">
        <v>206</v>
      </c>
      <c r="BU13" s="7" t="s">
        <v>207</v>
      </c>
      <c r="BV13" s="7" t="s">
        <v>208</v>
      </c>
      <c r="BW13" s="7" t="s">
        <v>209</v>
      </c>
    </row>
    <row r="14" spans="1:78" s="7" customFormat="1" x14ac:dyDescent="0.35">
      <c r="A14" s="7" t="s">
        <v>210</v>
      </c>
      <c r="B14" s="8">
        <v>46008</v>
      </c>
      <c r="C14" s="9">
        <v>0.87548611111111108</v>
      </c>
      <c r="D14" s="7" t="s">
        <v>183</v>
      </c>
      <c r="E14" s="7" t="s">
        <v>184</v>
      </c>
      <c r="F14" s="11" t="s">
        <v>185</v>
      </c>
      <c r="G14" s="7">
        <f>COUNTIF($F$2:$F$278,F14)</f>
        <v>10</v>
      </c>
      <c r="H14" s="7" t="s">
        <v>186</v>
      </c>
      <c r="I14" s="7" t="s">
        <v>187</v>
      </c>
      <c r="J14" s="7" t="s">
        <v>83</v>
      </c>
      <c r="K14" s="7" t="s">
        <v>84</v>
      </c>
      <c r="M14" s="7" t="s">
        <v>85</v>
      </c>
      <c r="N14" s="7" t="s">
        <v>86</v>
      </c>
      <c r="O14" s="7" t="s">
        <v>84</v>
      </c>
      <c r="P14" s="7" t="s">
        <v>100</v>
      </c>
      <c r="Q14" s="7" t="s">
        <v>150</v>
      </c>
      <c r="R14" s="7" t="s">
        <v>151</v>
      </c>
      <c r="S14" s="7" t="s">
        <v>150</v>
      </c>
      <c r="T14" s="7" t="s">
        <v>151</v>
      </c>
      <c r="U14" s="7" t="s">
        <v>93</v>
      </c>
      <c r="V14" s="7" t="s">
        <v>22</v>
      </c>
      <c r="X14" s="7" t="s">
        <v>192</v>
      </c>
      <c r="Y14" s="7" t="s">
        <v>132</v>
      </c>
      <c r="Z14" s="7" t="s">
        <v>193</v>
      </c>
      <c r="AA14" s="7" t="b">
        <v>0</v>
      </c>
      <c r="AB14" s="7" t="b">
        <v>0</v>
      </c>
      <c r="AD14" s="7">
        <v>107</v>
      </c>
      <c r="AE14" s="7" t="s">
        <v>153</v>
      </c>
      <c r="AI14" s="7" t="s">
        <v>194</v>
      </c>
      <c r="AJ14" s="7" t="s">
        <v>100</v>
      </c>
      <c r="AK14" s="7" t="s">
        <v>211</v>
      </c>
      <c r="AL14" s="7" t="s">
        <v>100</v>
      </c>
      <c r="AM14" s="7" t="s">
        <v>100</v>
      </c>
      <c r="AN14" s="7" t="s">
        <v>124</v>
      </c>
      <c r="AO14" s="7">
        <v>1002</v>
      </c>
      <c r="AP14" s="7" t="s">
        <v>212</v>
      </c>
      <c r="AQ14" s="7" t="s">
        <v>104</v>
      </c>
      <c r="AR14" s="7" t="s">
        <v>197</v>
      </c>
      <c r="AS14" s="7" t="s">
        <v>198</v>
      </c>
      <c r="AT14" s="7" t="s">
        <v>199</v>
      </c>
      <c r="AU14" s="7" t="s">
        <v>199</v>
      </c>
      <c r="AX14" s="7" t="s">
        <v>200</v>
      </c>
      <c r="AY14" s="7" t="s">
        <v>201</v>
      </c>
      <c r="AZ14" s="7" t="s">
        <v>104</v>
      </c>
      <c r="BA14" s="7" t="s">
        <v>197</v>
      </c>
      <c r="BB14" s="7" t="s">
        <v>202</v>
      </c>
      <c r="BC14" s="7" t="s">
        <v>199</v>
      </c>
      <c r="BD14" s="7" t="s">
        <v>199</v>
      </c>
      <c r="BF14" s="7" t="s">
        <v>203</v>
      </c>
      <c r="BG14" s="7">
        <v>20115</v>
      </c>
      <c r="BH14" s="7" t="s">
        <v>204</v>
      </c>
      <c r="BO14" s="7">
        <v>9</v>
      </c>
      <c r="BR14" s="7" t="s">
        <v>104</v>
      </c>
      <c r="BS14" s="7" t="s">
        <v>205</v>
      </c>
      <c r="BT14" s="7" t="s">
        <v>206</v>
      </c>
      <c r="BU14" s="7" t="s">
        <v>207</v>
      </c>
      <c r="BV14" s="7" t="s">
        <v>208</v>
      </c>
      <c r="BW14" s="7" t="s">
        <v>209</v>
      </c>
    </row>
    <row r="15" spans="1:78" s="7" customFormat="1" x14ac:dyDescent="0.35">
      <c r="A15" s="7" t="s">
        <v>210</v>
      </c>
      <c r="B15" s="8">
        <v>46008</v>
      </c>
      <c r="C15" s="9">
        <v>0.87548611111111108</v>
      </c>
      <c r="D15" s="7" t="s">
        <v>183</v>
      </c>
      <c r="E15" s="7" t="s">
        <v>184</v>
      </c>
      <c r="F15" s="11" t="s">
        <v>185</v>
      </c>
      <c r="G15" s="7">
        <f>COUNTIF($F$2:$F$278,F15)</f>
        <v>10</v>
      </c>
      <c r="H15" s="7" t="s">
        <v>186</v>
      </c>
      <c r="I15" s="7" t="s">
        <v>187</v>
      </c>
      <c r="J15" s="7" t="s">
        <v>83</v>
      </c>
      <c r="K15" s="7" t="s">
        <v>84</v>
      </c>
      <c r="M15" s="7" t="s">
        <v>85</v>
      </c>
      <c r="N15" s="7" t="s">
        <v>86</v>
      </c>
      <c r="O15" s="7" t="s">
        <v>84</v>
      </c>
      <c r="P15" s="7" t="s">
        <v>100</v>
      </c>
      <c r="Q15" s="7" t="s">
        <v>150</v>
      </c>
      <c r="R15" s="7" t="s">
        <v>151</v>
      </c>
      <c r="S15" s="7" t="s">
        <v>150</v>
      </c>
      <c r="T15" s="7" t="s">
        <v>151</v>
      </c>
      <c r="U15" s="7" t="s">
        <v>93</v>
      </c>
      <c r="V15" s="7" t="s">
        <v>22</v>
      </c>
      <c r="X15" s="7" t="s">
        <v>192</v>
      </c>
      <c r="Y15" s="7" t="s">
        <v>132</v>
      </c>
      <c r="Z15" s="7" t="s">
        <v>193</v>
      </c>
      <c r="AA15" s="7" t="b">
        <v>0</v>
      </c>
      <c r="AB15" s="7" t="b">
        <v>0</v>
      </c>
      <c r="AD15" s="7">
        <v>95</v>
      </c>
      <c r="AE15" s="7" t="s">
        <v>134</v>
      </c>
      <c r="AH15" s="7" t="s">
        <v>184</v>
      </c>
      <c r="AI15" s="7" t="s">
        <v>194</v>
      </c>
      <c r="AJ15" s="7" t="s">
        <v>100</v>
      </c>
      <c r="AK15" s="7" t="s">
        <v>213</v>
      </c>
      <c r="AL15" s="7" t="s">
        <v>100</v>
      </c>
      <c r="AM15" s="7" t="s">
        <v>100</v>
      </c>
      <c r="AN15" s="7" t="s">
        <v>124</v>
      </c>
      <c r="AO15" s="7">
        <v>1002</v>
      </c>
      <c r="AP15" s="7" t="s">
        <v>212</v>
      </c>
      <c r="AQ15" s="7" t="s">
        <v>104</v>
      </c>
      <c r="AR15" s="7" t="s">
        <v>197</v>
      </c>
      <c r="AS15" s="7" t="s">
        <v>198</v>
      </c>
      <c r="AT15" s="7" t="s">
        <v>199</v>
      </c>
      <c r="AU15" s="7" t="s">
        <v>199</v>
      </c>
      <c r="AX15" s="7" t="s">
        <v>200</v>
      </c>
      <c r="AY15" s="7" t="s">
        <v>201</v>
      </c>
      <c r="AZ15" s="7" t="s">
        <v>104</v>
      </c>
      <c r="BA15" s="7" t="s">
        <v>197</v>
      </c>
      <c r="BB15" s="7" t="s">
        <v>202</v>
      </c>
      <c r="BC15" s="7" t="s">
        <v>199</v>
      </c>
      <c r="BD15" s="7" t="s">
        <v>199</v>
      </c>
      <c r="BF15" s="7" t="s">
        <v>203</v>
      </c>
      <c r="BG15" s="7">
        <v>20115</v>
      </c>
      <c r="BH15" s="7" t="s">
        <v>204</v>
      </c>
      <c r="BO15" s="7">
        <v>9</v>
      </c>
      <c r="BR15" s="7" t="s">
        <v>104</v>
      </c>
      <c r="BS15" s="7" t="s">
        <v>205</v>
      </c>
      <c r="BT15" s="7" t="s">
        <v>206</v>
      </c>
      <c r="BU15" s="7" t="s">
        <v>207</v>
      </c>
      <c r="BV15" s="7" t="s">
        <v>208</v>
      </c>
      <c r="BW15" s="7" t="s">
        <v>209</v>
      </c>
    </row>
    <row r="16" spans="1:78" s="7" customFormat="1" x14ac:dyDescent="0.35">
      <c r="A16" s="7" t="s">
        <v>214</v>
      </c>
      <c r="B16" s="8">
        <v>46008</v>
      </c>
      <c r="C16" s="9">
        <v>0.875462962962963</v>
      </c>
      <c r="D16" s="7" t="s">
        <v>183</v>
      </c>
      <c r="E16" s="7" t="s">
        <v>184</v>
      </c>
      <c r="F16" s="11" t="s">
        <v>185</v>
      </c>
      <c r="G16" s="7">
        <f>COUNTIF($F$2:$F$278,F16)</f>
        <v>10</v>
      </c>
      <c r="H16" s="7" t="s">
        <v>186</v>
      </c>
      <c r="I16" s="7" t="s">
        <v>187</v>
      </c>
      <c r="J16" s="7" t="s">
        <v>83</v>
      </c>
      <c r="K16" s="7" t="s">
        <v>143</v>
      </c>
      <c r="L16" s="7">
        <v>50140</v>
      </c>
      <c r="M16" s="7" t="s">
        <v>85</v>
      </c>
      <c r="N16" s="7" t="s">
        <v>86</v>
      </c>
      <c r="O16" s="7" t="s">
        <v>84</v>
      </c>
      <c r="P16" s="7" t="s">
        <v>100</v>
      </c>
      <c r="Q16" s="7" t="s">
        <v>150</v>
      </c>
      <c r="R16" s="7" t="s">
        <v>151</v>
      </c>
      <c r="S16" s="7" t="s">
        <v>150</v>
      </c>
      <c r="T16" s="7" t="s">
        <v>151</v>
      </c>
      <c r="U16" s="7" t="s">
        <v>144</v>
      </c>
      <c r="V16" s="7" t="s">
        <v>22</v>
      </c>
      <c r="X16" s="7" t="s">
        <v>192</v>
      </c>
      <c r="Y16" s="7" t="s">
        <v>132</v>
      </c>
      <c r="Z16" s="7" t="s">
        <v>193</v>
      </c>
      <c r="AA16" s="7" t="b">
        <v>0</v>
      </c>
      <c r="AB16" s="7" t="b">
        <v>0</v>
      </c>
      <c r="AD16" s="7">
        <v>79</v>
      </c>
      <c r="AE16" s="7" t="s">
        <v>145</v>
      </c>
      <c r="AF16" s="7" t="s">
        <v>215</v>
      </c>
      <c r="AG16" s="7" t="s">
        <v>216</v>
      </c>
      <c r="AH16" s="7" t="s">
        <v>184</v>
      </c>
      <c r="AI16" s="7" t="s">
        <v>194</v>
      </c>
      <c r="AJ16" s="7" t="s">
        <v>100</v>
      </c>
      <c r="AK16" s="7" t="s">
        <v>217</v>
      </c>
      <c r="AL16" s="7" t="s">
        <v>100</v>
      </c>
      <c r="AM16" s="7" t="s">
        <v>100</v>
      </c>
      <c r="AN16" s="7" t="s">
        <v>124</v>
      </c>
      <c r="AO16" s="7">
        <v>1002</v>
      </c>
      <c r="AP16" s="7" t="s">
        <v>212</v>
      </c>
      <c r="AQ16" s="7" t="s">
        <v>104</v>
      </c>
      <c r="AR16" s="7" t="s">
        <v>197</v>
      </c>
      <c r="AS16" s="7" t="s">
        <v>198</v>
      </c>
      <c r="AT16" s="7" t="s">
        <v>199</v>
      </c>
      <c r="AU16" s="7" t="s">
        <v>199</v>
      </c>
      <c r="AX16" s="7" t="s">
        <v>200</v>
      </c>
      <c r="AY16" s="7" t="s">
        <v>201</v>
      </c>
      <c r="AZ16" s="7" t="s">
        <v>104</v>
      </c>
      <c r="BA16" s="7" t="s">
        <v>197</v>
      </c>
      <c r="BB16" s="7" t="s">
        <v>202</v>
      </c>
      <c r="BC16" s="7" t="s">
        <v>199</v>
      </c>
      <c r="BD16" s="7" t="s">
        <v>199</v>
      </c>
      <c r="BF16" s="7" t="s">
        <v>203</v>
      </c>
      <c r="BG16" s="7">
        <v>20115</v>
      </c>
      <c r="BH16" s="7" t="s">
        <v>204</v>
      </c>
      <c r="BO16" s="7">
        <v>9</v>
      </c>
      <c r="BR16" s="7" t="s">
        <v>104</v>
      </c>
      <c r="BS16" s="7" t="s">
        <v>205</v>
      </c>
      <c r="BT16" s="7" t="s">
        <v>206</v>
      </c>
      <c r="BU16" s="7" t="s">
        <v>207</v>
      </c>
      <c r="BV16" s="7" t="s">
        <v>208</v>
      </c>
      <c r="BW16" s="7" t="s">
        <v>209</v>
      </c>
    </row>
    <row r="17" spans="1:75" s="7" customFormat="1" x14ac:dyDescent="0.35">
      <c r="A17" s="7" t="s">
        <v>218</v>
      </c>
      <c r="B17" s="8">
        <v>46008</v>
      </c>
      <c r="C17" s="9">
        <v>0.87502314814814808</v>
      </c>
      <c r="D17" s="7" t="s">
        <v>78</v>
      </c>
      <c r="E17" s="7" t="s">
        <v>79</v>
      </c>
      <c r="F17" s="7" t="s">
        <v>128</v>
      </c>
      <c r="G17" s="7">
        <f>COUNTIF($F$2:$F$278,F17)</f>
        <v>26</v>
      </c>
      <c r="H17" s="7" t="s">
        <v>81</v>
      </c>
      <c r="I17" s="7" t="s">
        <v>82</v>
      </c>
      <c r="J17" s="7" t="s">
        <v>83</v>
      </c>
      <c r="K17" s="7" t="s">
        <v>143</v>
      </c>
      <c r="L17" s="7">
        <v>50072</v>
      </c>
      <c r="M17" s="7" t="s">
        <v>85</v>
      </c>
      <c r="N17" s="7" t="s">
        <v>86</v>
      </c>
      <c r="O17" s="7" t="s">
        <v>119</v>
      </c>
      <c r="P17" s="7" t="s">
        <v>100</v>
      </c>
      <c r="Q17" s="7" t="s">
        <v>129</v>
      </c>
      <c r="R17" s="7" t="s">
        <v>130</v>
      </c>
      <c r="S17" s="7" t="s">
        <v>91</v>
      </c>
      <c r="T17" s="7" t="s">
        <v>92</v>
      </c>
      <c r="U17" s="7" t="s">
        <v>162</v>
      </c>
      <c r="V17" s="7" t="s">
        <v>22</v>
      </c>
      <c r="W17" s="7" t="s">
        <v>95</v>
      </c>
      <c r="X17" s="7" t="s">
        <v>131</v>
      </c>
      <c r="Y17" s="7" t="s">
        <v>132</v>
      </c>
      <c r="Z17" s="7" t="s">
        <v>133</v>
      </c>
      <c r="AA17" s="7" t="b">
        <v>0</v>
      </c>
      <c r="AB17" s="7" t="b">
        <v>0</v>
      </c>
      <c r="AC17" s="11" t="s">
        <v>1331</v>
      </c>
      <c r="AD17" s="7">
        <v>120</v>
      </c>
      <c r="AE17" s="7" t="s">
        <v>163</v>
      </c>
      <c r="AH17" s="7" t="s">
        <v>79</v>
      </c>
      <c r="AI17" s="7" t="s">
        <v>219</v>
      </c>
      <c r="AJ17" s="7" t="s">
        <v>100</v>
      </c>
      <c r="AK17" s="7" t="s">
        <v>220</v>
      </c>
      <c r="AL17" s="7" t="s">
        <v>100</v>
      </c>
      <c r="AM17" s="7" t="s">
        <v>100</v>
      </c>
      <c r="AN17" s="7" t="s">
        <v>124</v>
      </c>
      <c r="AO17" s="7">
        <v>1008</v>
      </c>
      <c r="AP17" s="7" t="s">
        <v>166</v>
      </c>
      <c r="AQ17" s="7" t="s">
        <v>104</v>
      </c>
      <c r="AR17" s="7" t="s">
        <v>105</v>
      </c>
      <c r="AS17" s="7" t="s">
        <v>137</v>
      </c>
      <c r="AT17" s="7" t="s">
        <v>107</v>
      </c>
      <c r="AU17" s="7" t="s">
        <v>107</v>
      </c>
      <c r="AX17" s="7" t="s">
        <v>108</v>
      </c>
      <c r="AY17" s="7" t="s">
        <v>138</v>
      </c>
      <c r="AZ17" s="7" t="s">
        <v>104</v>
      </c>
      <c r="BA17" s="7" t="s">
        <v>105</v>
      </c>
      <c r="BB17" s="7" t="s">
        <v>139</v>
      </c>
      <c r="BC17" s="7" t="s">
        <v>110</v>
      </c>
      <c r="BD17" s="7" t="s">
        <v>110</v>
      </c>
      <c r="BF17" s="7" t="s">
        <v>112</v>
      </c>
      <c r="BG17" s="7">
        <v>7922</v>
      </c>
      <c r="BH17" s="7" t="s">
        <v>140</v>
      </c>
      <c r="BO17" s="7">
        <v>5</v>
      </c>
      <c r="BR17" s="7" t="s">
        <v>104</v>
      </c>
      <c r="BS17" s="7" t="s">
        <v>141</v>
      </c>
      <c r="BT17" s="7" t="s">
        <v>106</v>
      </c>
      <c r="BU17" s="7" t="s">
        <v>110</v>
      </c>
      <c r="BV17" s="7" t="s">
        <v>110</v>
      </c>
      <c r="BW17" s="7" t="s">
        <v>117</v>
      </c>
    </row>
    <row r="18" spans="1:75" s="7" customFormat="1" x14ac:dyDescent="0.35">
      <c r="A18" s="7" t="s">
        <v>221</v>
      </c>
      <c r="B18" s="8">
        <v>46008</v>
      </c>
      <c r="C18" s="9">
        <v>0.86896990740740743</v>
      </c>
      <c r="D18" s="7" t="s">
        <v>78</v>
      </c>
      <c r="E18" s="7" t="s">
        <v>79</v>
      </c>
      <c r="F18" s="7" t="s">
        <v>128</v>
      </c>
      <c r="G18" s="7">
        <f>COUNTIF($F$2:$F$278,F18)</f>
        <v>26</v>
      </c>
      <c r="H18" s="7" t="s">
        <v>81</v>
      </c>
      <c r="I18" s="7" t="s">
        <v>82</v>
      </c>
      <c r="J18" s="7" t="s">
        <v>83</v>
      </c>
      <c r="K18" s="7" t="s">
        <v>119</v>
      </c>
      <c r="L18" s="7">
        <v>50126</v>
      </c>
      <c r="M18" s="7" t="s">
        <v>85</v>
      </c>
      <c r="N18" s="7" t="s">
        <v>120</v>
      </c>
      <c r="O18" s="7" t="s">
        <v>87</v>
      </c>
      <c r="P18" s="7" t="s">
        <v>100</v>
      </c>
      <c r="Q18" s="7" t="s">
        <v>222</v>
      </c>
      <c r="R18" s="7" t="s">
        <v>223</v>
      </c>
      <c r="S18" s="7" t="s">
        <v>224</v>
      </c>
      <c r="T18" s="7" t="s">
        <v>225</v>
      </c>
      <c r="U18" s="7" t="s">
        <v>121</v>
      </c>
      <c r="V18" s="7" t="s">
        <v>94</v>
      </c>
      <c r="W18" s="7" t="s">
        <v>95</v>
      </c>
      <c r="X18" s="7" t="s">
        <v>226</v>
      </c>
      <c r="Y18" s="7" t="s">
        <v>132</v>
      </c>
      <c r="Z18" s="7" t="s">
        <v>227</v>
      </c>
      <c r="AA18" s="7" t="b">
        <v>0</v>
      </c>
      <c r="AB18" s="7" t="b">
        <v>0</v>
      </c>
      <c r="AC18" s="11" t="s">
        <v>1331</v>
      </c>
      <c r="AD18" s="7">
        <v>162</v>
      </c>
      <c r="AE18" s="7" t="s">
        <v>122</v>
      </c>
      <c r="AH18" s="7" t="s">
        <v>79</v>
      </c>
      <c r="AJ18" s="7" t="s">
        <v>100</v>
      </c>
      <c r="AK18" s="7" t="s">
        <v>228</v>
      </c>
      <c r="AL18" s="7" t="s">
        <v>100</v>
      </c>
      <c r="AM18" s="7" t="s">
        <v>100</v>
      </c>
      <c r="AN18" s="7" t="s">
        <v>124</v>
      </c>
      <c r="AP18" s="7" t="s">
        <v>229</v>
      </c>
      <c r="AQ18" s="7" t="s">
        <v>104</v>
      </c>
      <c r="AR18" s="7" t="s">
        <v>105</v>
      </c>
      <c r="AS18" s="7" t="s">
        <v>137</v>
      </c>
      <c r="AT18" s="7" t="s">
        <v>107</v>
      </c>
      <c r="AU18" s="7" t="s">
        <v>107</v>
      </c>
      <c r="AX18" s="7" t="s">
        <v>108</v>
      </c>
      <c r="AY18" s="7" t="s">
        <v>138</v>
      </c>
      <c r="AZ18" s="7" t="s">
        <v>104</v>
      </c>
      <c r="BA18" s="7" t="s">
        <v>105</v>
      </c>
      <c r="BB18" s="7" t="s">
        <v>139</v>
      </c>
      <c r="BC18" s="7" t="s">
        <v>110</v>
      </c>
      <c r="BD18" s="7" t="s">
        <v>110</v>
      </c>
      <c r="BF18" s="7" t="s">
        <v>112</v>
      </c>
      <c r="BG18" s="7">
        <v>7922</v>
      </c>
      <c r="BH18" s="7" t="s">
        <v>140</v>
      </c>
      <c r="BO18" s="7">
        <v>5</v>
      </c>
      <c r="BR18" s="7" t="s">
        <v>104</v>
      </c>
      <c r="BS18" s="7" t="s">
        <v>141</v>
      </c>
      <c r="BT18" s="7" t="s">
        <v>106</v>
      </c>
      <c r="BU18" s="7" t="s">
        <v>110</v>
      </c>
      <c r="BV18" s="7" t="s">
        <v>110</v>
      </c>
      <c r="BW18" s="7" t="s">
        <v>117</v>
      </c>
    </row>
    <row r="19" spans="1:75" s="7" customFormat="1" x14ac:dyDescent="0.35">
      <c r="A19" s="7" t="s">
        <v>230</v>
      </c>
      <c r="B19" s="8">
        <v>46008</v>
      </c>
      <c r="C19" s="9">
        <v>0.86858796296296292</v>
      </c>
      <c r="D19" s="7" t="s">
        <v>78</v>
      </c>
      <c r="E19" s="7" t="s">
        <v>79</v>
      </c>
      <c r="F19" s="7" t="s">
        <v>128</v>
      </c>
      <c r="G19" s="7">
        <f>COUNTIF($F$2:$F$278,F19)</f>
        <v>26</v>
      </c>
      <c r="H19" s="7" t="s">
        <v>81</v>
      </c>
      <c r="I19" s="7" t="s">
        <v>82</v>
      </c>
      <c r="J19" s="7" t="s">
        <v>83</v>
      </c>
      <c r="K19" s="7" t="s">
        <v>119</v>
      </c>
      <c r="L19" s="7">
        <v>50126</v>
      </c>
      <c r="M19" s="7" t="s">
        <v>85</v>
      </c>
      <c r="N19" s="7" t="s">
        <v>120</v>
      </c>
      <c r="O19" s="7" t="s">
        <v>87</v>
      </c>
      <c r="P19" s="7" t="s">
        <v>100</v>
      </c>
      <c r="Q19" s="7" t="s">
        <v>222</v>
      </c>
      <c r="R19" s="7" t="s">
        <v>223</v>
      </c>
      <c r="S19" s="7" t="s">
        <v>224</v>
      </c>
      <c r="T19" s="7" t="s">
        <v>225</v>
      </c>
      <c r="U19" s="7" t="s">
        <v>121</v>
      </c>
      <c r="V19" s="7" t="s">
        <v>94</v>
      </c>
      <c r="W19" s="7" t="s">
        <v>95</v>
      </c>
      <c r="X19" s="7" t="s">
        <v>226</v>
      </c>
      <c r="Y19" s="7" t="s">
        <v>132</v>
      </c>
      <c r="Z19" s="7" t="s">
        <v>227</v>
      </c>
      <c r="AA19" s="7" t="b">
        <v>0</v>
      </c>
      <c r="AB19" s="7" t="b">
        <v>0</v>
      </c>
      <c r="AC19" s="11" t="s">
        <v>1331</v>
      </c>
      <c r="AD19" s="7">
        <v>206</v>
      </c>
      <c r="AE19" s="7" t="s">
        <v>122</v>
      </c>
      <c r="AH19" s="7" t="s">
        <v>79</v>
      </c>
      <c r="AJ19" s="7" t="s">
        <v>100</v>
      </c>
      <c r="AK19" s="7" t="s">
        <v>231</v>
      </c>
      <c r="AL19" s="7" t="s">
        <v>100</v>
      </c>
      <c r="AM19" s="7" t="s">
        <v>100</v>
      </c>
      <c r="AN19" s="7" t="s">
        <v>124</v>
      </c>
      <c r="AP19" s="7" t="s">
        <v>229</v>
      </c>
      <c r="AQ19" s="7" t="s">
        <v>104</v>
      </c>
      <c r="AR19" s="7" t="s">
        <v>105</v>
      </c>
      <c r="AS19" s="7" t="s">
        <v>137</v>
      </c>
      <c r="AT19" s="7" t="s">
        <v>107</v>
      </c>
      <c r="AU19" s="7" t="s">
        <v>107</v>
      </c>
      <c r="AX19" s="7" t="s">
        <v>108</v>
      </c>
      <c r="AY19" s="7" t="s">
        <v>138</v>
      </c>
      <c r="AZ19" s="7" t="s">
        <v>104</v>
      </c>
      <c r="BA19" s="7" t="s">
        <v>105</v>
      </c>
      <c r="BB19" s="7" t="s">
        <v>139</v>
      </c>
      <c r="BC19" s="7" t="s">
        <v>110</v>
      </c>
      <c r="BD19" s="7" t="s">
        <v>110</v>
      </c>
      <c r="BF19" s="7" t="s">
        <v>112</v>
      </c>
      <c r="BG19" s="7">
        <v>7922</v>
      </c>
      <c r="BH19" s="7" t="s">
        <v>140</v>
      </c>
      <c r="BO19" s="7">
        <v>5</v>
      </c>
      <c r="BR19" s="7" t="s">
        <v>104</v>
      </c>
      <c r="BS19" s="7" t="s">
        <v>141</v>
      </c>
      <c r="BT19" s="7" t="s">
        <v>106</v>
      </c>
      <c r="BU19" s="7" t="s">
        <v>110</v>
      </c>
      <c r="BV19" s="7" t="s">
        <v>110</v>
      </c>
      <c r="BW19" s="7" t="s">
        <v>117</v>
      </c>
    </row>
    <row r="20" spans="1:75" s="7" customFormat="1" x14ac:dyDescent="0.35">
      <c r="A20" s="7" t="s">
        <v>232</v>
      </c>
      <c r="B20" s="8">
        <v>46008</v>
      </c>
      <c r="C20" s="9">
        <v>0.8679513888888889</v>
      </c>
      <c r="D20" s="7" t="s">
        <v>78</v>
      </c>
      <c r="E20" s="7" t="s">
        <v>79</v>
      </c>
      <c r="F20" s="7" t="s">
        <v>128</v>
      </c>
      <c r="G20" s="7">
        <f>COUNTIF($F$2:$F$278,F20)</f>
        <v>26</v>
      </c>
      <c r="H20" s="7" t="s">
        <v>81</v>
      </c>
      <c r="I20" s="7" t="s">
        <v>82</v>
      </c>
      <c r="J20" s="7" t="s">
        <v>83</v>
      </c>
      <c r="K20" s="7" t="s">
        <v>119</v>
      </c>
      <c r="L20" s="7">
        <v>50126</v>
      </c>
      <c r="M20" s="7" t="s">
        <v>85</v>
      </c>
      <c r="N20" s="7" t="s">
        <v>120</v>
      </c>
      <c r="O20" s="7" t="s">
        <v>87</v>
      </c>
      <c r="P20" s="7" t="s">
        <v>88</v>
      </c>
      <c r="Q20" s="7" t="s">
        <v>89</v>
      </c>
      <c r="R20" s="7" t="s">
        <v>90</v>
      </c>
      <c r="S20" s="7" t="s">
        <v>91</v>
      </c>
      <c r="T20" s="7" t="s">
        <v>92</v>
      </c>
      <c r="U20" s="7" t="s">
        <v>121</v>
      </c>
      <c r="V20" s="7" t="s">
        <v>94</v>
      </c>
      <c r="W20" s="7" t="s">
        <v>95</v>
      </c>
      <c r="Y20" s="7" t="s">
        <v>96</v>
      </c>
      <c r="Z20" s="7" t="s">
        <v>97</v>
      </c>
      <c r="AA20" s="7" t="b">
        <v>0</v>
      </c>
      <c r="AB20" s="7" t="b">
        <v>0</v>
      </c>
      <c r="AC20" s="11" t="s">
        <v>1331</v>
      </c>
      <c r="AD20" s="7">
        <v>65</v>
      </c>
      <c r="AE20" s="7" t="s">
        <v>122</v>
      </c>
      <c r="AI20" s="7" t="s">
        <v>99</v>
      </c>
      <c r="AJ20" s="7" t="s">
        <v>100</v>
      </c>
      <c r="AK20" s="7" t="s">
        <v>233</v>
      </c>
      <c r="AL20" s="7" t="s">
        <v>100</v>
      </c>
      <c r="AM20" s="7" t="s">
        <v>100</v>
      </c>
      <c r="AN20" s="7" t="s">
        <v>124</v>
      </c>
      <c r="AP20" s="7" t="s">
        <v>234</v>
      </c>
      <c r="AQ20" s="7" t="s">
        <v>104</v>
      </c>
      <c r="AR20" s="7" t="s">
        <v>105</v>
      </c>
      <c r="AS20" s="7" t="s">
        <v>137</v>
      </c>
      <c r="AT20" s="7" t="s">
        <v>107</v>
      </c>
      <c r="AU20" s="7" t="s">
        <v>107</v>
      </c>
      <c r="AX20" s="7" t="s">
        <v>108</v>
      </c>
      <c r="AY20" s="7" t="s">
        <v>138</v>
      </c>
      <c r="AZ20" s="7" t="s">
        <v>104</v>
      </c>
      <c r="BA20" s="7" t="s">
        <v>105</v>
      </c>
      <c r="BB20" s="7" t="s">
        <v>139</v>
      </c>
      <c r="BC20" s="7" t="s">
        <v>110</v>
      </c>
      <c r="BD20" s="7" t="s">
        <v>110</v>
      </c>
      <c r="BF20" s="7" t="s">
        <v>112</v>
      </c>
      <c r="BG20" s="7">
        <v>7922</v>
      </c>
      <c r="BH20" s="7" t="s">
        <v>140</v>
      </c>
      <c r="BO20" s="7">
        <v>5</v>
      </c>
      <c r="BR20" s="7" t="s">
        <v>104</v>
      </c>
      <c r="BS20" s="7" t="s">
        <v>141</v>
      </c>
      <c r="BT20" s="7" t="s">
        <v>106</v>
      </c>
      <c r="BU20" s="7" t="s">
        <v>110</v>
      </c>
      <c r="BV20" s="7" t="s">
        <v>110</v>
      </c>
      <c r="BW20" s="7" t="s">
        <v>117</v>
      </c>
    </row>
    <row r="21" spans="1:75" s="7" customFormat="1" x14ac:dyDescent="0.35">
      <c r="A21" s="7" t="s">
        <v>235</v>
      </c>
      <c r="B21" s="8">
        <v>46008</v>
      </c>
      <c r="C21" s="9">
        <v>0.86793981481481486</v>
      </c>
      <c r="D21" s="7" t="s">
        <v>78</v>
      </c>
      <c r="E21" s="7" t="s">
        <v>79</v>
      </c>
      <c r="F21" s="7" t="s">
        <v>128</v>
      </c>
      <c r="G21" s="7">
        <f>COUNTIF($F$2:$F$278,F21)</f>
        <v>26</v>
      </c>
      <c r="H21" s="7" t="s">
        <v>81</v>
      </c>
      <c r="I21" s="7" t="s">
        <v>82</v>
      </c>
      <c r="J21" s="7" t="s">
        <v>83</v>
      </c>
      <c r="K21" s="7" t="s">
        <v>119</v>
      </c>
      <c r="L21" s="7">
        <v>50126</v>
      </c>
      <c r="M21" s="7" t="s">
        <v>85</v>
      </c>
      <c r="N21" s="7" t="s">
        <v>120</v>
      </c>
      <c r="O21" s="7" t="s">
        <v>87</v>
      </c>
      <c r="P21" s="7" t="s">
        <v>88</v>
      </c>
      <c r="Q21" s="7" t="s">
        <v>89</v>
      </c>
      <c r="R21" s="7" t="s">
        <v>90</v>
      </c>
      <c r="S21" s="7" t="s">
        <v>91</v>
      </c>
      <c r="T21" s="7" t="s">
        <v>92</v>
      </c>
      <c r="U21" s="7" t="s">
        <v>121</v>
      </c>
      <c r="V21" s="7" t="s">
        <v>94</v>
      </c>
      <c r="W21" s="7" t="s">
        <v>95</v>
      </c>
      <c r="Y21" s="7" t="s">
        <v>96</v>
      </c>
      <c r="Z21" s="7" t="s">
        <v>97</v>
      </c>
      <c r="AA21" s="7" t="b">
        <v>0</v>
      </c>
      <c r="AB21" s="7" t="b">
        <v>0</v>
      </c>
      <c r="AC21" s="11" t="s">
        <v>1331</v>
      </c>
      <c r="AD21" s="7">
        <v>55</v>
      </c>
      <c r="AE21" s="7" t="s">
        <v>122</v>
      </c>
      <c r="AI21" s="7" t="s">
        <v>99</v>
      </c>
      <c r="AJ21" s="7" t="s">
        <v>100</v>
      </c>
      <c r="AK21" s="7" t="s">
        <v>236</v>
      </c>
      <c r="AL21" s="7" t="s">
        <v>100</v>
      </c>
      <c r="AM21" s="7" t="s">
        <v>100</v>
      </c>
      <c r="AN21" s="7" t="s">
        <v>124</v>
      </c>
      <c r="AP21" s="7" t="s">
        <v>234</v>
      </c>
      <c r="AQ21" s="7" t="s">
        <v>104</v>
      </c>
      <c r="AR21" s="7" t="s">
        <v>105</v>
      </c>
      <c r="AS21" s="7" t="s">
        <v>137</v>
      </c>
      <c r="AT21" s="7" t="s">
        <v>107</v>
      </c>
      <c r="AU21" s="7" t="s">
        <v>107</v>
      </c>
      <c r="AX21" s="7" t="s">
        <v>108</v>
      </c>
      <c r="AY21" s="7" t="s">
        <v>138</v>
      </c>
      <c r="AZ21" s="7" t="s">
        <v>104</v>
      </c>
      <c r="BA21" s="7" t="s">
        <v>105</v>
      </c>
      <c r="BB21" s="7" t="s">
        <v>139</v>
      </c>
      <c r="BC21" s="7" t="s">
        <v>110</v>
      </c>
      <c r="BD21" s="7" t="s">
        <v>110</v>
      </c>
      <c r="BF21" s="7" t="s">
        <v>112</v>
      </c>
      <c r="BG21" s="7">
        <v>7922</v>
      </c>
      <c r="BH21" s="7" t="s">
        <v>140</v>
      </c>
      <c r="BO21" s="7">
        <v>5</v>
      </c>
      <c r="BR21" s="7" t="s">
        <v>104</v>
      </c>
      <c r="BS21" s="7" t="s">
        <v>141</v>
      </c>
      <c r="BT21" s="7" t="s">
        <v>106</v>
      </c>
      <c r="BU21" s="7" t="s">
        <v>110</v>
      </c>
      <c r="BV21" s="7" t="s">
        <v>110</v>
      </c>
      <c r="BW21" s="7" t="s">
        <v>117</v>
      </c>
    </row>
    <row r="22" spans="1:75" x14ac:dyDescent="0.35">
      <c r="A22" t="s">
        <v>237</v>
      </c>
      <c r="B22" s="1">
        <v>46008</v>
      </c>
      <c r="C22" s="2">
        <v>0.85609953703703701</v>
      </c>
      <c r="D22" t="s">
        <v>183</v>
      </c>
      <c r="E22" t="s">
        <v>184</v>
      </c>
      <c r="F22" t="s">
        <v>238</v>
      </c>
      <c r="G22">
        <f>COUNTIF($F$2:$F$278,F22)</f>
        <v>4</v>
      </c>
      <c r="H22" t="s">
        <v>239</v>
      </c>
      <c r="I22" t="s">
        <v>240</v>
      </c>
      <c r="J22" t="s">
        <v>83</v>
      </c>
      <c r="K22" t="s">
        <v>84</v>
      </c>
      <c r="M22" t="s">
        <v>85</v>
      </c>
      <c r="N22" t="s">
        <v>86</v>
      </c>
      <c r="O22" t="s">
        <v>84</v>
      </c>
      <c r="P22" t="s">
        <v>100</v>
      </c>
      <c r="Q22" t="s">
        <v>150</v>
      </c>
      <c r="R22" t="s">
        <v>151</v>
      </c>
      <c r="S22" t="s">
        <v>150</v>
      </c>
      <c r="T22" t="s">
        <v>151</v>
      </c>
      <c r="U22" t="s">
        <v>93</v>
      </c>
      <c r="V22" t="s">
        <v>22</v>
      </c>
      <c r="X22" t="s">
        <v>241</v>
      </c>
      <c r="Y22" t="s">
        <v>132</v>
      </c>
      <c r="Z22" t="s">
        <v>242</v>
      </c>
      <c r="AA22" t="b">
        <v>0</v>
      </c>
      <c r="AB22" t="b">
        <v>0</v>
      </c>
      <c r="AD22">
        <v>70</v>
      </c>
      <c r="AE22" t="s">
        <v>153</v>
      </c>
      <c r="AI22" t="s">
        <v>243</v>
      </c>
      <c r="AJ22" t="s">
        <v>100</v>
      </c>
      <c r="AK22" t="s">
        <v>244</v>
      </c>
      <c r="AL22" t="s">
        <v>100</v>
      </c>
      <c r="AM22" t="s">
        <v>100</v>
      </c>
      <c r="AN22" t="s">
        <v>124</v>
      </c>
      <c r="AO22">
        <v>1002</v>
      </c>
      <c r="AP22" t="s">
        <v>245</v>
      </c>
      <c r="AQ22" t="s">
        <v>104</v>
      </c>
      <c r="AR22" t="s">
        <v>246</v>
      </c>
      <c r="AS22" t="s">
        <v>247</v>
      </c>
      <c r="AT22" t="s">
        <v>248</v>
      </c>
      <c r="AU22" t="s">
        <v>248</v>
      </c>
      <c r="AX22" t="s">
        <v>249</v>
      </c>
      <c r="AY22" t="s">
        <v>250</v>
      </c>
      <c r="AZ22" t="s">
        <v>104</v>
      </c>
      <c r="BA22" t="s">
        <v>246</v>
      </c>
      <c r="BB22" t="s">
        <v>247</v>
      </c>
      <c r="BC22" t="s">
        <v>251</v>
      </c>
      <c r="BD22" t="s">
        <v>251</v>
      </c>
      <c r="BF22" t="s">
        <v>252</v>
      </c>
      <c r="BG22">
        <v>7018</v>
      </c>
      <c r="BH22" t="s">
        <v>253</v>
      </c>
      <c r="BO22">
        <v>3</v>
      </c>
      <c r="BR22" t="s">
        <v>104</v>
      </c>
      <c r="BS22" t="s">
        <v>254</v>
      </c>
      <c r="BT22" t="s">
        <v>247</v>
      </c>
      <c r="BU22" t="s">
        <v>251</v>
      </c>
      <c r="BV22" t="s">
        <v>255</v>
      </c>
      <c r="BW22" t="s">
        <v>209</v>
      </c>
    </row>
    <row r="23" spans="1:75" x14ac:dyDescent="0.35">
      <c r="A23" t="s">
        <v>237</v>
      </c>
      <c r="B23" s="1">
        <v>46008</v>
      </c>
      <c r="C23" s="2">
        <v>0.85609953703703701</v>
      </c>
      <c r="D23" t="s">
        <v>183</v>
      </c>
      <c r="E23" t="s">
        <v>184</v>
      </c>
      <c r="F23" t="s">
        <v>238</v>
      </c>
      <c r="G23">
        <f>COUNTIF($F$2:$F$278,F23)</f>
        <v>4</v>
      </c>
      <c r="H23" t="s">
        <v>239</v>
      </c>
      <c r="I23" t="s">
        <v>240</v>
      </c>
      <c r="J23" t="s">
        <v>83</v>
      </c>
      <c r="K23" t="s">
        <v>84</v>
      </c>
      <c r="M23" t="s">
        <v>85</v>
      </c>
      <c r="N23" t="s">
        <v>86</v>
      </c>
      <c r="O23" t="s">
        <v>84</v>
      </c>
      <c r="P23" t="s">
        <v>100</v>
      </c>
      <c r="Q23" t="s">
        <v>150</v>
      </c>
      <c r="R23" t="s">
        <v>151</v>
      </c>
      <c r="S23" t="s">
        <v>150</v>
      </c>
      <c r="T23" t="s">
        <v>151</v>
      </c>
      <c r="U23" t="s">
        <v>93</v>
      </c>
      <c r="V23" t="s">
        <v>22</v>
      </c>
      <c r="X23" t="s">
        <v>241</v>
      </c>
      <c r="Y23" t="s">
        <v>132</v>
      </c>
      <c r="Z23" t="s">
        <v>242</v>
      </c>
      <c r="AA23" t="b">
        <v>0</v>
      </c>
      <c r="AB23" t="b">
        <v>0</v>
      </c>
      <c r="AD23">
        <v>111</v>
      </c>
      <c r="AE23" t="s">
        <v>153</v>
      </c>
      <c r="AI23" t="s">
        <v>243</v>
      </c>
      <c r="AJ23" t="s">
        <v>100</v>
      </c>
      <c r="AK23" t="s">
        <v>256</v>
      </c>
      <c r="AL23" t="s">
        <v>100</v>
      </c>
      <c r="AM23" t="s">
        <v>100</v>
      </c>
      <c r="AN23" t="s">
        <v>124</v>
      </c>
      <c r="AO23">
        <v>1002</v>
      </c>
      <c r="AP23" t="s">
        <v>257</v>
      </c>
      <c r="AQ23" t="s">
        <v>104</v>
      </c>
      <c r="AR23" t="s">
        <v>246</v>
      </c>
      <c r="AS23" t="s">
        <v>247</v>
      </c>
      <c r="AT23" t="s">
        <v>248</v>
      </c>
      <c r="AU23" t="s">
        <v>248</v>
      </c>
      <c r="AX23" t="s">
        <v>249</v>
      </c>
      <c r="AY23" t="s">
        <v>250</v>
      </c>
      <c r="AZ23" t="s">
        <v>104</v>
      </c>
      <c r="BA23" t="s">
        <v>246</v>
      </c>
      <c r="BB23" t="s">
        <v>247</v>
      </c>
      <c r="BC23" t="s">
        <v>251</v>
      </c>
      <c r="BD23" t="s">
        <v>251</v>
      </c>
      <c r="BF23" t="s">
        <v>252</v>
      </c>
      <c r="BG23">
        <v>7018</v>
      </c>
      <c r="BH23" t="s">
        <v>253</v>
      </c>
      <c r="BO23">
        <v>3</v>
      </c>
      <c r="BR23" t="s">
        <v>104</v>
      </c>
      <c r="BS23" t="s">
        <v>254</v>
      </c>
      <c r="BT23" t="s">
        <v>247</v>
      </c>
      <c r="BU23" t="s">
        <v>251</v>
      </c>
      <c r="BV23" t="s">
        <v>255</v>
      </c>
      <c r="BW23" t="s">
        <v>209</v>
      </c>
    </row>
    <row r="24" spans="1:75" x14ac:dyDescent="0.35">
      <c r="A24" t="s">
        <v>258</v>
      </c>
      <c r="B24" s="1">
        <v>46008</v>
      </c>
      <c r="C24" s="2">
        <v>0.85608796296296286</v>
      </c>
      <c r="D24" t="s">
        <v>183</v>
      </c>
      <c r="E24" t="s">
        <v>184</v>
      </c>
      <c r="F24" t="s">
        <v>238</v>
      </c>
      <c r="G24">
        <f>COUNTIF($F$2:$F$278,F24)</f>
        <v>4</v>
      </c>
      <c r="H24" t="s">
        <v>239</v>
      </c>
      <c r="I24" t="s">
        <v>240</v>
      </c>
      <c r="J24" t="s">
        <v>83</v>
      </c>
      <c r="K24" t="s">
        <v>84</v>
      </c>
      <c r="M24" t="s">
        <v>85</v>
      </c>
      <c r="N24" t="s">
        <v>86</v>
      </c>
      <c r="O24" t="s">
        <v>84</v>
      </c>
      <c r="P24" t="s">
        <v>100</v>
      </c>
      <c r="Q24" t="s">
        <v>150</v>
      </c>
      <c r="R24" t="s">
        <v>151</v>
      </c>
      <c r="S24" t="s">
        <v>150</v>
      </c>
      <c r="T24" t="s">
        <v>151</v>
      </c>
      <c r="U24" t="s">
        <v>93</v>
      </c>
      <c r="V24" t="s">
        <v>22</v>
      </c>
      <c r="X24" t="s">
        <v>241</v>
      </c>
      <c r="Y24" t="s">
        <v>132</v>
      </c>
      <c r="Z24" t="s">
        <v>242</v>
      </c>
      <c r="AA24" t="b">
        <v>0</v>
      </c>
      <c r="AB24" t="b">
        <v>0</v>
      </c>
      <c r="AD24">
        <v>91</v>
      </c>
      <c r="AE24" t="s">
        <v>153</v>
      </c>
      <c r="AH24" t="s">
        <v>184</v>
      </c>
      <c r="AI24" t="s">
        <v>243</v>
      </c>
      <c r="AJ24" t="s">
        <v>100</v>
      </c>
      <c r="AK24" t="s">
        <v>259</v>
      </c>
      <c r="AL24" t="s">
        <v>100</v>
      </c>
      <c r="AM24" t="s">
        <v>100</v>
      </c>
      <c r="AN24" t="s">
        <v>124</v>
      </c>
      <c r="AO24">
        <v>1002</v>
      </c>
      <c r="AP24" t="s">
        <v>260</v>
      </c>
      <c r="AQ24" t="s">
        <v>104</v>
      </c>
      <c r="AR24" t="s">
        <v>246</v>
      </c>
      <c r="AS24" t="s">
        <v>247</v>
      </c>
      <c r="AT24" t="s">
        <v>248</v>
      </c>
      <c r="AU24" t="s">
        <v>248</v>
      </c>
      <c r="AX24" t="s">
        <v>249</v>
      </c>
      <c r="AY24" t="s">
        <v>250</v>
      </c>
      <c r="AZ24" t="s">
        <v>104</v>
      </c>
      <c r="BA24" t="s">
        <v>246</v>
      </c>
      <c r="BB24" t="s">
        <v>247</v>
      </c>
      <c r="BC24" t="s">
        <v>251</v>
      </c>
      <c r="BD24" t="s">
        <v>251</v>
      </c>
      <c r="BF24" t="s">
        <v>252</v>
      </c>
      <c r="BG24">
        <v>7018</v>
      </c>
      <c r="BH24" t="s">
        <v>253</v>
      </c>
      <c r="BO24">
        <v>3</v>
      </c>
      <c r="BR24" t="s">
        <v>104</v>
      </c>
      <c r="BS24" t="s">
        <v>254</v>
      </c>
      <c r="BT24" t="s">
        <v>247</v>
      </c>
      <c r="BU24" t="s">
        <v>251</v>
      </c>
      <c r="BV24" t="s">
        <v>255</v>
      </c>
      <c r="BW24" t="s">
        <v>209</v>
      </c>
    </row>
    <row r="25" spans="1:75" x14ac:dyDescent="0.35">
      <c r="A25" t="s">
        <v>261</v>
      </c>
      <c r="B25" s="1">
        <v>46008</v>
      </c>
      <c r="C25" s="2">
        <v>0.85606481481481478</v>
      </c>
      <c r="D25" t="s">
        <v>183</v>
      </c>
      <c r="E25" t="s">
        <v>184</v>
      </c>
      <c r="F25" t="s">
        <v>238</v>
      </c>
      <c r="G25">
        <f>COUNTIF($F$2:$F$278,F25)</f>
        <v>4</v>
      </c>
      <c r="H25" t="s">
        <v>239</v>
      </c>
      <c r="I25" t="s">
        <v>240</v>
      </c>
      <c r="J25" t="s">
        <v>83</v>
      </c>
      <c r="K25" t="s">
        <v>143</v>
      </c>
      <c r="L25">
        <v>50140</v>
      </c>
      <c r="M25" t="s">
        <v>85</v>
      </c>
      <c r="N25" t="s">
        <v>86</v>
      </c>
      <c r="O25" t="s">
        <v>84</v>
      </c>
      <c r="P25" t="s">
        <v>100</v>
      </c>
      <c r="Q25" t="s">
        <v>150</v>
      </c>
      <c r="R25" t="s">
        <v>151</v>
      </c>
      <c r="S25" t="s">
        <v>150</v>
      </c>
      <c r="T25" t="s">
        <v>151</v>
      </c>
      <c r="U25" t="s">
        <v>144</v>
      </c>
      <c r="V25" t="s">
        <v>22</v>
      </c>
      <c r="X25" t="s">
        <v>241</v>
      </c>
      <c r="Y25" t="s">
        <v>132</v>
      </c>
      <c r="Z25" t="s">
        <v>242</v>
      </c>
      <c r="AA25" t="b">
        <v>0</v>
      </c>
      <c r="AB25" t="b">
        <v>0</v>
      </c>
      <c r="AD25">
        <v>72</v>
      </c>
      <c r="AE25" t="s">
        <v>145</v>
      </c>
      <c r="AF25" t="s">
        <v>215</v>
      </c>
      <c r="AG25" t="s">
        <v>216</v>
      </c>
      <c r="AH25" t="s">
        <v>184</v>
      </c>
      <c r="AI25" t="s">
        <v>243</v>
      </c>
      <c r="AJ25" t="s">
        <v>100</v>
      </c>
      <c r="AK25" t="s">
        <v>262</v>
      </c>
      <c r="AL25" t="s">
        <v>100</v>
      </c>
      <c r="AM25" t="s">
        <v>100</v>
      </c>
      <c r="AN25" t="s">
        <v>124</v>
      </c>
      <c r="AO25">
        <v>1002</v>
      </c>
      <c r="AP25" t="s">
        <v>260</v>
      </c>
      <c r="AQ25" t="s">
        <v>104</v>
      </c>
      <c r="AR25" t="s">
        <v>246</v>
      </c>
      <c r="AS25" t="s">
        <v>247</v>
      </c>
      <c r="AT25" t="s">
        <v>248</v>
      </c>
      <c r="AU25" t="s">
        <v>248</v>
      </c>
      <c r="AX25" t="s">
        <v>249</v>
      </c>
      <c r="AY25" t="s">
        <v>250</v>
      </c>
      <c r="AZ25" t="s">
        <v>104</v>
      </c>
      <c r="BA25" t="s">
        <v>246</v>
      </c>
      <c r="BB25" t="s">
        <v>247</v>
      </c>
      <c r="BC25" t="s">
        <v>251</v>
      </c>
      <c r="BD25" t="s">
        <v>251</v>
      </c>
      <c r="BF25" t="s">
        <v>252</v>
      </c>
      <c r="BG25">
        <v>7018</v>
      </c>
      <c r="BH25" t="s">
        <v>253</v>
      </c>
      <c r="BO25">
        <v>3</v>
      </c>
      <c r="BR25" t="s">
        <v>104</v>
      </c>
      <c r="BS25" t="s">
        <v>254</v>
      </c>
      <c r="BT25" t="s">
        <v>247</v>
      </c>
      <c r="BU25" t="s">
        <v>251</v>
      </c>
      <c r="BV25" t="s">
        <v>255</v>
      </c>
      <c r="BW25" t="s">
        <v>209</v>
      </c>
    </row>
    <row r="26" spans="1:75" s="7" customFormat="1" x14ac:dyDescent="0.35">
      <c r="A26" s="7" t="s">
        <v>263</v>
      </c>
      <c r="B26" s="8">
        <v>46008</v>
      </c>
      <c r="C26" s="9">
        <v>0.85153935185185192</v>
      </c>
      <c r="D26" s="7" t="s">
        <v>78</v>
      </c>
      <c r="E26" s="7" t="s">
        <v>79</v>
      </c>
      <c r="F26" s="7" t="s">
        <v>128</v>
      </c>
      <c r="G26" s="7">
        <f>COUNTIF($F$2:$F$278,F26)</f>
        <v>26</v>
      </c>
      <c r="H26" s="7" t="s">
        <v>81</v>
      </c>
      <c r="I26" s="7" t="s">
        <v>82</v>
      </c>
      <c r="J26" s="7" t="s">
        <v>83</v>
      </c>
      <c r="K26" s="7" t="s">
        <v>119</v>
      </c>
      <c r="L26" s="7">
        <v>50126</v>
      </c>
      <c r="M26" s="7" t="s">
        <v>85</v>
      </c>
      <c r="N26" s="7" t="s">
        <v>120</v>
      </c>
      <c r="O26" s="7" t="s">
        <v>87</v>
      </c>
      <c r="P26" s="7" t="s">
        <v>100</v>
      </c>
      <c r="Q26" s="7" t="s">
        <v>222</v>
      </c>
      <c r="R26" s="7" t="s">
        <v>223</v>
      </c>
      <c r="S26" s="7" t="s">
        <v>224</v>
      </c>
      <c r="T26" s="7" t="s">
        <v>225</v>
      </c>
      <c r="U26" s="7" t="s">
        <v>121</v>
      </c>
      <c r="V26" s="7" t="s">
        <v>94</v>
      </c>
      <c r="W26" s="7" t="s">
        <v>95</v>
      </c>
      <c r="X26" s="7" t="s">
        <v>226</v>
      </c>
      <c r="Y26" s="7" t="s">
        <v>132</v>
      </c>
      <c r="Z26" s="7" t="s">
        <v>227</v>
      </c>
      <c r="AA26" s="7" t="b">
        <v>0</v>
      </c>
      <c r="AB26" s="7" t="b">
        <v>0</v>
      </c>
      <c r="AC26" s="11" t="s">
        <v>1331</v>
      </c>
      <c r="AD26" s="7">
        <v>166</v>
      </c>
      <c r="AE26" s="7" t="s">
        <v>122</v>
      </c>
      <c r="AH26" s="7" t="s">
        <v>79</v>
      </c>
      <c r="AJ26" s="7" t="s">
        <v>100</v>
      </c>
      <c r="AK26" s="7" t="s">
        <v>264</v>
      </c>
      <c r="AL26" s="7" t="s">
        <v>100</v>
      </c>
      <c r="AM26" s="7" t="s">
        <v>100</v>
      </c>
      <c r="AN26" s="7" t="s">
        <v>124</v>
      </c>
      <c r="AP26" s="7" t="s">
        <v>229</v>
      </c>
      <c r="AQ26" s="7" t="s">
        <v>104</v>
      </c>
      <c r="AR26" s="7" t="s">
        <v>105</v>
      </c>
      <c r="AS26" s="7" t="s">
        <v>137</v>
      </c>
      <c r="AT26" s="7" t="s">
        <v>107</v>
      </c>
      <c r="AU26" s="7" t="s">
        <v>107</v>
      </c>
      <c r="AX26" s="7" t="s">
        <v>108</v>
      </c>
      <c r="AY26" s="7" t="s">
        <v>138</v>
      </c>
      <c r="AZ26" s="7" t="s">
        <v>104</v>
      </c>
      <c r="BA26" s="7" t="s">
        <v>105</v>
      </c>
      <c r="BB26" s="7" t="s">
        <v>139</v>
      </c>
      <c r="BC26" s="7" t="s">
        <v>110</v>
      </c>
      <c r="BD26" s="7" t="s">
        <v>110</v>
      </c>
      <c r="BF26" s="7" t="s">
        <v>112</v>
      </c>
      <c r="BG26" s="7">
        <v>7922</v>
      </c>
      <c r="BH26" s="7" t="s">
        <v>140</v>
      </c>
      <c r="BO26" s="7">
        <v>5</v>
      </c>
      <c r="BR26" s="7" t="s">
        <v>104</v>
      </c>
      <c r="BS26" s="7" t="s">
        <v>141</v>
      </c>
      <c r="BT26" s="7" t="s">
        <v>106</v>
      </c>
      <c r="BU26" s="7" t="s">
        <v>110</v>
      </c>
      <c r="BV26" s="7" t="s">
        <v>110</v>
      </c>
      <c r="BW26" s="7" t="s">
        <v>117</v>
      </c>
    </row>
    <row r="27" spans="1:75" s="7" customFormat="1" x14ac:dyDescent="0.35">
      <c r="A27" s="7" t="s">
        <v>265</v>
      </c>
      <c r="B27" s="8">
        <v>46008</v>
      </c>
      <c r="C27" s="9">
        <v>0.85144675925925928</v>
      </c>
      <c r="D27" s="7" t="s">
        <v>78</v>
      </c>
      <c r="E27" s="7" t="s">
        <v>79</v>
      </c>
      <c r="F27" s="7" t="s">
        <v>128</v>
      </c>
      <c r="G27" s="7">
        <f>COUNTIF($F$2:$F$278,F27)</f>
        <v>26</v>
      </c>
      <c r="H27" s="7" t="s">
        <v>81</v>
      </c>
      <c r="I27" s="7" t="s">
        <v>82</v>
      </c>
      <c r="J27" s="7" t="s">
        <v>83</v>
      </c>
      <c r="K27" s="7" t="s">
        <v>119</v>
      </c>
      <c r="L27" s="7">
        <v>50126</v>
      </c>
      <c r="M27" s="7" t="s">
        <v>85</v>
      </c>
      <c r="N27" s="7" t="s">
        <v>120</v>
      </c>
      <c r="O27" s="7" t="s">
        <v>87</v>
      </c>
      <c r="P27" s="7" t="s">
        <v>88</v>
      </c>
      <c r="Q27" s="7" t="s">
        <v>89</v>
      </c>
      <c r="R27" s="7" t="s">
        <v>90</v>
      </c>
      <c r="S27" s="7" t="s">
        <v>91</v>
      </c>
      <c r="T27" s="7" t="s">
        <v>92</v>
      </c>
      <c r="U27" s="7" t="s">
        <v>121</v>
      </c>
      <c r="V27" s="7" t="s">
        <v>94</v>
      </c>
      <c r="W27" s="7" t="s">
        <v>95</v>
      </c>
      <c r="Y27" s="7" t="s">
        <v>96</v>
      </c>
      <c r="Z27" s="7" t="s">
        <v>97</v>
      </c>
      <c r="AA27" s="7" t="b">
        <v>0</v>
      </c>
      <c r="AB27" s="7" t="b">
        <v>0</v>
      </c>
      <c r="AC27" s="11" t="s">
        <v>1331</v>
      </c>
      <c r="AD27" s="7">
        <v>66</v>
      </c>
      <c r="AE27" s="7" t="s">
        <v>122</v>
      </c>
      <c r="AI27" s="7" t="s">
        <v>99</v>
      </c>
      <c r="AJ27" s="7" t="s">
        <v>100</v>
      </c>
      <c r="AK27" s="7" t="s">
        <v>266</v>
      </c>
      <c r="AL27" s="7" t="s">
        <v>100</v>
      </c>
      <c r="AM27" s="7" t="s">
        <v>100</v>
      </c>
      <c r="AN27" s="7" t="s">
        <v>124</v>
      </c>
      <c r="AP27" s="7" t="s">
        <v>267</v>
      </c>
      <c r="AQ27" s="7" t="s">
        <v>104</v>
      </c>
      <c r="AR27" s="7" t="s">
        <v>105</v>
      </c>
      <c r="AS27" s="7" t="s">
        <v>137</v>
      </c>
      <c r="AT27" s="7" t="s">
        <v>107</v>
      </c>
      <c r="AU27" s="7" t="s">
        <v>107</v>
      </c>
      <c r="AX27" s="7" t="s">
        <v>108</v>
      </c>
      <c r="AY27" s="7" t="s">
        <v>138</v>
      </c>
      <c r="AZ27" s="7" t="s">
        <v>104</v>
      </c>
      <c r="BA27" s="7" t="s">
        <v>105</v>
      </c>
      <c r="BB27" s="7" t="s">
        <v>139</v>
      </c>
      <c r="BC27" s="7" t="s">
        <v>110</v>
      </c>
      <c r="BD27" s="7" t="s">
        <v>110</v>
      </c>
      <c r="BF27" s="7" t="s">
        <v>112</v>
      </c>
      <c r="BG27" s="7">
        <v>7922</v>
      </c>
      <c r="BH27" s="7" t="s">
        <v>140</v>
      </c>
      <c r="BO27" s="7">
        <v>5</v>
      </c>
      <c r="BR27" s="7" t="s">
        <v>104</v>
      </c>
      <c r="BS27" s="7" t="s">
        <v>141</v>
      </c>
      <c r="BT27" s="7" t="s">
        <v>106</v>
      </c>
      <c r="BU27" s="7" t="s">
        <v>110</v>
      </c>
      <c r="BV27" s="7" t="s">
        <v>110</v>
      </c>
      <c r="BW27" s="7" t="s">
        <v>117</v>
      </c>
    </row>
    <row r="28" spans="1:75" s="7" customFormat="1" x14ac:dyDescent="0.35">
      <c r="A28" s="7" t="s">
        <v>268</v>
      </c>
      <c r="B28" s="8">
        <v>46008</v>
      </c>
      <c r="C28" s="9">
        <v>0.85143518518518524</v>
      </c>
      <c r="D28" s="7" t="s">
        <v>78</v>
      </c>
      <c r="E28" s="7" t="s">
        <v>79</v>
      </c>
      <c r="F28" s="7" t="s">
        <v>128</v>
      </c>
      <c r="G28" s="7">
        <f>COUNTIF($F$2:$F$278,F28)</f>
        <v>26</v>
      </c>
      <c r="H28" s="7" t="s">
        <v>81</v>
      </c>
      <c r="I28" s="7" t="s">
        <v>82</v>
      </c>
      <c r="J28" s="7" t="s">
        <v>83</v>
      </c>
      <c r="K28" s="7" t="s">
        <v>119</v>
      </c>
      <c r="L28" s="7">
        <v>50126</v>
      </c>
      <c r="M28" s="7" t="s">
        <v>85</v>
      </c>
      <c r="N28" s="7" t="s">
        <v>120</v>
      </c>
      <c r="O28" s="7" t="s">
        <v>87</v>
      </c>
      <c r="P28" s="7" t="s">
        <v>88</v>
      </c>
      <c r="Q28" s="7" t="s">
        <v>89</v>
      </c>
      <c r="R28" s="7" t="s">
        <v>90</v>
      </c>
      <c r="S28" s="7" t="s">
        <v>91</v>
      </c>
      <c r="T28" s="7" t="s">
        <v>92</v>
      </c>
      <c r="U28" s="7" t="s">
        <v>121</v>
      </c>
      <c r="V28" s="7" t="s">
        <v>94</v>
      </c>
      <c r="W28" s="7" t="s">
        <v>95</v>
      </c>
      <c r="Y28" s="7" t="s">
        <v>96</v>
      </c>
      <c r="Z28" s="7" t="s">
        <v>97</v>
      </c>
      <c r="AA28" s="7" t="b">
        <v>0</v>
      </c>
      <c r="AB28" s="7" t="b">
        <v>0</v>
      </c>
      <c r="AC28" s="11" t="s">
        <v>1331</v>
      </c>
      <c r="AD28" s="7">
        <v>63</v>
      </c>
      <c r="AE28" s="7" t="s">
        <v>122</v>
      </c>
      <c r="AI28" s="7" t="s">
        <v>99</v>
      </c>
      <c r="AJ28" s="7" t="s">
        <v>100</v>
      </c>
      <c r="AK28" s="7" t="s">
        <v>269</v>
      </c>
      <c r="AL28" s="7" t="s">
        <v>100</v>
      </c>
      <c r="AM28" s="7" t="s">
        <v>100</v>
      </c>
      <c r="AN28" s="7" t="s">
        <v>124</v>
      </c>
      <c r="AP28" s="7" t="s">
        <v>267</v>
      </c>
      <c r="AQ28" s="7" t="s">
        <v>104</v>
      </c>
      <c r="AR28" s="7" t="s">
        <v>105</v>
      </c>
      <c r="AS28" s="7" t="s">
        <v>137</v>
      </c>
      <c r="AT28" s="7" t="s">
        <v>107</v>
      </c>
      <c r="AU28" s="7" t="s">
        <v>107</v>
      </c>
      <c r="AX28" s="7" t="s">
        <v>108</v>
      </c>
      <c r="AY28" s="7" t="s">
        <v>138</v>
      </c>
      <c r="AZ28" s="7" t="s">
        <v>104</v>
      </c>
      <c r="BA28" s="7" t="s">
        <v>105</v>
      </c>
      <c r="BB28" s="7" t="s">
        <v>139</v>
      </c>
      <c r="BC28" s="7" t="s">
        <v>110</v>
      </c>
      <c r="BD28" s="7" t="s">
        <v>110</v>
      </c>
      <c r="BF28" s="7" t="s">
        <v>112</v>
      </c>
      <c r="BG28" s="7">
        <v>7922</v>
      </c>
      <c r="BH28" s="7" t="s">
        <v>140</v>
      </c>
      <c r="BO28" s="7">
        <v>5</v>
      </c>
      <c r="BR28" s="7" t="s">
        <v>104</v>
      </c>
      <c r="BS28" s="7" t="s">
        <v>141</v>
      </c>
      <c r="BT28" s="7" t="s">
        <v>106</v>
      </c>
      <c r="BU28" s="7" t="s">
        <v>110</v>
      </c>
      <c r="BV28" s="7" t="s">
        <v>110</v>
      </c>
      <c r="BW28" s="7" t="s">
        <v>117</v>
      </c>
    </row>
    <row r="29" spans="1:75" s="7" customFormat="1" x14ac:dyDescent="0.35">
      <c r="A29" s="7" t="s">
        <v>270</v>
      </c>
      <c r="B29" s="8">
        <v>46008</v>
      </c>
      <c r="C29" s="9">
        <v>0.8505787037037037</v>
      </c>
      <c r="D29" s="7" t="s">
        <v>271</v>
      </c>
      <c r="E29" s="7" t="s">
        <v>272</v>
      </c>
      <c r="F29" s="7" t="s">
        <v>273</v>
      </c>
      <c r="G29" s="7">
        <f>COUNTIF($F$2:$F$278,F29)</f>
        <v>13</v>
      </c>
      <c r="H29" s="7" t="s">
        <v>274</v>
      </c>
      <c r="I29" s="7" t="s">
        <v>275</v>
      </c>
      <c r="J29" s="7" t="s">
        <v>83</v>
      </c>
      <c r="K29" s="7" t="s">
        <v>119</v>
      </c>
      <c r="L29" s="7">
        <v>50057</v>
      </c>
      <c r="M29" s="7" t="s">
        <v>85</v>
      </c>
      <c r="N29" s="7" t="s">
        <v>120</v>
      </c>
      <c r="O29" s="7" t="s">
        <v>87</v>
      </c>
      <c r="P29" s="7" t="s">
        <v>100</v>
      </c>
      <c r="Q29" s="7" t="s">
        <v>89</v>
      </c>
      <c r="R29" s="7" t="s">
        <v>90</v>
      </c>
      <c r="S29" s="7" t="s">
        <v>91</v>
      </c>
      <c r="T29" s="7" t="s">
        <v>92</v>
      </c>
      <c r="U29" s="7" t="s">
        <v>276</v>
      </c>
      <c r="V29" s="7" t="s">
        <v>94</v>
      </c>
      <c r="W29" s="7" t="s">
        <v>277</v>
      </c>
      <c r="Y29" s="7" t="s">
        <v>96</v>
      </c>
      <c r="Z29" s="7" t="s">
        <v>97</v>
      </c>
      <c r="AA29" s="7" t="b">
        <v>0</v>
      </c>
      <c r="AB29" s="7" t="b">
        <v>0</v>
      </c>
      <c r="AC29" s="11" t="s">
        <v>1331</v>
      </c>
      <c r="AD29" s="7">
        <v>57</v>
      </c>
      <c r="AE29" s="7" t="s">
        <v>278</v>
      </c>
      <c r="AJ29" s="7" t="s">
        <v>100</v>
      </c>
      <c r="AK29" s="7" t="s">
        <v>279</v>
      </c>
      <c r="AL29" s="7" t="s">
        <v>100</v>
      </c>
      <c r="AM29" s="7" t="s">
        <v>100</v>
      </c>
      <c r="AN29" s="7" t="s">
        <v>124</v>
      </c>
      <c r="AP29" s="7" t="s">
        <v>280</v>
      </c>
      <c r="AQ29" s="7" t="s">
        <v>104</v>
      </c>
      <c r="AR29" s="7" t="s">
        <v>281</v>
      </c>
      <c r="AS29" s="7" t="s">
        <v>282</v>
      </c>
      <c r="AT29" s="7" t="s">
        <v>283</v>
      </c>
      <c r="AU29" s="7" t="s">
        <v>283</v>
      </c>
      <c r="AX29" s="7" t="s">
        <v>284</v>
      </c>
      <c r="AY29" s="7" t="s">
        <v>285</v>
      </c>
      <c r="AZ29" s="7" t="s">
        <v>104</v>
      </c>
      <c r="BA29" s="7" t="s">
        <v>281</v>
      </c>
      <c r="BB29" s="7" t="s">
        <v>282</v>
      </c>
      <c r="BC29" s="7" t="s">
        <v>283</v>
      </c>
      <c r="BD29" s="7" t="s">
        <v>283</v>
      </c>
      <c r="BF29" s="7" t="s">
        <v>112</v>
      </c>
      <c r="BG29" s="7">
        <v>23465</v>
      </c>
      <c r="BH29" s="7" t="s">
        <v>286</v>
      </c>
      <c r="BO29" s="7">
        <v>7</v>
      </c>
      <c r="BR29" s="7" t="s">
        <v>104</v>
      </c>
      <c r="BS29" s="7" t="s">
        <v>287</v>
      </c>
      <c r="BT29" s="7" t="s">
        <v>288</v>
      </c>
      <c r="BU29" s="7" t="s">
        <v>283</v>
      </c>
      <c r="BV29" s="7" t="s">
        <v>283</v>
      </c>
      <c r="BW29" s="7" t="s">
        <v>209</v>
      </c>
    </row>
    <row r="30" spans="1:75" s="7" customFormat="1" x14ac:dyDescent="0.35">
      <c r="A30" s="7" t="s">
        <v>289</v>
      </c>
      <c r="B30" s="8">
        <v>46008</v>
      </c>
      <c r="C30" s="9">
        <v>0.85048611111111105</v>
      </c>
      <c r="D30" s="7" t="s">
        <v>183</v>
      </c>
      <c r="E30" s="7" t="s">
        <v>184</v>
      </c>
      <c r="F30" s="11" t="s">
        <v>290</v>
      </c>
      <c r="G30" s="7">
        <f>COUNTIF($F$2:$F$278,F30)</f>
        <v>35</v>
      </c>
      <c r="H30" s="7" t="s">
        <v>291</v>
      </c>
      <c r="I30" s="7" t="s">
        <v>292</v>
      </c>
      <c r="J30" s="7" t="s">
        <v>83</v>
      </c>
      <c r="K30" s="7" t="s">
        <v>84</v>
      </c>
      <c r="M30" s="7" t="s">
        <v>85</v>
      </c>
      <c r="N30" s="7" t="s">
        <v>86</v>
      </c>
      <c r="O30" s="7" t="s">
        <v>84</v>
      </c>
      <c r="P30" s="7" t="s">
        <v>100</v>
      </c>
      <c r="Q30" s="7" t="s">
        <v>188</v>
      </c>
      <c r="R30" s="7" t="s">
        <v>189</v>
      </c>
      <c r="S30" s="7" t="s">
        <v>190</v>
      </c>
      <c r="T30" s="7" t="s">
        <v>191</v>
      </c>
      <c r="U30" s="7" t="s">
        <v>93</v>
      </c>
      <c r="V30" s="7" t="s">
        <v>22</v>
      </c>
      <c r="X30" s="7" t="s">
        <v>192</v>
      </c>
      <c r="Y30" s="7" t="s">
        <v>132</v>
      </c>
      <c r="Z30" s="7" t="s">
        <v>193</v>
      </c>
      <c r="AA30" s="7" t="b">
        <v>0</v>
      </c>
      <c r="AB30" s="7" t="b">
        <v>0</v>
      </c>
      <c r="AD30" s="7">
        <v>205</v>
      </c>
      <c r="AE30" s="7" t="s">
        <v>153</v>
      </c>
      <c r="AI30" s="10" t="s">
        <v>293</v>
      </c>
      <c r="AJ30" s="7" t="s">
        <v>100</v>
      </c>
      <c r="AK30" s="7" t="s">
        <v>294</v>
      </c>
      <c r="AL30" s="7" t="s">
        <v>100</v>
      </c>
      <c r="AM30" s="7" t="s">
        <v>100</v>
      </c>
      <c r="AN30" s="7" t="s">
        <v>124</v>
      </c>
      <c r="AO30" s="7">
        <v>1002</v>
      </c>
      <c r="AP30" s="7" t="s">
        <v>295</v>
      </c>
      <c r="AQ30" s="7" t="s">
        <v>104</v>
      </c>
      <c r="AR30" s="7" t="s">
        <v>296</v>
      </c>
      <c r="AS30" s="7" t="s">
        <v>297</v>
      </c>
      <c r="AT30" s="7" t="s">
        <v>248</v>
      </c>
      <c r="AU30" s="7" t="s">
        <v>248</v>
      </c>
      <c r="AX30" s="7" t="s">
        <v>249</v>
      </c>
      <c r="AY30" s="7" t="s">
        <v>298</v>
      </c>
      <c r="AZ30" s="7" t="s">
        <v>104</v>
      </c>
      <c r="BA30" s="7" t="s">
        <v>296</v>
      </c>
      <c r="BB30" s="7" t="s">
        <v>297</v>
      </c>
      <c r="BC30" s="7" t="s">
        <v>251</v>
      </c>
      <c r="BD30" s="7" t="s">
        <v>251</v>
      </c>
      <c r="BF30" s="7" t="s">
        <v>252</v>
      </c>
      <c r="BG30" s="7">
        <v>7018</v>
      </c>
      <c r="BH30" s="7" t="s">
        <v>253</v>
      </c>
      <c r="BO30" s="7">
        <v>5</v>
      </c>
      <c r="BR30" s="7" t="s">
        <v>104</v>
      </c>
      <c r="BS30" s="7" t="s">
        <v>299</v>
      </c>
      <c r="BT30" s="7" t="s">
        <v>300</v>
      </c>
      <c r="BU30" s="7" t="s">
        <v>251</v>
      </c>
      <c r="BV30" s="7" t="s">
        <v>301</v>
      </c>
      <c r="BW30" s="7" t="s">
        <v>209</v>
      </c>
    </row>
    <row r="31" spans="1:75" s="7" customFormat="1" x14ac:dyDescent="0.35">
      <c r="A31" s="7" t="s">
        <v>302</v>
      </c>
      <c r="B31" s="8">
        <v>46008</v>
      </c>
      <c r="C31" s="9">
        <v>0.84640046296296301</v>
      </c>
      <c r="D31" s="7" t="s">
        <v>78</v>
      </c>
      <c r="E31" s="7" t="s">
        <v>79</v>
      </c>
      <c r="F31" s="11" t="s">
        <v>290</v>
      </c>
      <c r="G31" s="7">
        <f>COUNTIF($F$2:$F$278,F31)</f>
        <v>35</v>
      </c>
      <c r="H31" s="7" t="s">
        <v>291</v>
      </c>
      <c r="I31" s="7" t="s">
        <v>292</v>
      </c>
      <c r="J31" s="7" t="s">
        <v>83</v>
      </c>
      <c r="K31" s="7" t="s">
        <v>143</v>
      </c>
      <c r="L31" s="7">
        <v>50074</v>
      </c>
      <c r="M31" s="7" t="s">
        <v>85</v>
      </c>
      <c r="N31" s="7" t="s">
        <v>86</v>
      </c>
      <c r="O31" s="7" t="s">
        <v>119</v>
      </c>
      <c r="P31" s="7" t="s">
        <v>100</v>
      </c>
      <c r="Q31" s="7" t="s">
        <v>150</v>
      </c>
      <c r="R31" s="7" t="s">
        <v>151</v>
      </c>
      <c r="S31" s="7" t="s">
        <v>150</v>
      </c>
      <c r="T31" s="7" t="s">
        <v>151</v>
      </c>
      <c r="U31" s="7" t="s">
        <v>303</v>
      </c>
      <c r="V31" s="7" t="s">
        <v>22</v>
      </c>
      <c r="X31" s="7" t="s">
        <v>131</v>
      </c>
      <c r="Y31" s="7" t="s">
        <v>132</v>
      </c>
      <c r="Z31" s="7" t="s">
        <v>304</v>
      </c>
      <c r="AA31" s="7" t="b">
        <v>0</v>
      </c>
      <c r="AB31" s="7" t="b">
        <v>0</v>
      </c>
      <c r="AD31" s="7">
        <v>214</v>
      </c>
      <c r="AE31" s="7" t="s">
        <v>305</v>
      </c>
      <c r="AF31" s="7" t="s">
        <v>146</v>
      </c>
      <c r="AH31" s="7" t="s">
        <v>79</v>
      </c>
      <c r="AI31" s="7" t="s">
        <v>306</v>
      </c>
      <c r="AJ31" s="7" t="s">
        <v>100</v>
      </c>
      <c r="AK31" s="7" t="s">
        <v>307</v>
      </c>
      <c r="AL31" s="7" t="s">
        <v>100</v>
      </c>
      <c r="AM31" s="7" t="s">
        <v>100</v>
      </c>
      <c r="AN31" s="7" t="s">
        <v>124</v>
      </c>
      <c r="AO31" s="7">
        <v>1002</v>
      </c>
      <c r="AP31" s="7" t="s">
        <v>308</v>
      </c>
      <c r="AQ31" s="7" t="s">
        <v>104</v>
      </c>
      <c r="AR31" s="7" t="s">
        <v>296</v>
      </c>
      <c r="AS31" s="7" t="s">
        <v>297</v>
      </c>
      <c r="AT31" s="7" t="s">
        <v>248</v>
      </c>
      <c r="AU31" s="7" t="s">
        <v>248</v>
      </c>
      <c r="AX31" s="7" t="s">
        <v>249</v>
      </c>
      <c r="AY31" s="7" t="s">
        <v>298</v>
      </c>
      <c r="AZ31" s="7" t="s">
        <v>104</v>
      </c>
      <c r="BA31" s="7" t="s">
        <v>296</v>
      </c>
      <c r="BB31" s="7" t="s">
        <v>297</v>
      </c>
      <c r="BC31" s="7" t="s">
        <v>251</v>
      </c>
      <c r="BD31" s="7" t="s">
        <v>251</v>
      </c>
      <c r="BF31" s="7" t="s">
        <v>252</v>
      </c>
      <c r="BG31" s="7">
        <v>7018</v>
      </c>
      <c r="BH31" s="7" t="s">
        <v>253</v>
      </c>
      <c r="BO31" s="7">
        <v>5</v>
      </c>
      <c r="BR31" s="7" t="s">
        <v>104</v>
      </c>
      <c r="BS31" s="7" t="s">
        <v>299</v>
      </c>
      <c r="BT31" s="7" t="s">
        <v>300</v>
      </c>
      <c r="BU31" s="7" t="s">
        <v>251</v>
      </c>
      <c r="BV31" s="7" t="s">
        <v>301</v>
      </c>
      <c r="BW31" s="7" t="s">
        <v>209</v>
      </c>
    </row>
    <row r="32" spans="1:75" s="7" customFormat="1" x14ac:dyDescent="0.35">
      <c r="A32" s="7" t="s">
        <v>309</v>
      </c>
      <c r="B32" s="8">
        <v>46008</v>
      </c>
      <c r="C32" s="9">
        <v>0.8451157407407407</v>
      </c>
      <c r="D32" s="7" t="s">
        <v>78</v>
      </c>
      <c r="E32" s="7" t="s">
        <v>79</v>
      </c>
      <c r="F32" s="11" t="s">
        <v>290</v>
      </c>
      <c r="G32" s="7">
        <f>COUNTIF($F$2:$F$278,F32)</f>
        <v>35</v>
      </c>
      <c r="H32" s="7" t="s">
        <v>291</v>
      </c>
      <c r="I32" s="7" t="s">
        <v>292</v>
      </c>
      <c r="J32" s="7" t="s">
        <v>83</v>
      </c>
      <c r="K32" s="7" t="s">
        <v>119</v>
      </c>
      <c r="L32" s="7">
        <v>50126</v>
      </c>
      <c r="M32" s="7" t="s">
        <v>85</v>
      </c>
      <c r="N32" s="7" t="s">
        <v>120</v>
      </c>
      <c r="O32" s="7" t="s">
        <v>87</v>
      </c>
      <c r="P32" s="7" t="s">
        <v>100</v>
      </c>
      <c r="Q32" s="7" t="s">
        <v>150</v>
      </c>
      <c r="R32" s="7" t="s">
        <v>151</v>
      </c>
      <c r="S32" s="7" t="s">
        <v>150</v>
      </c>
      <c r="T32" s="7" t="s">
        <v>151</v>
      </c>
      <c r="U32" s="7" t="s">
        <v>121</v>
      </c>
      <c r="V32" s="7" t="s">
        <v>22</v>
      </c>
      <c r="X32" s="7" t="s">
        <v>131</v>
      </c>
      <c r="Y32" s="7" t="s">
        <v>132</v>
      </c>
      <c r="Z32" s="7" t="s">
        <v>304</v>
      </c>
      <c r="AA32" s="7" t="b">
        <v>0</v>
      </c>
      <c r="AB32" s="7" t="b">
        <v>0</v>
      </c>
      <c r="AD32" s="7">
        <v>218</v>
      </c>
      <c r="AE32" s="7" t="s">
        <v>122</v>
      </c>
      <c r="AH32" s="7" t="s">
        <v>79</v>
      </c>
      <c r="AJ32" s="7" t="s">
        <v>100</v>
      </c>
      <c r="AK32" s="7" t="s">
        <v>310</v>
      </c>
      <c r="AL32" s="7" t="s">
        <v>100</v>
      </c>
      <c r="AM32" s="7" t="s">
        <v>100</v>
      </c>
      <c r="AN32" s="7" t="s">
        <v>124</v>
      </c>
      <c r="AP32" s="7" t="s">
        <v>308</v>
      </c>
      <c r="AQ32" s="7" t="s">
        <v>104</v>
      </c>
      <c r="AR32" s="7" t="s">
        <v>296</v>
      </c>
      <c r="AS32" s="7" t="s">
        <v>297</v>
      </c>
      <c r="AT32" s="7" t="s">
        <v>248</v>
      </c>
      <c r="AU32" s="7" t="s">
        <v>248</v>
      </c>
      <c r="AX32" s="7" t="s">
        <v>249</v>
      </c>
      <c r="AY32" s="7" t="s">
        <v>298</v>
      </c>
      <c r="AZ32" s="7" t="s">
        <v>104</v>
      </c>
      <c r="BA32" s="7" t="s">
        <v>296</v>
      </c>
      <c r="BB32" s="7" t="s">
        <v>297</v>
      </c>
      <c r="BC32" s="7" t="s">
        <v>251</v>
      </c>
      <c r="BD32" s="7" t="s">
        <v>251</v>
      </c>
      <c r="BF32" s="7" t="s">
        <v>252</v>
      </c>
      <c r="BG32" s="7">
        <v>7018</v>
      </c>
      <c r="BH32" s="7" t="s">
        <v>253</v>
      </c>
      <c r="BO32" s="7">
        <v>5</v>
      </c>
      <c r="BR32" s="7" t="s">
        <v>104</v>
      </c>
      <c r="BS32" s="7" t="s">
        <v>299</v>
      </c>
      <c r="BT32" s="7" t="s">
        <v>300</v>
      </c>
      <c r="BU32" s="7" t="s">
        <v>251</v>
      </c>
      <c r="BV32" s="7" t="s">
        <v>301</v>
      </c>
      <c r="BW32" s="7" t="s">
        <v>209</v>
      </c>
    </row>
    <row r="33" spans="1:75" s="7" customFormat="1" x14ac:dyDescent="0.35">
      <c r="A33" s="7" t="s">
        <v>311</v>
      </c>
      <c r="B33" s="8">
        <v>46008</v>
      </c>
      <c r="C33" s="9">
        <v>0.82907407407407396</v>
      </c>
      <c r="D33" s="7" t="s">
        <v>183</v>
      </c>
      <c r="E33" s="7" t="s">
        <v>184</v>
      </c>
      <c r="F33" s="11" t="s">
        <v>290</v>
      </c>
      <c r="G33" s="7">
        <f>COUNTIF($F$2:$F$278,F33)</f>
        <v>35</v>
      </c>
      <c r="H33" s="7" t="s">
        <v>291</v>
      </c>
      <c r="I33" s="7" t="s">
        <v>292</v>
      </c>
      <c r="J33" s="7" t="s">
        <v>83</v>
      </c>
      <c r="K33" s="7" t="s">
        <v>84</v>
      </c>
      <c r="M33" s="7" t="s">
        <v>85</v>
      </c>
      <c r="N33" s="7" t="s">
        <v>86</v>
      </c>
      <c r="O33" s="7" t="s">
        <v>84</v>
      </c>
      <c r="P33" s="7" t="s">
        <v>100</v>
      </c>
      <c r="Q33" s="7" t="s">
        <v>312</v>
      </c>
      <c r="R33" s="7" t="s">
        <v>313</v>
      </c>
      <c r="S33" s="7" t="s">
        <v>314</v>
      </c>
      <c r="T33" s="7" t="s">
        <v>315</v>
      </c>
      <c r="U33" s="7" t="s">
        <v>93</v>
      </c>
      <c r="V33" s="7" t="s">
        <v>22</v>
      </c>
      <c r="X33" s="7" t="s">
        <v>192</v>
      </c>
      <c r="Y33" s="7" t="s">
        <v>132</v>
      </c>
      <c r="Z33" s="7" t="s">
        <v>193</v>
      </c>
      <c r="AA33" s="7" t="b">
        <v>0</v>
      </c>
      <c r="AB33" s="7" t="b">
        <v>0</v>
      </c>
      <c r="AD33" s="7">
        <v>64</v>
      </c>
      <c r="AE33" s="7" t="s">
        <v>153</v>
      </c>
      <c r="AI33" s="10" t="s">
        <v>293</v>
      </c>
      <c r="AJ33" s="7" t="s">
        <v>100</v>
      </c>
      <c r="AK33" s="7" t="s">
        <v>316</v>
      </c>
      <c r="AL33" s="7" t="s">
        <v>100</v>
      </c>
      <c r="AM33" s="7" t="s">
        <v>100</v>
      </c>
      <c r="AN33" s="7" t="s">
        <v>124</v>
      </c>
      <c r="AO33" s="7">
        <v>1002</v>
      </c>
      <c r="AP33" s="7" t="s">
        <v>317</v>
      </c>
      <c r="AQ33" s="7" t="s">
        <v>104</v>
      </c>
      <c r="AR33" s="7" t="s">
        <v>296</v>
      </c>
      <c r="AS33" s="7" t="s">
        <v>297</v>
      </c>
      <c r="AT33" s="7" t="s">
        <v>248</v>
      </c>
      <c r="AU33" s="7" t="s">
        <v>248</v>
      </c>
      <c r="AX33" s="7" t="s">
        <v>249</v>
      </c>
      <c r="AY33" s="7" t="s">
        <v>298</v>
      </c>
      <c r="AZ33" s="7" t="s">
        <v>104</v>
      </c>
      <c r="BA33" s="7" t="s">
        <v>296</v>
      </c>
      <c r="BB33" s="7" t="s">
        <v>297</v>
      </c>
      <c r="BC33" s="7" t="s">
        <v>251</v>
      </c>
      <c r="BD33" s="7" t="s">
        <v>251</v>
      </c>
      <c r="BF33" s="7" t="s">
        <v>252</v>
      </c>
      <c r="BG33" s="7">
        <v>7018</v>
      </c>
      <c r="BH33" s="7" t="s">
        <v>253</v>
      </c>
      <c r="BO33" s="7">
        <v>5</v>
      </c>
      <c r="BR33" s="7" t="s">
        <v>104</v>
      </c>
      <c r="BS33" s="7" t="s">
        <v>299</v>
      </c>
      <c r="BT33" s="7" t="s">
        <v>300</v>
      </c>
      <c r="BU33" s="7" t="s">
        <v>251</v>
      </c>
      <c r="BV33" s="7" t="s">
        <v>301</v>
      </c>
      <c r="BW33" s="7" t="s">
        <v>209</v>
      </c>
    </row>
    <row r="34" spans="1:75" s="7" customFormat="1" x14ac:dyDescent="0.35">
      <c r="A34" s="7" t="s">
        <v>318</v>
      </c>
      <c r="B34" s="8">
        <v>46008</v>
      </c>
      <c r="C34" s="9">
        <v>0.82776620370370368</v>
      </c>
      <c r="D34" s="7" t="s">
        <v>183</v>
      </c>
      <c r="E34" s="7" t="s">
        <v>184</v>
      </c>
      <c r="F34" s="11" t="s">
        <v>290</v>
      </c>
      <c r="G34" s="7">
        <f>COUNTIF($F$2:$F$278,F34)</f>
        <v>35</v>
      </c>
      <c r="H34" s="7" t="s">
        <v>291</v>
      </c>
      <c r="I34" s="7" t="s">
        <v>292</v>
      </c>
      <c r="J34" s="7" t="s">
        <v>83</v>
      </c>
      <c r="K34" s="7" t="s">
        <v>84</v>
      </c>
      <c r="M34" s="7" t="s">
        <v>85</v>
      </c>
      <c r="N34" s="7" t="s">
        <v>86</v>
      </c>
      <c r="O34" s="7" t="s">
        <v>84</v>
      </c>
      <c r="P34" s="7" t="s">
        <v>100</v>
      </c>
      <c r="Q34" s="7" t="s">
        <v>188</v>
      </c>
      <c r="R34" s="7" t="s">
        <v>189</v>
      </c>
      <c r="S34" s="7" t="s">
        <v>190</v>
      </c>
      <c r="T34" s="7" t="s">
        <v>191</v>
      </c>
      <c r="U34" s="7" t="s">
        <v>93</v>
      </c>
      <c r="V34" s="7" t="s">
        <v>22</v>
      </c>
      <c r="X34" s="7" t="s">
        <v>192</v>
      </c>
      <c r="Y34" s="7" t="s">
        <v>132</v>
      </c>
      <c r="Z34" s="7" t="s">
        <v>193</v>
      </c>
      <c r="AA34" s="7" t="b">
        <v>0</v>
      </c>
      <c r="AB34" s="7" t="b">
        <v>0</v>
      </c>
      <c r="AD34" s="7">
        <v>181</v>
      </c>
      <c r="AE34" s="7" t="s">
        <v>134</v>
      </c>
      <c r="AI34" s="10" t="s">
        <v>293</v>
      </c>
      <c r="AJ34" s="7" t="s">
        <v>100</v>
      </c>
      <c r="AK34" s="7" t="s">
        <v>319</v>
      </c>
      <c r="AL34" s="7" t="s">
        <v>100</v>
      </c>
      <c r="AM34" s="7" t="s">
        <v>100</v>
      </c>
      <c r="AN34" s="7" t="s">
        <v>124</v>
      </c>
      <c r="AO34" s="7">
        <v>1002</v>
      </c>
      <c r="AP34" s="7" t="s">
        <v>295</v>
      </c>
      <c r="AQ34" s="7" t="s">
        <v>104</v>
      </c>
      <c r="AR34" s="7" t="s">
        <v>296</v>
      </c>
      <c r="AS34" s="7" t="s">
        <v>297</v>
      </c>
      <c r="AT34" s="7" t="s">
        <v>248</v>
      </c>
      <c r="AU34" s="7" t="s">
        <v>248</v>
      </c>
      <c r="AX34" s="7" t="s">
        <v>249</v>
      </c>
      <c r="AY34" s="7" t="s">
        <v>298</v>
      </c>
      <c r="AZ34" s="7" t="s">
        <v>104</v>
      </c>
      <c r="BA34" s="7" t="s">
        <v>296</v>
      </c>
      <c r="BB34" s="7" t="s">
        <v>297</v>
      </c>
      <c r="BC34" s="7" t="s">
        <v>251</v>
      </c>
      <c r="BD34" s="7" t="s">
        <v>251</v>
      </c>
      <c r="BF34" s="7" t="s">
        <v>252</v>
      </c>
      <c r="BG34" s="7">
        <v>7018</v>
      </c>
      <c r="BH34" s="7" t="s">
        <v>253</v>
      </c>
      <c r="BO34" s="7">
        <v>5</v>
      </c>
      <c r="BR34" s="7" t="s">
        <v>104</v>
      </c>
      <c r="BS34" s="7" t="s">
        <v>299</v>
      </c>
      <c r="BT34" s="7" t="s">
        <v>300</v>
      </c>
      <c r="BU34" s="7" t="s">
        <v>251</v>
      </c>
      <c r="BV34" s="7" t="s">
        <v>301</v>
      </c>
      <c r="BW34" s="7" t="s">
        <v>209</v>
      </c>
    </row>
    <row r="35" spans="1:75" s="7" customFormat="1" x14ac:dyDescent="0.35">
      <c r="A35" s="7" t="s">
        <v>320</v>
      </c>
      <c r="B35" s="8">
        <v>46008</v>
      </c>
      <c r="C35" s="9">
        <v>0.82774305555555561</v>
      </c>
      <c r="D35" s="7" t="s">
        <v>183</v>
      </c>
      <c r="E35" s="7" t="s">
        <v>184</v>
      </c>
      <c r="F35" s="11" t="s">
        <v>290</v>
      </c>
      <c r="G35" s="7">
        <f>COUNTIF($F$2:$F$278,F35)</f>
        <v>35</v>
      </c>
      <c r="H35" s="7" t="s">
        <v>291</v>
      </c>
      <c r="I35" s="7" t="s">
        <v>292</v>
      </c>
      <c r="J35" s="7" t="s">
        <v>83</v>
      </c>
      <c r="K35" s="7" t="s">
        <v>143</v>
      </c>
      <c r="L35" s="7">
        <v>50140</v>
      </c>
      <c r="M35" s="7" t="s">
        <v>85</v>
      </c>
      <c r="N35" s="7" t="s">
        <v>86</v>
      </c>
      <c r="O35" s="7" t="s">
        <v>84</v>
      </c>
      <c r="P35" s="7" t="s">
        <v>100</v>
      </c>
      <c r="Q35" s="7" t="s">
        <v>188</v>
      </c>
      <c r="R35" s="7" t="s">
        <v>189</v>
      </c>
      <c r="S35" s="7" t="s">
        <v>190</v>
      </c>
      <c r="T35" s="7" t="s">
        <v>191</v>
      </c>
      <c r="U35" s="7" t="s">
        <v>144</v>
      </c>
      <c r="V35" s="7" t="s">
        <v>22</v>
      </c>
      <c r="X35" s="7" t="s">
        <v>192</v>
      </c>
      <c r="Y35" s="7" t="s">
        <v>132</v>
      </c>
      <c r="Z35" s="7" t="s">
        <v>193</v>
      </c>
      <c r="AA35" s="7" t="b">
        <v>0</v>
      </c>
      <c r="AB35" s="7" t="b">
        <v>0</v>
      </c>
      <c r="AD35" s="7">
        <v>189</v>
      </c>
      <c r="AE35" s="7" t="s">
        <v>145</v>
      </c>
      <c r="AI35" s="10" t="s">
        <v>293</v>
      </c>
      <c r="AJ35" s="7" t="s">
        <v>100</v>
      </c>
      <c r="AK35" s="7" t="s">
        <v>321</v>
      </c>
      <c r="AL35" s="7" t="s">
        <v>100</v>
      </c>
      <c r="AM35" s="7" t="s">
        <v>100</v>
      </c>
      <c r="AN35" s="7" t="s">
        <v>124</v>
      </c>
      <c r="AO35" s="7">
        <v>1002</v>
      </c>
      <c r="AP35" s="7" t="s">
        <v>295</v>
      </c>
      <c r="AQ35" s="7" t="s">
        <v>104</v>
      </c>
      <c r="AR35" s="7" t="s">
        <v>296</v>
      </c>
      <c r="AS35" s="7" t="s">
        <v>297</v>
      </c>
      <c r="AT35" s="7" t="s">
        <v>248</v>
      </c>
      <c r="AU35" s="7" t="s">
        <v>248</v>
      </c>
      <c r="AX35" s="7" t="s">
        <v>249</v>
      </c>
      <c r="AY35" s="7" t="s">
        <v>298</v>
      </c>
      <c r="AZ35" s="7" t="s">
        <v>104</v>
      </c>
      <c r="BA35" s="7" t="s">
        <v>296</v>
      </c>
      <c r="BB35" s="7" t="s">
        <v>297</v>
      </c>
      <c r="BC35" s="7" t="s">
        <v>251</v>
      </c>
      <c r="BD35" s="7" t="s">
        <v>251</v>
      </c>
      <c r="BF35" s="7" t="s">
        <v>252</v>
      </c>
      <c r="BG35" s="7">
        <v>7018</v>
      </c>
      <c r="BH35" s="7" t="s">
        <v>253</v>
      </c>
      <c r="BO35" s="7">
        <v>5</v>
      </c>
      <c r="BR35" s="7" t="s">
        <v>104</v>
      </c>
      <c r="BS35" s="7" t="s">
        <v>299</v>
      </c>
      <c r="BT35" s="7" t="s">
        <v>300</v>
      </c>
      <c r="BU35" s="7" t="s">
        <v>251</v>
      </c>
      <c r="BV35" s="7" t="s">
        <v>301</v>
      </c>
      <c r="BW35" s="7" t="s">
        <v>209</v>
      </c>
    </row>
    <row r="36" spans="1:75" s="7" customFormat="1" x14ac:dyDescent="0.35">
      <c r="A36" s="7" t="s">
        <v>320</v>
      </c>
      <c r="B36" s="8">
        <v>46008</v>
      </c>
      <c r="C36" s="9">
        <v>0.82774305555555561</v>
      </c>
      <c r="D36" s="7" t="s">
        <v>183</v>
      </c>
      <c r="E36" s="7" t="s">
        <v>184</v>
      </c>
      <c r="F36" s="11" t="s">
        <v>290</v>
      </c>
      <c r="G36" s="7">
        <f>COUNTIF($F$2:$F$278,F36)</f>
        <v>35</v>
      </c>
      <c r="H36" s="7" t="s">
        <v>291</v>
      </c>
      <c r="I36" s="7" t="s">
        <v>292</v>
      </c>
      <c r="J36" s="7" t="s">
        <v>83</v>
      </c>
      <c r="K36" s="7" t="s">
        <v>119</v>
      </c>
      <c r="L36" s="7">
        <v>50207</v>
      </c>
      <c r="M36" s="7" t="s">
        <v>85</v>
      </c>
      <c r="N36" s="7" t="s">
        <v>120</v>
      </c>
      <c r="O36" s="7" t="s">
        <v>87</v>
      </c>
      <c r="P36" s="7" t="s">
        <v>100</v>
      </c>
      <c r="Q36" s="7" t="s">
        <v>188</v>
      </c>
      <c r="R36" s="7" t="s">
        <v>189</v>
      </c>
      <c r="S36" s="7" t="s">
        <v>190</v>
      </c>
      <c r="T36" s="7" t="s">
        <v>191</v>
      </c>
      <c r="U36" s="7" t="s">
        <v>322</v>
      </c>
      <c r="V36" s="7" t="s">
        <v>22</v>
      </c>
      <c r="X36" s="7" t="s">
        <v>192</v>
      </c>
      <c r="Y36" s="7" t="s">
        <v>132</v>
      </c>
      <c r="Z36" s="7" t="s">
        <v>193</v>
      </c>
      <c r="AA36" s="7" t="b">
        <v>0</v>
      </c>
      <c r="AB36" s="7" t="b">
        <v>0</v>
      </c>
      <c r="AD36" s="7">
        <v>177</v>
      </c>
      <c r="AE36" s="7" t="s">
        <v>153</v>
      </c>
      <c r="AI36" s="10" t="s">
        <v>293</v>
      </c>
      <c r="AJ36" s="7" t="s">
        <v>100</v>
      </c>
      <c r="AK36" s="7" t="s">
        <v>323</v>
      </c>
      <c r="AL36" s="7" t="s">
        <v>100</v>
      </c>
      <c r="AM36" s="7" t="s">
        <v>100</v>
      </c>
      <c r="AN36" s="7" t="s">
        <v>124</v>
      </c>
      <c r="AP36" s="7" t="s">
        <v>295</v>
      </c>
      <c r="AQ36" s="7" t="s">
        <v>104</v>
      </c>
      <c r="AR36" s="7" t="s">
        <v>296</v>
      </c>
      <c r="AS36" s="7" t="s">
        <v>297</v>
      </c>
      <c r="AT36" s="7" t="s">
        <v>248</v>
      </c>
      <c r="AU36" s="7" t="s">
        <v>248</v>
      </c>
      <c r="AX36" s="7" t="s">
        <v>249</v>
      </c>
      <c r="AY36" s="7" t="s">
        <v>298</v>
      </c>
      <c r="AZ36" s="7" t="s">
        <v>104</v>
      </c>
      <c r="BA36" s="7" t="s">
        <v>296</v>
      </c>
      <c r="BB36" s="7" t="s">
        <v>297</v>
      </c>
      <c r="BC36" s="7" t="s">
        <v>251</v>
      </c>
      <c r="BD36" s="7" t="s">
        <v>251</v>
      </c>
      <c r="BF36" s="7" t="s">
        <v>252</v>
      </c>
      <c r="BG36" s="7">
        <v>7018</v>
      </c>
      <c r="BH36" s="7" t="s">
        <v>253</v>
      </c>
      <c r="BO36" s="7">
        <v>5</v>
      </c>
      <c r="BR36" s="7" t="s">
        <v>104</v>
      </c>
      <c r="BS36" s="7" t="s">
        <v>299</v>
      </c>
      <c r="BT36" s="7" t="s">
        <v>300</v>
      </c>
      <c r="BU36" s="7" t="s">
        <v>251</v>
      </c>
      <c r="BV36" s="7" t="s">
        <v>301</v>
      </c>
      <c r="BW36" s="7" t="s">
        <v>209</v>
      </c>
    </row>
    <row r="37" spans="1:75" s="7" customFormat="1" x14ac:dyDescent="0.35">
      <c r="A37" s="7" t="s">
        <v>324</v>
      </c>
      <c r="B37" s="8">
        <v>46008</v>
      </c>
      <c r="C37" s="9">
        <v>0.82765046296296296</v>
      </c>
      <c r="D37" s="7" t="s">
        <v>183</v>
      </c>
      <c r="E37" s="7" t="s">
        <v>184</v>
      </c>
      <c r="F37" s="11" t="s">
        <v>290</v>
      </c>
      <c r="G37" s="7">
        <f>COUNTIF($F$2:$F$278,F37)</f>
        <v>35</v>
      </c>
      <c r="H37" s="7" t="s">
        <v>291</v>
      </c>
      <c r="I37" s="7" t="s">
        <v>292</v>
      </c>
      <c r="J37" s="7" t="s">
        <v>83</v>
      </c>
      <c r="K37" s="7" t="s">
        <v>84</v>
      </c>
      <c r="M37" s="7" t="s">
        <v>85</v>
      </c>
      <c r="N37" s="7" t="s">
        <v>86</v>
      </c>
      <c r="O37" s="7" t="s">
        <v>84</v>
      </c>
      <c r="P37" s="7" t="s">
        <v>100</v>
      </c>
      <c r="Q37" s="7" t="s">
        <v>325</v>
      </c>
      <c r="R37" s="7" t="s">
        <v>326</v>
      </c>
      <c r="S37" s="7" t="s">
        <v>314</v>
      </c>
      <c r="T37" s="7" t="s">
        <v>315</v>
      </c>
      <c r="U37" s="7" t="s">
        <v>93</v>
      </c>
      <c r="V37" s="7" t="s">
        <v>22</v>
      </c>
      <c r="X37" s="7" t="s">
        <v>192</v>
      </c>
      <c r="Y37" s="7" t="s">
        <v>132</v>
      </c>
      <c r="Z37" s="7" t="s">
        <v>193</v>
      </c>
      <c r="AA37" s="7" t="b">
        <v>0</v>
      </c>
      <c r="AB37" s="7" t="b">
        <v>0</v>
      </c>
      <c r="AD37" s="7">
        <v>68</v>
      </c>
      <c r="AE37" s="7" t="s">
        <v>153</v>
      </c>
      <c r="AI37" s="10" t="s">
        <v>293</v>
      </c>
      <c r="AJ37" s="7" t="s">
        <v>100</v>
      </c>
      <c r="AK37" s="7" t="s">
        <v>327</v>
      </c>
      <c r="AL37" s="7" t="s">
        <v>100</v>
      </c>
      <c r="AM37" s="7" t="s">
        <v>100</v>
      </c>
      <c r="AN37" s="7" t="s">
        <v>124</v>
      </c>
      <c r="AO37" s="7">
        <v>1002</v>
      </c>
      <c r="AP37" s="7" t="s">
        <v>328</v>
      </c>
      <c r="AQ37" s="7" t="s">
        <v>104</v>
      </c>
      <c r="AR37" s="7" t="s">
        <v>296</v>
      </c>
      <c r="AS37" s="7" t="s">
        <v>297</v>
      </c>
      <c r="AT37" s="7" t="s">
        <v>248</v>
      </c>
      <c r="AU37" s="7" t="s">
        <v>248</v>
      </c>
      <c r="AX37" s="7" t="s">
        <v>249</v>
      </c>
      <c r="AY37" s="7" t="s">
        <v>298</v>
      </c>
      <c r="AZ37" s="7" t="s">
        <v>104</v>
      </c>
      <c r="BA37" s="7" t="s">
        <v>296</v>
      </c>
      <c r="BB37" s="7" t="s">
        <v>297</v>
      </c>
      <c r="BC37" s="7" t="s">
        <v>251</v>
      </c>
      <c r="BD37" s="7" t="s">
        <v>251</v>
      </c>
      <c r="BF37" s="7" t="s">
        <v>252</v>
      </c>
      <c r="BG37" s="7">
        <v>7018</v>
      </c>
      <c r="BH37" s="7" t="s">
        <v>253</v>
      </c>
      <c r="BO37" s="7">
        <v>5</v>
      </c>
      <c r="BR37" s="7" t="s">
        <v>104</v>
      </c>
      <c r="BS37" s="7" t="s">
        <v>299</v>
      </c>
      <c r="BT37" s="7" t="s">
        <v>300</v>
      </c>
      <c r="BU37" s="7" t="s">
        <v>251</v>
      </c>
      <c r="BV37" s="7" t="s">
        <v>301</v>
      </c>
      <c r="BW37" s="7" t="s">
        <v>209</v>
      </c>
    </row>
    <row r="38" spans="1:75" s="7" customFormat="1" x14ac:dyDescent="0.35">
      <c r="A38" s="7" t="s">
        <v>329</v>
      </c>
      <c r="B38" s="8">
        <v>46008</v>
      </c>
      <c r="C38" s="9">
        <v>0.82761574074074085</v>
      </c>
      <c r="D38" s="7" t="s">
        <v>183</v>
      </c>
      <c r="E38" s="7" t="s">
        <v>184</v>
      </c>
      <c r="F38" s="11" t="s">
        <v>290</v>
      </c>
      <c r="G38" s="7">
        <f>COUNTIF($F$2:$F$278,F38)</f>
        <v>35</v>
      </c>
      <c r="H38" s="7" t="s">
        <v>291</v>
      </c>
      <c r="I38" s="7" t="s">
        <v>292</v>
      </c>
      <c r="J38" s="7" t="s">
        <v>83</v>
      </c>
      <c r="K38" s="7" t="s">
        <v>84</v>
      </c>
      <c r="M38" s="7" t="s">
        <v>85</v>
      </c>
      <c r="N38" s="7" t="s">
        <v>86</v>
      </c>
      <c r="O38" s="7" t="s">
        <v>84</v>
      </c>
      <c r="P38" s="7" t="s">
        <v>100</v>
      </c>
      <c r="Q38" s="7" t="s">
        <v>330</v>
      </c>
      <c r="R38" s="7" t="s">
        <v>331</v>
      </c>
      <c r="S38" s="7" t="s">
        <v>91</v>
      </c>
      <c r="T38" s="7" t="s">
        <v>92</v>
      </c>
      <c r="U38" s="7" t="s">
        <v>93</v>
      </c>
      <c r="V38" s="7" t="s">
        <v>22</v>
      </c>
      <c r="X38" s="7" t="s">
        <v>192</v>
      </c>
      <c r="Y38" s="7" t="s">
        <v>132</v>
      </c>
      <c r="Z38" s="7" t="s">
        <v>193</v>
      </c>
      <c r="AA38" s="7" t="b">
        <v>0</v>
      </c>
      <c r="AB38" s="7" t="b">
        <v>0</v>
      </c>
      <c r="AD38" s="7">
        <v>69</v>
      </c>
      <c r="AE38" s="7" t="s">
        <v>153</v>
      </c>
      <c r="AI38" s="10" t="s">
        <v>293</v>
      </c>
      <c r="AJ38" s="7" t="s">
        <v>100</v>
      </c>
      <c r="AK38" s="7" t="s">
        <v>332</v>
      </c>
      <c r="AL38" s="7" t="s">
        <v>100</v>
      </c>
      <c r="AM38" s="7" t="s">
        <v>100</v>
      </c>
      <c r="AN38" s="7" t="s">
        <v>124</v>
      </c>
      <c r="AO38" s="7">
        <v>1002</v>
      </c>
      <c r="AP38" s="7" t="s">
        <v>333</v>
      </c>
      <c r="AQ38" s="7" t="s">
        <v>104</v>
      </c>
      <c r="AR38" s="7" t="s">
        <v>296</v>
      </c>
      <c r="AS38" s="7" t="s">
        <v>297</v>
      </c>
      <c r="AT38" s="7" t="s">
        <v>248</v>
      </c>
      <c r="AU38" s="7" t="s">
        <v>248</v>
      </c>
      <c r="AX38" s="7" t="s">
        <v>249</v>
      </c>
      <c r="AY38" s="7" t="s">
        <v>298</v>
      </c>
      <c r="AZ38" s="7" t="s">
        <v>104</v>
      </c>
      <c r="BA38" s="7" t="s">
        <v>296</v>
      </c>
      <c r="BB38" s="7" t="s">
        <v>297</v>
      </c>
      <c r="BC38" s="7" t="s">
        <v>251</v>
      </c>
      <c r="BD38" s="7" t="s">
        <v>251</v>
      </c>
      <c r="BF38" s="7" t="s">
        <v>252</v>
      </c>
      <c r="BG38" s="7">
        <v>7018</v>
      </c>
      <c r="BH38" s="7" t="s">
        <v>253</v>
      </c>
      <c r="BO38" s="7">
        <v>5</v>
      </c>
      <c r="BR38" s="7" t="s">
        <v>104</v>
      </c>
      <c r="BS38" s="7" t="s">
        <v>299</v>
      </c>
      <c r="BT38" s="7" t="s">
        <v>300</v>
      </c>
      <c r="BU38" s="7" t="s">
        <v>251</v>
      </c>
      <c r="BV38" s="7" t="s">
        <v>301</v>
      </c>
      <c r="BW38" s="7" t="s">
        <v>209</v>
      </c>
    </row>
    <row r="39" spans="1:75" s="7" customFormat="1" x14ac:dyDescent="0.35">
      <c r="A39" s="7" t="s">
        <v>334</v>
      </c>
      <c r="B39" s="8">
        <v>46008</v>
      </c>
      <c r="C39" s="9">
        <v>0.82694444444444448</v>
      </c>
      <c r="D39" s="7" t="s">
        <v>183</v>
      </c>
      <c r="E39" s="7" t="s">
        <v>184</v>
      </c>
      <c r="F39" s="11" t="s">
        <v>290</v>
      </c>
      <c r="G39" s="7">
        <f>COUNTIF($F$2:$F$278,F39)</f>
        <v>35</v>
      </c>
      <c r="H39" s="7" t="s">
        <v>291</v>
      </c>
      <c r="I39" s="7" t="s">
        <v>292</v>
      </c>
      <c r="J39" s="7" t="s">
        <v>83</v>
      </c>
      <c r="K39" s="7" t="s">
        <v>84</v>
      </c>
      <c r="M39" s="7" t="s">
        <v>85</v>
      </c>
      <c r="N39" s="7" t="s">
        <v>86</v>
      </c>
      <c r="O39" s="7" t="s">
        <v>84</v>
      </c>
      <c r="P39" s="7" t="s">
        <v>100</v>
      </c>
      <c r="Q39" s="7" t="s">
        <v>150</v>
      </c>
      <c r="R39" s="7" t="s">
        <v>151</v>
      </c>
      <c r="S39" s="7" t="s">
        <v>150</v>
      </c>
      <c r="T39" s="7" t="s">
        <v>151</v>
      </c>
      <c r="U39" s="7" t="s">
        <v>93</v>
      </c>
      <c r="V39" s="7" t="s">
        <v>22</v>
      </c>
      <c r="X39" s="7" t="s">
        <v>192</v>
      </c>
      <c r="Y39" s="7" t="s">
        <v>132</v>
      </c>
      <c r="Z39" s="7" t="s">
        <v>193</v>
      </c>
      <c r="AA39" s="7" t="b">
        <v>0</v>
      </c>
      <c r="AB39" s="7" t="b">
        <v>0</v>
      </c>
      <c r="AD39" s="7">
        <v>85</v>
      </c>
      <c r="AE39" s="7" t="s">
        <v>153</v>
      </c>
      <c r="AI39" s="10" t="s">
        <v>293</v>
      </c>
      <c r="AJ39" s="7" t="s">
        <v>100</v>
      </c>
      <c r="AK39" s="7" t="s">
        <v>335</v>
      </c>
      <c r="AL39" s="7" t="s">
        <v>100</v>
      </c>
      <c r="AM39" s="7" t="s">
        <v>100</v>
      </c>
      <c r="AN39" s="7" t="s">
        <v>124</v>
      </c>
      <c r="AO39" s="7">
        <v>1002</v>
      </c>
      <c r="AP39" s="7" t="s">
        <v>336</v>
      </c>
      <c r="AQ39" s="7" t="s">
        <v>104</v>
      </c>
      <c r="AR39" s="7" t="s">
        <v>296</v>
      </c>
      <c r="AS39" s="7" t="s">
        <v>297</v>
      </c>
      <c r="AT39" s="7" t="s">
        <v>248</v>
      </c>
      <c r="AU39" s="7" t="s">
        <v>248</v>
      </c>
      <c r="AX39" s="7" t="s">
        <v>249</v>
      </c>
      <c r="AY39" s="7" t="s">
        <v>298</v>
      </c>
      <c r="AZ39" s="7" t="s">
        <v>104</v>
      </c>
      <c r="BA39" s="7" t="s">
        <v>296</v>
      </c>
      <c r="BB39" s="7" t="s">
        <v>297</v>
      </c>
      <c r="BC39" s="7" t="s">
        <v>251</v>
      </c>
      <c r="BD39" s="7" t="s">
        <v>251</v>
      </c>
      <c r="BF39" s="7" t="s">
        <v>252</v>
      </c>
      <c r="BG39" s="7">
        <v>7018</v>
      </c>
      <c r="BH39" s="7" t="s">
        <v>253</v>
      </c>
      <c r="BO39" s="7">
        <v>5</v>
      </c>
      <c r="BR39" s="7" t="s">
        <v>104</v>
      </c>
      <c r="BS39" s="7" t="s">
        <v>299</v>
      </c>
      <c r="BT39" s="7" t="s">
        <v>300</v>
      </c>
      <c r="BU39" s="7" t="s">
        <v>251</v>
      </c>
      <c r="BV39" s="7" t="s">
        <v>301</v>
      </c>
      <c r="BW39" s="7" t="s">
        <v>209</v>
      </c>
    </row>
    <row r="40" spans="1:75" s="7" customFormat="1" x14ac:dyDescent="0.35">
      <c r="A40" s="7" t="s">
        <v>337</v>
      </c>
      <c r="B40" s="8">
        <v>46008</v>
      </c>
      <c r="C40" s="9">
        <v>0.82693287037037033</v>
      </c>
      <c r="D40" s="7" t="s">
        <v>183</v>
      </c>
      <c r="E40" s="7" t="s">
        <v>184</v>
      </c>
      <c r="F40" s="11" t="s">
        <v>290</v>
      </c>
      <c r="G40" s="7">
        <f>COUNTIF($F$2:$F$278,F40)</f>
        <v>35</v>
      </c>
      <c r="H40" s="7" t="s">
        <v>291</v>
      </c>
      <c r="I40" s="7" t="s">
        <v>292</v>
      </c>
      <c r="J40" s="7" t="s">
        <v>83</v>
      </c>
      <c r="K40" s="7" t="s">
        <v>84</v>
      </c>
      <c r="M40" s="7" t="s">
        <v>85</v>
      </c>
      <c r="N40" s="7" t="s">
        <v>86</v>
      </c>
      <c r="O40" s="7" t="s">
        <v>84</v>
      </c>
      <c r="P40" s="7" t="s">
        <v>100</v>
      </c>
      <c r="Q40" s="7" t="s">
        <v>150</v>
      </c>
      <c r="R40" s="7" t="s">
        <v>151</v>
      </c>
      <c r="S40" s="7" t="s">
        <v>150</v>
      </c>
      <c r="T40" s="7" t="s">
        <v>151</v>
      </c>
      <c r="U40" s="7" t="s">
        <v>93</v>
      </c>
      <c r="V40" s="7" t="s">
        <v>22</v>
      </c>
      <c r="X40" s="7" t="s">
        <v>192</v>
      </c>
      <c r="Y40" s="7" t="s">
        <v>132</v>
      </c>
      <c r="Z40" s="7" t="s">
        <v>193</v>
      </c>
      <c r="AA40" s="7" t="b">
        <v>0</v>
      </c>
      <c r="AB40" s="7" t="b">
        <v>0</v>
      </c>
      <c r="AD40" s="7">
        <v>77</v>
      </c>
      <c r="AE40" s="7" t="s">
        <v>134</v>
      </c>
      <c r="AH40" s="7" t="s">
        <v>184</v>
      </c>
      <c r="AI40" s="10" t="s">
        <v>293</v>
      </c>
      <c r="AJ40" s="7" t="s">
        <v>100</v>
      </c>
      <c r="AK40" s="7" t="s">
        <v>338</v>
      </c>
      <c r="AL40" s="7" t="s">
        <v>100</v>
      </c>
      <c r="AM40" s="7" t="s">
        <v>100</v>
      </c>
      <c r="AN40" s="7" t="s">
        <v>124</v>
      </c>
      <c r="AO40" s="7">
        <v>1002</v>
      </c>
      <c r="AP40" s="7" t="s">
        <v>336</v>
      </c>
      <c r="AQ40" s="7" t="s">
        <v>104</v>
      </c>
      <c r="AR40" s="7" t="s">
        <v>296</v>
      </c>
      <c r="AS40" s="7" t="s">
        <v>297</v>
      </c>
      <c r="AT40" s="7" t="s">
        <v>248</v>
      </c>
      <c r="AU40" s="7" t="s">
        <v>248</v>
      </c>
      <c r="AX40" s="7" t="s">
        <v>249</v>
      </c>
      <c r="AY40" s="7" t="s">
        <v>298</v>
      </c>
      <c r="AZ40" s="7" t="s">
        <v>104</v>
      </c>
      <c r="BA40" s="7" t="s">
        <v>296</v>
      </c>
      <c r="BB40" s="7" t="s">
        <v>297</v>
      </c>
      <c r="BC40" s="7" t="s">
        <v>251</v>
      </c>
      <c r="BD40" s="7" t="s">
        <v>251</v>
      </c>
      <c r="BF40" s="7" t="s">
        <v>252</v>
      </c>
      <c r="BG40" s="7">
        <v>7018</v>
      </c>
      <c r="BH40" s="7" t="s">
        <v>253</v>
      </c>
      <c r="BO40" s="7">
        <v>5</v>
      </c>
      <c r="BR40" s="7" t="s">
        <v>104</v>
      </c>
      <c r="BS40" s="7" t="s">
        <v>299</v>
      </c>
      <c r="BT40" s="7" t="s">
        <v>300</v>
      </c>
      <c r="BU40" s="7" t="s">
        <v>251</v>
      </c>
      <c r="BV40" s="7" t="s">
        <v>301</v>
      </c>
      <c r="BW40" s="7" t="s">
        <v>209</v>
      </c>
    </row>
    <row r="41" spans="1:75" s="7" customFormat="1" x14ac:dyDescent="0.35">
      <c r="A41" s="7" t="s">
        <v>339</v>
      </c>
      <c r="B41" s="8">
        <v>46008</v>
      </c>
      <c r="C41" s="9">
        <v>0.82685185185185184</v>
      </c>
      <c r="D41" s="7" t="s">
        <v>183</v>
      </c>
      <c r="E41" s="7" t="s">
        <v>184</v>
      </c>
      <c r="F41" s="11" t="s">
        <v>290</v>
      </c>
      <c r="G41" s="7">
        <f>COUNTIF($F$2:$F$278,F41)</f>
        <v>35</v>
      </c>
      <c r="H41" s="7" t="s">
        <v>291</v>
      </c>
      <c r="I41" s="7" t="s">
        <v>292</v>
      </c>
      <c r="J41" s="7" t="s">
        <v>83</v>
      </c>
      <c r="K41" s="7" t="s">
        <v>143</v>
      </c>
      <c r="L41" s="7">
        <v>50140</v>
      </c>
      <c r="M41" s="7" t="s">
        <v>85</v>
      </c>
      <c r="N41" s="7" t="s">
        <v>86</v>
      </c>
      <c r="O41" s="7" t="s">
        <v>84</v>
      </c>
      <c r="P41" s="7" t="s">
        <v>100</v>
      </c>
      <c r="Q41" s="7" t="s">
        <v>150</v>
      </c>
      <c r="R41" s="7" t="s">
        <v>151</v>
      </c>
      <c r="S41" s="7" t="s">
        <v>150</v>
      </c>
      <c r="T41" s="7" t="s">
        <v>151</v>
      </c>
      <c r="U41" s="7" t="s">
        <v>144</v>
      </c>
      <c r="V41" s="7" t="s">
        <v>22</v>
      </c>
      <c r="X41" s="7" t="s">
        <v>192</v>
      </c>
      <c r="Y41" s="7" t="s">
        <v>132</v>
      </c>
      <c r="Z41" s="7" t="s">
        <v>193</v>
      </c>
      <c r="AA41" s="7" t="b">
        <v>0</v>
      </c>
      <c r="AB41" s="7" t="b">
        <v>0</v>
      </c>
      <c r="AD41" s="7">
        <v>87</v>
      </c>
      <c r="AE41" s="7" t="s">
        <v>145</v>
      </c>
      <c r="AF41" s="7" t="s">
        <v>215</v>
      </c>
      <c r="AG41" s="7" t="s">
        <v>216</v>
      </c>
      <c r="AH41" s="7" t="s">
        <v>184</v>
      </c>
      <c r="AI41" s="10" t="s">
        <v>293</v>
      </c>
      <c r="AJ41" s="7" t="s">
        <v>100</v>
      </c>
      <c r="AK41" s="7" t="s">
        <v>340</v>
      </c>
      <c r="AL41" s="7" t="s">
        <v>100</v>
      </c>
      <c r="AM41" s="7" t="s">
        <v>100</v>
      </c>
      <c r="AN41" s="7" t="s">
        <v>124</v>
      </c>
      <c r="AO41" s="7">
        <v>1002</v>
      </c>
      <c r="AP41" s="7" t="s">
        <v>336</v>
      </c>
      <c r="AQ41" s="7" t="s">
        <v>104</v>
      </c>
      <c r="AR41" s="7" t="s">
        <v>296</v>
      </c>
      <c r="AS41" s="7" t="s">
        <v>297</v>
      </c>
      <c r="AT41" s="7" t="s">
        <v>248</v>
      </c>
      <c r="AU41" s="7" t="s">
        <v>248</v>
      </c>
      <c r="AX41" s="7" t="s">
        <v>249</v>
      </c>
      <c r="AY41" s="7" t="s">
        <v>298</v>
      </c>
      <c r="AZ41" s="7" t="s">
        <v>104</v>
      </c>
      <c r="BA41" s="7" t="s">
        <v>296</v>
      </c>
      <c r="BB41" s="7" t="s">
        <v>297</v>
      </c>
      <c r="BC41" s="7" t="s">
        <v>251</v>
      </c>
      <c r="BD41" s="7" t="s">
        <v>251</v>
      </c>
      <c r="BF41" s="7" t="s">
        <v>252</v>
      </c>
      <c r="BG41" s="7">
        <v>7018</v>
      </c>
      <c r="BH41" s="7" t="s">
        <v>253</v>
      </c>
      <c r="BO41" s="7">
        <v>5</v>
      </c>
      <c r="BR41" s="7" t="s">
        <v>104</v>
      </c>
      <c r="BS41" s="7" t="s">
        <v>299</v>
      </c>
      <c r="BT41" s="7" t="s">
        <v>300</v>
      </c>
      <c r="BU41" s="7" t="s">
        <v>251</v>
      </c>
      <c r="BV41" s="7" t="s">
        <v>301</v>
      </c>
      <c r="BW41" s="7" t="s">
        <v>209</v>
      </c>
    </row>
    <row r="42" spans="1:75" s="7" customFormat="1" x14ac:dyDescent="0.35">
      <c r="A42" s="7" t="s">
        <v>341</v>
      </c>
      <c r="B42" s="8">
        <v>46008</v>
      </c>
      <c r="C42" s="9">
        <v>0.8267592592592593</v>
      </c>
      <c r="D42" s="7" t="s">
        <v>183</v>
      </c>
      <c r="E42" s="7" t="s">
        <v>184</v>
      </c>
      <c r="F42" s="11" t="s">
        <v>290</v>
      </c>
      <c r="G42" s="7">
        <f>COUNTIF($F$2:$F$278,F42)</f>
        <v>35</v>
      </c>
      <c r="H42" s="7" t="s">
        <v>291</v>
      </c>
      <c r="I42" s="7" t="s">
        <v>292</v>
      </c>
      <c r="J42" s="7" t="s">
        <v>83</v>
      </c>
      <c r="K42" s="7" t="s">
        <v>119</v>
      </c>
      <c r="L42" s="7">
        <v>50126</v>
      </c>
      <c r="M42" s="7" t="s">
        <v>85</v>
      </c>
      <c r="N42" s="7" t="s">
        <v>120</v>
      </c>
      <c r="O42" s="7" t="s">
        <v>87</v>
      </c>
      <c r="P42" s="7" t="s">
        <v>100</v>
      </c>
      <c r="Q42" s="7" t="s">
        <v>150</v>
      </c>
      <c r="R42" s="7" t="s">
        <v>151</v>
      </c>
      <c r="S42" s="7" t="s">
        <v>150</v>
      </c>
      <c r="T42" s="7" t="s">
        <v>151</v>
      </c>
      <c r="U42" s="7" t="s">
        <v>121</v>
      </c>
      <c r="V42" s="7" t="s">
        <v>22</v>
      </c>
      <c r="X42" s="7" t="s">
        <v>192</v>
      </c>
      <c r="Y42" s="7" t="s">
        <v>132</v>
      </c>
      <c r="Z42" s="7" t="s">
        <v>193</v>
      </c>
      <c r="AA42" s="7" t="b">
        <v>0</v>
      </c>
      <c r="AB42" s="7" t="b">
        <v>0</v>
      </c>
      <c r="AD42" s="7">
        <v>313</v>
      </c>
      <c r="AE42" s="7" t="s">
        <v>122</v>
      </c>
      <c r="AH42" s="7" t="s">
        <v>184</v>
      </c>
      <c r="AJ42" s="7" t="s">
        <v>100</v>
      </c>
      <c r="AK42" s="7" t="s">
        <v>342</v>
      </c>
      <c r="AL42" s="7" t="s">
        <v>100</v>
      </c>
      <c r="AM42" s="7" t="s">
        <v>100</v>
      </c>
      <c r="AN42" s="7" t="s">
        <v>124</v>
      </c>
      <c r="AP42" s="7" t="s">
        <v>336</v>
      </c>
      <c r="AQ42" s="7" t="s">
        <v>104</v>
      </c>
      <c r="AR42" s="7" t="s">
        <v>296</v>
      </c>
      <c r="AS42" s="7" t="s">
        <v>297</v>
      </c>
      <c r="AT42" s="7" t="s">
        <v>248</v>
      </c>
      <c r="AU42" s="7" t="s">
        <v>248</v>
      </c>
      <c r="AX42" s="7" t="s">
        <v>249</v>
      </c>
      <c r="AY42" s="7" t="s">
        <v>298</v>
      </c>
      <c r="AZ42" s="7" t="s">
        <v>104</v>
      </c>
      <c r="BA42" s="7" t="s">
        <v>296</v>
      </c>
      <c r="BB42" s="7" t="s">
        <v>297</v>
      </c>
      <c r="BC42" s="7" t="s">
        <v>251</v>
      </c>
      <c r="BD42" s="7" t="s">
        <v>251</v>
      </c>
      <c r="BF42" s="7" t="s">
        <v>252</v>
      </c>
      <c r="BG42" s="7">
        <v>7018</v>
      </c>
      <c r="BH42" s="7" t="s">
        <v>253</v>
      </c>
      <c r="BO42" s="7">
        <v>5</v>
      </c>
      <c r="BR42" s="7" t="s">
        <v>104</v>
      </c>
      <c r="BS42" s="7" t="s">
        <v>299</v>
      </c>
      <c r="BT42" s="7" t="s">
        <v>300</v>
      </c>
      <c r="BU42" s="7" t="s">
        <v>251</v>
      </c>
      <c r="BV42" s="7" t="s">
        <v>301</v>
      </c>
      <c r="BW42" s="7" t="s">
        <v>209</v>
      </c>
    </row>
    <row r="43" spans="1:75" s="7" customFormat="1" x14ac:dyDescent="0.35">
      <c r="A43" s="7" t="s">
        <v>343</v>
      </c>
      <c r="B43" s="8">
        <v>46008</v>
      </c>
      <c r="C43" s="9">
        <v>0.8119791666666667</v>
      </c>
      <c r="D43" s="7" t="s">
        <v>344</v>
      </c>
      <c r="E43" s="7" t="s">
        <v>345</v>
      </c>
      <c r="F43" s="11" t="s">
        <v>346</v>
      </c>
      <c r="G43" s="7">
        <f>COUNTIF($F$2:$F$278,F43)</f>
        <v>69</v>
      </c>
      <c r="H43" s="7" t="s">
        <v>347</v>
      </c>
      <c r="I43" s="7" t="s">
        <v>187</v>
      </c>
      <c r="J43" s="7" t="s">
        <v>83</v>
      </c>
      <c r="K43" s="7" t="s">
        <v>84</v>
      </c>
      <c r="M43" s="7" t="s">
        <v>85</v>
      </c>
      <c r="N43" s="7" t="s">
        <v>86</v>
      </c>
      <c r="O43" s="7" t="s">
        <v>84</v>
      </c>
      <c r="P43" s="7" t="s">
        <v>100</v>
      </c>
      <c r="Q43" s="7" t="s">
        <v>222</v>
      </c>
      <c r="R43" s="7" t="s">
        <v>223</v>
      </c>
      <c r="S43" s="7" t="s">
        <v>348</v>
      </c>
      <c r="T43" s="7" t="s">
        <v>349</v>
      </c>
      <c r="U43" s="7" t="s">
        <v>93</v>
      </c>
      <c r="V43" s="7" t="s">
        <v>94</v>
      </c>
      <c r="X43" s="7" t="s">
        <v>350</v>
      </c>
      <c r="Y43" s="7" t="s">
        <v>132</v>
      </c>
      <c r="Z43" s="7" t="s">
        <v>351</v>
      </c>
      <c r="AA43" s="7" t="b">
        <v>0</v>
      </c>
      <c r="AB43" s="7" t="b">
        <v>0</v>
      </c>
      <c r="AD43" s="7">
        <v>74</v>
      </c>
      <c r="AE43" s="7" t="s">
        <v>352</v>
      </c>
      <c r="AF43" s="7" t="s">
        <v>146</v>
      </c>
      <c r="AH43" s="7" t="s">
        <v>345</v>
      </c>
      <c r="AI43" s="7" t="s">
        <v>353</v>
      </c>
      <c r="AJ43" s="7" t="s">
        <v>100</v>
      </c>
      <c r="AK43" s="7" t="s">
        <v>354</v>
      </c>
      <c r="AL43" s="7" t="s">
        <v>100</v>
      </c>
      <c r="AM43" s="7" t="s">
        <v>100</v>
      </c>
      <c r="AN43" s="7" t="s">
        <v>124</v>
      </c>
      <c r="AO43" s="7">
        <v>1002</v>
      </c>
      <c r="AP43" s="7" t="s">
        <v>355</v>
      </c>
      <c r="AQ43" s="7" t="s">
        <v>104</v>
      </c>
      <c r="AR43" s="7" t="s">
        <v>197</v>
      </c>
      <c r="AS43" s="7" t="s">
        <v>356</v>
      </c>
      <c r="AT43" s="7" t="s">
        <v>199</v>
      </c>
      <c r="AU43" s="7" t="s">
        <v>199</v>
      </c>
      <c r="AX43" s="7" t="s">
        <v>200</v>
      </c>
      <c r="AY43" s="7" t="s">
        <v>357</v>
      </c>
      <c r="AZ43" s="7" t="s">
        <v>104</v>
      </c>
      <c r="BA43" s="7" t="s">
        <v>197</v>
      </c>
      <c r="BB43" s="7" t="s">
        <v>356</v>
      </c>
      <c r="BC43" s="7" t="s">
        <v>199</v>
      </c>
      <c r="BD43" s="7" t="s">
        <v>199</v>
      </c>
      <c r="BF43" s="7" t="s">
        <v>203</v>
      </c>
      <c r="BG43" s="7">
        <v>20115</v>
      </c>
      <c r="BH43" s="7" t="s">
        <v>358</v>
      </c>
      <c r="BO43" s="7">
        <v>9</v>
      </c>
      <c r="BR43" s="7" t="s">
        <v>104</v>
      </c>
      <c r="BS43" s="7" t="s">
        <v>205</v>
      </c>
      <c r="BT43" s="7" t="s">
        <v>356</v>
      </c>
      <c r="BU43" s="7" t="s">
        <v>207</v>
      </c>
      <c r="BV43" s="7" t="s">
        <v>208</v>
      </c>
      <c r="BW43" s="7" t="s">
        <v>209</v>
      </c>
    </row>
    <row r="44" spans="1:75" s="7" customFormat="1" x14ac:dyDescent="0.35">
      <c r="A44" s="7" t="s">
        <v>359</v>
      </c>
      <c r="B44" s="8">
        <v>46008</v>
      </c>
      <c r="C44" s="9">
        <v>0.81165509259259261</v>
      </c>
      <c r="D44" s="7" t="s">
        <v>344</v>
      </c>
      <c r="E44" s="7" t="s">
        <v>345</v>
      </c>
      <c r="F44" s="11" t="s">
        <v>346</v>
      </c>
      <c r="G44" s="7">
        <f>COUNTIF($F$2:$F$278,F44)</f>
        <v>69</v>
      </c>
      <c r="H44" s="7" t="s">
        <v>347</v>
      </c>
      <c r="I44" s="7" t="s">
        <v>187</v>
      </c>
      <c r="J44" s="7" t="s">
        <v>83</v>
      </c>
      <c r="K44" s="7" t="s">
        <v>119</v>
      </c>
      <c r="L44" s="7">
        <v>50126</v>
      </c>
      <c r="M44" s="7" t="s">
        <v>85</v>
      </c>
      <c r="N44" s="7" t="s">
        <v>120</v>
      </c>
      <c r="O44" s="7" t="s">
        <v>87</v>
      </c>
      <c r="P44" s="7" t="s">
        <v>100</v>
      </c>
      <c r="Q44" s="7" t="s">
        <v>222</v>
      </c>
      <c r="R44" s="7" t="s">
        <v>223</v>
      </c>
      <c r="S44" s="7" t="s">
        <v>348</v>
      </c>
      <c r="T44" s="7" t="s">
        <v>349</v>
      </c>
      <c r="U44" s="7" t="s">
        <v>121</v>
      </c>
      <c r="V44" s="7" t="s">
        <v>94</v>
      </c>
      <c r="X44" s="7" t="s">
        <v>350</v>
      </c>
      <c r="Y44" s="7" t="s">
        <v>132</v>
      </c>
      <c r="Z44" s="7" t="s">
        <v>351</v>
      </c>
      <c r="AA44" s="7" t="b">
        <v>0</v>
      </c>
      <c r="AB44" s="7" t="b">
        <v>0</v>
      </c>
      <c r="AD44" s="7">
        <v>512</v>
      </c>
      <c r="AE44" s="7" t="s">
        <v>122</v>
      </c>
      <c r="AH44" s="7" t="s">
        <v>345</v>
      </c>
      <c r="AJ44" s="7" t="s">
        <v>100</v>
      </c>
      <c r="AK44" s="7" t="s">
        <v>360</v>
      </c>
      <c r="AL44" s="7" t="s">
        <v>100</v>
      </c>
      <c r="AM44" s="7" t="s">
        <v>100</v>
      </c>
      <c r="AN44" s="7" t="s">
        <v>124</v>
      </c>
      <c r="AP44" s="7" t="s">
        <v>355</v>
      </c>
      <c r="AQ44" s="7" t="s">
        <v>104</v>
      </c>
      <c r="AR44" s="7" t="s">
        <v>197</v>
      </c>
      <c r="AS44" s="7" t="s">
        <v>356</v>
      </c>
      <c r="AT44" s="7" t="s">
        <v>199</v>
      </c>
      <c r="AU44" s="7" t="s">
        <v>199</v>
      </c>
      <c r="AX44" s="7" t="s">
        <v>200</v>
      </c>
      <c r="AY44" s="7" t="s">
        <v>357</v>
      </c>
      <c r="AZ44" s="7" t="s">
        <v>104</v>
      </c>
      <c r="BA44" s="7" t="s">
        <v>197</v>
      </c>
      <c r="BB44" s="7" t="s">
        <v>356</v>
      </c>
      <c r="BC44" s="7" t="s">
        <v>199</v>
      </c>
      <c r="BD44" s="7" t="s">
        <v>199</v>
      </c>
      <c r="BF44" s="7" t="s">
        <v>203</v>
      </c>
      <c r="BG44" s="7">
        <v>20115</v>
      </c>
      <c r="BH44" s="7" t="s">
        <v>358</v>
      </c>
      <c r="BO44" s="7">
        <v>9</v>
      </c>
      <c r="BR44" s="7" t="s">
        <v>104</v>
      </c>
      <c r="BS44" s="7" t="s">
        <v>205</v>
      </c>
      <c r="BT44" s="7" t="s">
        <v>356</v>
      </c>
      <c r="BU44" s="7" t="s">
        <v>207</v>
      </c>
      <c r="BV44" s="7" t="s">
        <v>208</v>
      </c>
      <c r="BW44" s="7" t="s">
        <v>209</v>
      </c>
    </row>
    <row r="45" spans="1:75" x14ac:dyDescent="0.35">
      <c r="A45" t="s">
        <v>361</v>
      </c>
      <c r="B45" s="1">
        <v>46008</v>
      </c>
      <c r="C45" s="2">
        <v>0.80048611111111112</v>
      </c>
      <c r="D45" t="s">
        <v>362</v>
      </c>
      <c r="E45" t="s">
        <v>363</v>
      </c>
      <c r="F45" t="s">
        <v>364</v>
      </c>
      <c r="G45">
        <f>COUNTIF($F$2:$F$278,F45)</f>
        <v>2</v>
      </c>
      <c r="H45" t="s">
        <v>365</v>
      </c>
      <c r="I45" t="s">
        <v>366</v>
      </c>
      <c r="J45" t="s">
        <v>83</v>
      </c>
      <c r="K45" t="s">
        <v>84</v>
      </c>
      <c r="M45" t="s">
        <v>85</v>
      </c>
      <c r="N45" t="s">
        <v>120</v>
      </c>
      <c r="O45" t="s">
        <v>87</v>
      </c>
      <c r="P45" t="s">
        <v>88</v>
      </c>
      <c r="Q45" t="s">
        <v>169</v>
      </c>
      <c r="R45" t="s">
        <v>170</v>
      </c>
      <c r="T45" t="s">
        <v>171</v>
      </c>
      <c r="U45" t="s">
        <v>93</v>
      </c>
      <c r="V45" t="s">
        <v>94</v>
      </c>
      <c r="X45" t="s">
        <v>367</v>
      </c>
      <c r="Y45" t="s">
        <v>368</v>
      </c>
      <c r="Z45" t="s">
        <v>369</v>
      </c>
      <c r="AA45" t="b">
        <v>0</v>
      </c>
      <c r="AB45" t="b">
        <v>0</v>
      </c>
      <c r="AD45">
        <v>113</v>
      </c>
      <c r="AE45" t="s">
        <v>153</v>
      </c>
      <c r="AI45" t="s">
        <v>370</v>
      </c>
      <c r="AJ45" t="s">
        <v>100</v>
      </c>
      <c r="AK45" t="s">
        <v>371</v>
      </c>
      <c r="AL45" t="s">
        <v>100</v>
      </c>
      <c r="AM45" t="s">
        <v>100</v>
      </c>
      <c r="AN45" t="s">
        <v>124</v>
      </c>
      <c r="AO45">
        <v>1002</v>
      </c>
      <c r="AP45" t="s">
        <v>372</v>
      </c>
      <c r="AQ45" t="s">
        <v>104</v>
      </c>
      <c r="AR45" t="s">
        <v>197</v>
      </c>
      <c r="AT45" t="s">
        <v>373</v>
      </c>
      <c r="AU45" t="s">
        <v>373</v>
      </c>
      <c r="AX45" t="s">
        <v>374</v>
      </c>
      <c r="AY45" t="s">
        <v>375</v>
      </c>
      <c r="AZ45" t="s">
        <v>104</v>
      </c>
      <c r="BA45" t="s">
        <v>376</v>
      </c>
      <c r="BB45" t="s">
        <v>377</v>
      </c>
      <c r="BC45" t="s">
        <v>378</v>
      </c>
      <c r="BD45" t="s">
        <v>378</v>
      </c>
      <c r="BE45" t="s">
        <v>379</v>
      </c>
      <c r="BF45" t="s">
        <v>380</v>
      </c>
      <c r="BG45">
        <v>6614</v>
      </c>
      <c r="BH45" t="s">
        <v>381</v>
      </c>
      <c r="BO45">
        <v>8</v>
      </c>
      <c r="BR45" t="s">
        <v>104</v>
      </c>
      <c r="BS45" t="s">
        <v>382</v>
      </c>
      <c r="BT45" t="s">
        <v>383</v>
      </c>
      <c r="BU45" t="s">
        <v>378</v>
      </c>
      <c r="BV45" t="s">
        <v>378</v>
      </c>
      <c r="BW45" t="s">
        <v>384</v>
      </c>
    </row>
    <row r="46" spans="1:75" x14ac:dyDescent="0.35">
      <c r="A46" t="s">
        <v>385</v>
      </c>
      <c r="B46" s="1">
        <v>46008</v>
      </c>
      <c r="C46" s="2">
        <v>0.80047453703703697</v>
      </c>
      <c r="D46" t="s">
        <v>362</v>
      </c>
      <c r="E46" t="s">
        <v>363</v>
      </c>
      <c r="F46" t="s">
        <v>364</v>
      </c>
      <c r="G46">
        <f>COUNTIF($F$2:$F$278,F46)</f>
        <v>2</v>
      </c>
      <c r="H46" t="s">
        <v>365</v>
      </c>
      <c r="I46" t="s">
        <v>366</v>
      </c>
      <c r="J46" t="s">
        <v>83</v>
      </c>
      <c r="K46" t="s">
        <v>84</v>
      </c>
      <c r="M46" t="s">
        <v>85</v>
      </c>
      <c r="N46" t="s">
        <v>86</v>
      </c>
      <c r="O46" t="s">
        <v>84</v>
      </c>
      <c r="P46" t="s">
        <v>100</v>
      </c>
      <c r="Q46" t="s">
        <v>386</v>
      </c>
      <c r="R46" t="s">
        <v>387</v>
      </c>
      <c r="S46" t="s">
        <v>224</v>
      </c>
      <c r="T46" t="s">
        <v>225</v>
      </c>
      <c r="U46" t="s">
        <v>93</v>
      </c>
      <c r="V46" t="s">
        <v>94</v>
      </c>
      <c r="X46" t="s">
        <v>367</v>
      </c>
      <c r="Y46" t="s">
        <v>368</v>
      </c>
      <c r="Z46" t="s">
        <v>369</v>
      </c>
      <c r="AA46" t="b">
        <v>0</v>
      </c>
      <c r="AB46" t="b">
        <v>0</v>
      </c>
      <c r="AD46">
        <v>91</v>
      </c>
      <c r="AE46" t="s">
        <v>352</v>
      </c>
      <c r="AF46" t="s">
        <v>146</v>
      </c>
      <c r="AH46" t="s">
        <v>363</v>
      </c>
      <c r="AI46" t="s">
        <v>370</v>
      </c>
      <c r="AJ46" t="s">
        <v>100</v>
      </c>
      <c r="AK46" t="s">
        <v>388</v>
      </c>
      <c r="AL46" t="s">
        <v>100</v>
      </c>
      <c r="AM46" t="s">
        <v>100</v>
      </c>
      <c r="AN46" t="s">
        <v>124</v>
      </c>
      <c r="AO46">
        <v>1002</v>
      </c>
      <c r="AP46" t="s">
        <v>372</v>
      </c>
      <c r="AQ46" t="s">
        <v>104</v>
      </c>
      <c r="AR46" t="s">
        <v>197</v>
      </c>
      <c r="AT46" t="s">
        <v>373</v>
      </c>
      <c r="AU46" t="s">
        <v>373</v>
      </c>
      <c r="AX46" t="s">
        <v>374</v>
      </c>
      <c r="AY46" t="s">
        <v>375</v>
      </c>
      <c r="AZ46" t="s">
        <v>104</v>
      </c>
      <c r="BA46" t="s">
        <v>376</v>
      </c>
      <c r="BB46" t="s">
        <v>377</v>
      </c>
      <c r="BC46" t="s">
        <v>378</v>
      </c>
      <c r="BD46" t="s">
        <v>378</v>
      </c>
      <c r="BE46" t="s">
        <v>379</v>
      </c>
      <c r="BF46" t="s">
        <v>380</v>
      </c>
      <c r="BG46">
        <v>6614</v>
      </c>
      <c r="BH46" t="s">
        <v>381</v>
      </c>
      <c r="BO46">
        <v>8</v>
      </c>
      <c r="BR46" t="s">
        <v>104</v>
      </c>
      <c r="BS46" t="s">
        <v>382</v>
      </c>
      <c r="BT46" t="s">
        <v>383</v>
      </c>
      <c r="BU46" t="s">
        <v>378</v>
      </c>
      <c r="BV46" t="s">
        <v>378</v>
      </c>
      <c r="BW46" t="s">
        <v>384</v>
      </c>
    </row>
    <row r="47" spans="1:75" s="7" customFormat="1" x14ac:dyDescent="0.35">
      <c r="A47" s="7" t="s">
        <v>389</v>
      </c>
      <c r="B47" s="8">
        <v>46008</v>
      </c>
      <c r="C47" s="9">
        <v>0.79887731481481483</v>
      </c>
      <c r="D47" s="7" t="s">
        <v>362</v>
      </c>
      <c r="E47" s="7" t="s">
        <v>363</v>
      </c>
      <c r="F47" s="11" t="s">
        <v>346</v>
      </c>
      <c r="G47" s="7">
        <f>COUNTIF($F$2:$F$278,F47)</f>
        <v>69</v>
      </c>
      <c r="H47" s="7" t="s">
        <v>347</v>
      </c>
      <c r="I47" s="7" t="s">
        <v>187</v>
      </c>
      <c r="J47" s="7" t="s">
        <v>83</v>
      </c>
      <c r="K47" s="7" t="s">
        <v>84</v>
      </c>
      <c r="M47" s="7" t="s">
        <v>85</v>
      </c>
      <c r="N47" s="7" t="s">
        <v>86</v>
      </c>
      <c r="O47" s="7" t="s">
        <v>84</v>
      </c>
      <c r="P47" s="7" t="s">
        <v>100</v>
      </c>
      <c r="Q47" s="7" t="s">
        <v>390</v>
      </c>
      <c r="R47" s="7" t="s">
        <v>391</v>
      </c>
      <c r="S47" s="7" t="s">
        <v>224</v>
      </c>
      <c r="T47" s="7" t="s">
        <v>225</v>
      </c>
      <c r="U47" s="7" t="s">
        <v>93</v>
      </c>
      <c r="V47" s="7" t="s">
        <v>94</v>
      </c>
      <c r="X47" s="7" t="s">
        <v>350</v>
      </c>
      <c r="Y47" s="7" t="s">
        <v>132</v>
      </c>
      <c r="Z47" s="7" t="s">
        <v>351</v>
      </c>
      <c r="AA47" s="7" t="b">
        <v>0</v>
      </c>
      <c r="AB47" s="7" t="b">
        <v>0</v>
      </c>
      <c r="AD47" s="7">
        <v>96</v>
      </c>
      <c r="AE47" s="7" t="s">
        <v>352</v>
      </c>
      <c r="AF47" s="7" t="s">
        <v>146</v>
      </c>
      <c r="AH47" s="7" t="s">
        <v>363</v>
      </c>
      <c r="AI47" s="7" t="s">
        <v>392</v>
      </c>
      <c r="AJ47" s="7" t="s">
        <v>100</v>
      </c>
      <c r="AK47" s="7" t="s">
        <v>393</v>
      </c>
      <c r="AL47" s="7" t="s">
        <v>100</v>
      </c>
      <c r="AM47" s="7" t="s">
        <v>100</v>
      </c>
      <c r="AN47" s="7" t="s">
        <v>124</v>
      </c>
      <c r="AO47" s="7">
        <v>1002</v>
      </c>
      <c r="AP47" s="7" t="s">
        <v>394</v>
      </c>
      <c r="AQ47" s="7" t="s">
        <v>104</v>
      </c>
      <c r="AR47" s="7" t="s">
        <v>197</v>
      </c>
      <c r="AS47" s="7" t="s">
        <v>356</v>
      </c>
      <c r="AT47" s="7" t="s">
        <v>199</v>
      </c>
      <c r="AU47" s="7" t="s">
        <v>199</v>
      </c>
      <c r="AX47" s="7" t="s">
        <v>200</v>
      </c>
      <c r="AY47" s="7" t="s">
        <v>357</v>
      </c>
      <c r="AZ47" s="7" t="s">
        <v>104</v>
      </c>
      <c r="BA47" s="7" t="s">
        <v>197</v>
      </c>
      <c r="BB47" s="7" t="s">
        <v>356</v>
      </c>
      <c r="BC47" s="7" t="s">
        <v>199</v>
      </c>
      <c r="BD47" s="7" t="s">
        <v>199</v>
      </c>
      <c r="BF47" s="7" t="s">
        <v>203</v>
      </c>
      <c r="BG47" s="7">
        <v>20115</v>
      </c>
      <c r="BH47" s="7" t="s">
        <v>358</v>
      </c>
      <c r="BO47" s="7">
        <v>9</v>
      </c>
      <c r="BR47" s="7" t="s">
        <v>104</v>
      </c>
      <c r="BS47" s="7" t="s">
        <v>205</v>
      </c>
      <c r="BT47" s="7" t="s">
        <v>356</v>
      </c>
      <c r="BU47" s="7" t="s">
        <v>207</v>
      </c>
      <c r="BV47" s="7" t="s">
        <v>208</v>
      </c>
      <c r="BW47" s="7" t="s">
        <v>209</v>
      </c>
    </row>
    <row r="48" spans="1:75" s="3" customFormat="1" x14ac:dyDescent="0.35">
      <c r="A48" s="3" t="s">
        <v>395</v>
      </c>
      <c r="B48" s="4">
        <v>46008</v>
      </c>
      <c r="C48" s="5">
        <v>0.78680555555555554</v>
      </c>
      <c r="D48" s="3" t="s">
        <v>78</v>
      </c>
      <c r="E48" s="3" t="s">
        <v>79</v>
      </c>
      <c r="F48" s="3" t="s">
        <v>396</v>
      </c>
      <c r="G48" s="3">
        <f>COUNTIF($F$2:$F$278,F48)</f>
        <v>7</v>
      </c>
      <c r="H48" s="3" t="s">
        <v>397</v>
      </c>
      <c r="I48" s="3" t="s">
        <v>398</v>
      </c>
      <c r="J48" s="3" t="s">
        <v>83</v>
      </c>
      <c r="K48" s="3" t="s">
        <v>84</v>
      </c>
      <c r="M48" s="3" t="s">
        <v>85</v>
      </c>
      <c r="N48" s="3" t="s">
        <v>86</v>
      </c>
      <c r="O48" s="3" t="s">
        <v>84</v>
      </c>
      <c r="P48" s="3" t="s">
        <v>100</v>
      </c>
      <c r="Q48" s="3" t="s">
        <v>150</v>
      </c>
      <c r="R48" s="3" t="s">
        <v>151</v>
      </c>
      <c r="S48" s="3" t="s">
        <v>150</v>
      </c>
      <c r="T48" s="3" t="s">
        <v>151</v>
      </c>
      <c r="U48" s="3" t="s">
        <v>93</v>
      </c>
      <c r="V48" s="3" t="s">
        <v>22</v>
      </c>
      <c r="Z48" s="3" t="s">
        <v>399</v>
      </c>
      <c r="AA48" s="3" t="b">
        <v>0</v>
      </c>
      <c r="AB48" s="3" t="b">
        <v>0</v>
      </c>
      <c r="AD48" s="3">
        <v>110</v>
      </c>
      <c r="AE48" s="3" t="s">
        <v>153</v>
      </c>
      <c r="AI48" s="3" t="s">
        <v>400</v>
      </c>
      <c r="AJ48" s="3" t="s">
        <v>100</v>
      </c>
      <c r="AK48" s="3" t="s">
        <v>401</v>
      </c>
      <c r="AL48" s="3" t="s">
        <v>100</v>
      </c>
      <c r="AM48" s="3" t="s">
        <v>100</v>
      </c>
      <c r="AN48" s="3" t="s">
        <v>124</v>
      </c>
      <c r="AO48" s="3">
        <v>1002</v>
      </c>
      <c r="AP48" s="3" t="s">
        <v>402</v>
      </c>
      <c r="AQ48" s="3" t="s">
        <v>104</v>
      </c>
      <c r="AR48" s="3" t="s">
        <v>403</v>
      </c>
      <c r="AS48" s="3" t="s">
        <v>404</v>
      </c>
      <c r="AT48" s="3" t="s">
        <v>405</v>
      </c>
      <c r="AU48" s="3" t="s">
        <v>405</v>
      </c>
      <c r="AX48" s="3" t="s">
        <v>406</v>
      </c>
      <c r="AY48" s="3" t="s">
        <v>407</v>
      </c>
      <c r="AZ48" s="3" t="s">
        <v>104</v>
      </c>
      <c r="BA48" s="3" t="s">
        <v>403</v>
      </c>
      <c r="BB48" s="3" t="s">
        <v>404</v>
      </c>
      <c r="BC48" s="3" t="s">
        <v>408</v>
      </c>
      <c r="BD48" s="3" t="s">
        <v>408</v>
      </c>
      <c r="BE48" s="3" t="s">
        <v>409</v>
      </c>
      <c r="BF48" s="3" t="s">
        <v>410</v>
      </c>
      <c r="BG48" s="3">
        <v>215540</v>
      </c>
      <c r="BH48" s="3" t="s">
        <v>411</v>
      </c>
      <c r="BO48" s="3">
        <v>20</v>
      </c>
      <c r="BR48" s="3" t="s">
        <v>104</v>
      </c>
      <c r="BS48" s="3" t="s">
        <v>412</v>
      </c>
      <c r="BT48" s="3" t="s">
        <v>404</v>
      </c>
      <c r="BU48" s="3" t="s">
        <v>413</v>
      </c>
      <c r="BV48" s="6" t="s">
        <v>413</v>
      </c>
      <c r="BW48" s="3" t="s">
        <v>209</v>
      </c>
    </row>
    <row r="49" spans="1:75" s="3" customFormat="1" x14ac:dyDescent="0.35">
      <c r="A49" s="3" t="s">
        <v>395</v>
      </c>
      <c r="B49" s="4">
        <v>46008</v>
      </c>
      <c r="C49" s="5">
        <v>0.78680555555555554</v>
      </c>
      <c r="D49" s="3" t="s">
        <v>78</v>
      </c>
      <c r="E49" s="3" t="s">
        <v>79</v>
      </c>
      <c r="F49" s="3" t="s">
        <v>396</v>
      </c>
      <c r="G49" s="3">
        <f>COUNTIF($F$2:$F$278,F49)</f>
        <v>7</v>
      </c>
      <c r="H49" s="3" t="s">
        <v>397</v>
      </c>
      <c r="I49" s="3" t="s">
        <v>398</v>
      </c>
      <c r="J49" s="3" t="s">
        <v>83</v>
      </c>
      <c r="K49" s="3" t="s">
        <v>143</v>
      </c>
      <c r="L49" s="3">
        <v>50140</v>
      </c>
      <c r="M49" s="3" t="s">
        <v>85</v>
      </c>
      <c r="N49" s="3" t="s">
        <v>86</v>
      </c>
      <c r="O49" s="3" t="s">
        <v>84</v>
      </c>
      <c r="P49" s="3" t="s">
        <v>100</v>
      </c>
      <c r="Q49" s="3" t="s">
        <v>150</v>
      </c>
      <c r="R49" s="3" t="s">
        <v>151</v>
      </c>
      <c r="S49" s="3" t="s">
        <v>150</v>
      </c>
      <c r="T49" s="3" t="s">
        <v>151</v>
      </c>
      <c r="U49" s="3" t="s">
        <v>144</v>
      </c>
      <c r="V49" s="3" t="s">
        <v>22</v>
      </c>
      <c r="Z49" s="3" t="s">
        <v>399</v>
      </c>
      <c r="AA49" s="3" t="b">
        <v>0</v>
      </c>
      <c r="AB49" s="3" t="b">
        <v>0</v>
      </c>
      <c r="AD49" s="3">
        <v>142</v>
      </c>
      <c r="AE49" s="3" t="s">
        <v>145</v>
      </c>
      <c r="AF49" s="3" t="s">
        <v>215</v>
      </c>
      <c r="AG49" s="3" t="s">
        <v>414</v>
      </c>
      <c r="AI49" s="3" t="s">
        <v>400</v>
      </c>
      <c r="AJ49" s="3" t="s">
        <v>100</v>
      </c>
      <c r="AK49" s="3" t="s">
        <v>415</v>
      </c>
      <c r="AL49" s="3" t="s">
        <v>100</v>
      </c>
      <c r="AM49" s="3" t="s">
        <v>100</v>
      </c>
      <c r="AN49" s="3" t="s">
        <v>124</v>
      </c>
      <c r="AO49" s="3">
        <v>1002</v>
      </c>
      <c r="AP49" s="3" t="s">
        <v>402</v>
      </c>
      <c r="AQ49" s="3" t="s">
        <v>104</v>
      </c>
      <c r="AR49" s="3" t="s">
        <v>403</v>
      </c>
      <c r="AS49" s="3" t="s">
        <v>404</v>
      </c>
      <c r="AT49" s="3" t="s">
        <v>405</v>
      </c>
      <c r="AU49" s="3" t="s">
        <v>405</v>
      </c>
      <c r="AX49" s="3" t="s">
        <v>406</v>
      </c>
      <c r="AY49" s="3" t="s">
        <v>407</v>
      </c>
      <c r="AZ49" s="3" t="s">
        <v>104</v>
      </c>
      <c r="BA49" s="3" t="s">
        <v>403</v>
      </c>
      <c r="BB49" s="3" t="s">
        <v>404</v>
      </c>
      <c r="BC49" s="3" t="s">
        <v>408</v>
      </c>
      <c r="BD49" s="3" t="s">
        <v>408</v>
      </c>
      <c r="BE49" s="3" t="s">
        <v>409</v>
      </c>
      <c r="BF49" s="3" t="s">
        <v>410</v>
      </c>
      <c r="BG49" s="3">
        <v>215540</v>
      </c>
      <c r="BH49" s="3" t="s">
        <v>411</v>
      </c>
      <c r="BO49" s="3">
        <v>20</v>
      </c>
      <c r="BR49" s="3" t="s">
        <v>104</v>
      </c>
      <c r="BS49" s="3" t="s">
        <v>412</v>
      </c>
      <c r="BT49" s="3" t="s">
        <v>404</v>
      </c>
      <c r="BU49" s="3" t="s">
        <v>413</v>
      </c>
      <c r="BV49" s="6" t="s">
        <v>413</v>
      </c>
      <c r="BW49" s="3" t="s">
        <v>209</v>
      </c>
    </row>
    <row r="50" spans="1:75" s="7" customFormat="1" x14ac:dyDescent="0.35">
      <c r="A50" s="7" t="s">
        <v>416</v>
      </c>
      <c r="B50" s="8">
        <v>46008</v>
      </c>
      <c r="C50" s="9">
        <v>0.78400462962962969</v>
      </c>
      <c r="D50" s="7" t="s">
        <v>78</v>
      </c>
      <c r="E50" s="7" t="s">
        <v>79</v>
      </c>
      <c r="F50" s="7" t="s">
        <v>128</v>
      </c>
      <c r="G50" s="7">
        <f>COUNTIF($F$2:$F$278,F50)</f>
        <v>26</v>
      </c>
      <c r="H50" s="7" t="s">
        <v>81</v>
      </c>
      <c r="I50" s="7" t="s">
        <v>82</v>
      </c>
      <c r="J50" s="7" t="s">
        <v>83</v>
      </c>
      <c r="K50" s="7" t="s">
        <v>84</v>
      </c>
      <c r="M50" s="7" t="s">
        <v>85</v>
      </c>
      <c r="N50" s="7" t="s">
        <v>86</v>
      </c>
      <c r="O50" s="7" t="s">
        <v>84</v>
      </c>
      <c r="P50" s="7" t="s">
        <v>88</v>
      </c>
      <c r="Q50" s="7" t="s">
        <v>417</v>
      </c>
      <c r="R50" s="7" t="s">
        <v>418</v>
      </c>
      <c r="S50" s="7" t="s">
        <v>224</v>
      </c>
      <c r="T50" s="7" t="s">
        <v>225</v>
      </c>
      <c r="U50" s="7" t="s">
        <v>93</v>
      </c>
      <c r="V50" s="7" t="s">
        <v>22</v>
      </c>
      <c r="W50" s="7" t="s">
        <v>95</v>
      </c>
      <c r="X50" s="7" t="s">
        <v>131</v>
      </c>
      <c r="Y50" s="7" t="s">
        <v>132</v>
      </c>
      <c r="Z50" s="7" t="s">
        <v>419</v>
      </c>
      <c r="AA50" s="7" t="b">
        <v>0</v>
      </c>
      <c r="AB50" s="7" t="b">
        <v>0</v>
      </c>
      <c r="AC50" s="11" t="s">
        <v>1331</v>
      </c>
      <c r="AD50" s="7">
        <v>159</v>
      </c>
      <c r="AE50" s="7" t="s">
        <v>153</v>
      </c>
      <c r="AI50" s="7" t="s">
        <v>99</v>
      </c>
      <c r="AJ50" s="7" t="s">
        <v>100</v>
      </c>
      <c r="AK50" s="7" t="s">
        <v>420</v>
      </c>
      <c r="AL50" s="7" t="s">
        <v>100</v>
      </c>
      <c r="AM50" s="7" t="s">
        <v>100</v>
      </c>
      <c r="AN50" s="7" t="s">
        <v>102</v>
      </c>
      <c r="AP50" s="7" t="s">
        <v>421</v>
      </c>
      <c r="AQ50" s="7" t="s">
        <v>104</v>
      </c>
      <c r="AR50" s="7" t="s">
        <v>105</v>
      </c>
      <c r="AS50" s="7" t="s">
        <v>137</v>
      </c>
      <c r="AT50" s="7" t="s">
        <v>107</v>
      </c>
      <c r="AU50" s="7" t="s">
        <v>107</v>
      </c>
      <c r="AX50" s="7" t="s">
        <v>108</v>
      </c>
      <c r="AY50" s="7" t="s">
        <v>138</v>
      </c>
      <c r="AZ50" s="7" t="s">
        <v>104</v>
      </c>
      <c r="BA50" s="7" t="s">
        <v>105</v>
      </c>
      <c r="BB50" s="7" t="s">
        <v>139</v>
      </c>
      <c r="BC50" s="7" t="s">
        <v>110</v>
      </c>
      <c r="BD50" s="7" t="s">
        <v>110</v>
      </c>
      <c r="BF50" s="7" t="s">
        <v>112</v>
      </c>
      <c r="BG50" s="7">
        <v>7922</v>
      </c>
      <c r="BH50" s="7" t="s">
        <v>140</v>
      </c>
      <c r="BO50" s="7">
        <v>5</v>
      </c>
      <c r="BR50" s="7" t="s">
        <v>104</v>
      </c>
      <c r="BS50" s="7" t="s">
        <v>141</v>
      </c>
      <c r="BT50" s="7" t="s">
        <v>106</v>
      </c>
      <c r="BU50" s="7" t="s">
        <v>110</v>
      </c>
      <c r="BV50" s="7" t="s">
        <v>110</v>
      </c>
      <c r="BW50" s="7" t="s">
        <v>117</v>
      </c>
    </row>
    <row r="51" spans="1:75" s="3" customFormat="1" x14ac:dyDescent="0.35">
      <c r="A51" s="3" t="s">
        <v>422</v>
      </c>
      <c r="B51" s="4">
        <v>46008</v>
      </c>
      <c r="C51" s="5">
        <v>0.78386574074074078</v>
      </c>
      <c r="D51" s="3" t="s">
        <v>78</v>
      </c>
      <c r="E51" s="3" t="s">
        <v>79</v>
      </c>
      <c r="F51" s="3" t="s">
        <v>423</v>
      </c>
      <c r="G51" s="3">
        <f>COUNTIF($F$2:$F$278,F51)</f>
        <v>2</v>
      </c>
      <c r="H51" s="3" t="s">
        <v>397</v>
      </c>
      <c r="I51" s="3" t="s">
        <v>398</v>
      </c>
      <c r="J51" s="3" t="s">
        <v>83</v>
      </c>
      <c r="K51" s="3" t="s">
        <v>84</v>
      </c>
      <c r="M51" s="3" t="s">
        <v>85</v>
      </c>
      <c r="N51" s="3" t="s">
        <v>86</v>
      </c>
      <c r="O51" s="3" t="s">
        <v>84</v>
      </c>
      <c r="P51" s="3" t="s">
        <v>100</v>
      </c>
      <c r="Q51" s="3" t="s">
        <v>150</v>
      </c>
      <c r="R51" s="3" t="s">
        <v>151</v>
      </c>
      <c r="S51" s="3" t="s">
        <v>150</v>
      </c>
      <c r="T51" s="3" t="s">
        <v>151</v>
      </c>
      <c r="U51" s="3" t="s">
        <v>93</v>
      </c>
      <c r="V51" s="3" t="s">
        <v>22</v>
      </c>
      <c r="Z51" s="3" t="s">
        <v>399</v>
      </c>
      <c r="AA51" s="3" t="b">
        <v>0</v>
      </c>
      <c r="AB51" s="3" t="b">
        <v>0</v>
      </c>
      <c r="AD51" s="3">
        <v>109</v>
      </c>
      <c r="AE51" s="3" t="s">
        <v>153</v>
      </c>
      <c r="AI51" s="3" t="s">
        <v>424</v>
      </c>
      <c r="AJ51" s="3" t="s">
        <v>100</v>
      </c>
      <c r="AK51" s="3" t="s">
        <v>425</v>
      </c>
      <c r="AL51" s="3" t="s">
        <v>100</v>
      </c>
      <c r="AM51" s="3" t="s">
        <v>100</v>
      </c>
      <c r="AN51" s="3" t="s">
        <v>124</v>
      </c>
      <c r="AO51" s="3">
        <v>1002</v>
      </c>
      <c r="AP51" s="3" t="s">
        <v>426</v>
      </c>
      <c r="AQ51" s="3" t="s">
        <v>104</v>
      </c>
      <c r="AR51" s="3" t="s">
        <v>403</v>
      </c>
      <c r="AS51" s="3" t="s">
        <v>404</v>
      </c>
      <c r="AT51" s="3" t="s">
        <v>405</v>
      </c>
      <c r="AU51" s="3" t="s">
        <v>405</v>
      </c>
      <c r="AX51" s="3" t="s">
        <v>406</v>
      </c>
      <c r="AY51" s="3" t="s">
        <v>407</v>
      </c>
      <c r="AZ51" s="3" t="s">
        <v>104</v>
      </c>
      <c r="BA51" s="3" t="s">
        <v>403</v>
      </c>
      <c r="BB51" s="3" t="s">
        <v>404</v>
      </c>
      <c r="BC51" s="3" t="s">
        <v>408</v>
      </c>
      <c r="BD51" s="3" t="s">
        <v>408</v>
      </c>
      <c r="BE51" s="3" t="s">
        <v>409</v>
      </c>
      <c r="BF51" s="3" t="s">
        <v>410</v>
      </c>
      <c r="BG51" s="3">
        <v>215540</v>
      </c>
      <c r="BH51" s="3" t="s">
        <v>411</v>
      </c>
      <c r="BO51" s="3">
        <v>20</v>
      </c>
      <c r="BR51" s="3" t="s">
        <v>104</v>
      </c>
      <c r="BS51" s="3" t="s">
        <v>412</v>
      </c>
      <c r="BT51" s="3" t="s">
        <v>404</v>
      </c>
      <c r="BU51" s="3" t="s">
        <v>413</v>
      </c>
      <c r="BV51" s="6" t="s">
        <v>413</v>
      </c>
      <c r="BW51" s="3" t="s">
        <v>209</v>
      </c>
    </row>
    <row r="52" spans="1:75" s="3" customFormat="1" x14ac:dyDescent="0.35">
      <c r="A52" s="3" t="s">
        <v>427</v>
      </c>
      <c r="B52" s="4">
        <v>46008</v>
      </c>
      <c r="C52" s="5">
        <v>0.78385416666666663</v>
      </c>
      <c r="D52" s="3" t="s">
        <v>78</v>
      </c>
      <c r="E52" s="3" t="s">
        <v>79</v>
      </c>
      <c r="F52" s="3" t="s">
        <v>423</v>
      </c>
      <c r="G52" s="3">
        <f>COUNTIF($F$2:$F$278,F52)</f>
        <v>2</v>
      </c>
      <c r="H52" s="3" t="s">
        <v>397</v>
      </c>
      <c r="I52" s="3" t="s">
        <v>398</v>
      </c>
      <c r="J52" s="3" t="s">
        <v>83</v>
      </c>
      <c r="K52" s="3" t="s">
        <v>143</v>
      </c>
      <c r="L52" s="3">
        <v>50140</v>
      </c>
      <c r="M52" s="3" t="s">
        <v>85</v>
      </c>
      <c r="N52" s="3" t="s">
        <v>86</v>
      </c>
      <c r="O52" s="3" t="s">
        <v>84</v>
      </c>
      <c r="P52" s="3" t="s">
        <v>100</v>
      </c>
      <c r="Q52" s="3" t="s">
        <v>150</v>
      </c>
      <c r="R52" s="3" t="s">
        <v>151</v>
      </c>
      <c r="S52" s="3" t="s">
        <v>150</v>
      </c>
      <c r="T52" s="3" t="s">
        <v>151</v>
      </c>
      <c r="U52" s="3" t="s">
        <v>144</v>
      </c>
      <c r="V52" s="3" t="s">
        <v>22</v>
      </c>
      <c r="Z52" s="3" t="s">
        <v>399</v>
      </c>
      <c r="AA52" s="3" t="b">
        <v>0</v>
      </c>
      <c r="AB52" s="3" t="b">
        <v>0</v>
      </c>
      <c r="AD52" s="3">
        <v>94</v>
      </c>
      <c r="AE52" s="3" t="s">
        <v>145</v>
      </c>
      <c r="AF52" s="3" t="s">
        <v>146</v>
      </c>
      <c r="AG52" s="3" t="s">
        <v>414</v>
      </c>
      <c r="AI52" s="3" t="s">
        <v>424</v>
      </c>
      <c r="AJ52" s="3" t="s">
        <v>100</v>
      </c>
      <c r="AK52" s="3" t="s">
        <v>428</v>
      </c>
      <c r="AL52" s="3" t="s">
        <v>100</v>
      </c>
      <c r="AM52" s="3" t="s">
        <v>100</v>
      </c>
      <c r="AN52" s="3" t="s">
        <v>124</v>
      </c>
      <c r="AO52" s="3">
        <v>1002</v>
      </c>
      <c r="AP52" s="3" t="s">
        <v>426</v>
      </c>
      <c r="AQ52" s="3" t="s">
        <v>104</v>
      </c>
      <c r="AR52" s="3" t="s">
        <v>403</v>
      </c>
      <c r="AS52" s="3" t="s">
        <v>404</v>
      </c>
      <c r="AT52" s="3" t="s">
        <v>405</v>
      </c>
      <c r="AU52" s="3" t="s">
        <v>405</v>
      </c>
      <c r="AX52" s="3" t="s">
        <v>406</v>
      </c>
      <c r="AY52" s="3" t="s">
        <v>407</v>
      </c>
      <c r="AZ52" s="3" t="s">
        <v>104</v>
      </c>
      <c r="BA52" s="3" t="s">
        <v>403</v>
      </c>
      <c r="BB52" s="3" t="s">
        <v>404</v>
      </c>
      <c r="BC52" s="3" t="s">
        <v>408</v>
      </c>
      <c r="BD52" s="3" t="s">
        <v>408</v>
      </c>
      <c r="BE52" s="3" t="s">
        <v>409</v>
      </c>
      <c r="BF52" s="3" t="s">
        <v>410</v>
      </c>
      <c r="BG52" s="3">
        <v>215540</v>
      </c>
      <c r="BH52" s="3" t="s">
        <v>411</v>
      </c>
      <c r="BO52" s="3">
        <v>20</v>
      </c>
      <c r="BR52" s="3" t="s">
        <v>104</v>
      </c>
      <c r="BS52" s="3" t="s">
        <v>412</v>
      </c>
      <c r="BT52" s="3" t="s">
        <v>404</v>
      </c>
      <c r="BU52" s="3" t="s">
        <v>413</v>
      </c>
      <c r="BV52" s="6" t="s">
        <v>413</v>
      </c>
      <c r="BW52" s="3" t="s">
        <v>209</v>
      </c>
    </row>
    <row r="53" spans="1:75" s="7" customFormat="1" x14ac:dyDescent="0.35">
      <c r="A53" s="7" t="s">
        <v>429</v>
      </c>
      <c r="B53" s="8">
        <v>46008</v>
      </c>
      <c r="C53" s="9">
        <v>0.78076388888888892</v>
      </c>
      <c r="D53" s="7" t="s">
        <v>344</v>
      </c>
      <c r="E53" s="7" t="s">
        <v>345</v>
      </c>
      <c r="F53" s="11" t="s">
        <v>346</v>
      </c>
      <c r="G53" s="7">
        <f>COUNTIF($F$2:$F$278,F53)</f>
        <v>69</v>
      </c>
      <c r="H53" s="7" t="s">
        <v>347</v>
      </c>
      <c r="I53" s="7" t="s">
        <v>187</v>
      </c>
      <c r="J53" s="7" t="s">
        <v>83</v>
      </c>
      <c r="K53" s="7" t="s">
        <v>84</v>
      </c>
      <c r="M53" s="7" t="s">
        <v>85</v>
      </c>
      <c r="N53" s="7" t="s">
        <v>86</v>
      </c>
      <c r="O53" s="7" t="s">
        <v>84</v>
      </c>
      <c r="P53" s="7" t="s">
        <v>100</v>
      </c>
      <c r="Q53" s="7" t="s">
        <v>390</v>
      </c>
      <c r="R53" s="7" t="s">
        <v>391</v>
      </c>
      <c r="S53" s="7" t="s">
        <v>224</v>
      </c>
      <c r="T53" s="7" t="s">
        <v>225</v>
      </c>
      <c r="U53" s="7" t="s">
        <v>93</v>
      </c>
      <c r="V53" s="7" t="s">
        <v>94</v>
      </c>
      <c r="X53" s="7" t="s">
        <v>350</v>
      </c>
      <c r="Y53" s="7" t="s">
        <v>132</v>
      </c>
      <c r="Z53" s="7" t="s">
        <v>351</v>
      </c>
      <c r="AA53" s="7" t="b">
        <v>0</v>
      </c>
      <c r="AB53" s="7" t="b">
        <v>0</v>
      </c>
      <c r="AD53" s="7">
        <v>54</v>
      </c>
      <c r="AE53" s="7" t="s">
        <v>352</v>
      </c>
      <c r="AF53" s="7" t="s">
        <v>215</v>
      </c>
      <c r="AH53" s="7" t="s">
        <v>345</v>
      </c>
      <c r="AI53" s="7" t="s">
        <v>430</v>
      </c>
      <c r="AJ53" s="7" t="s">
        <v>100</v>
      </c>
      <c r="AK53" s="7" t="s">
        <v>431</v>
      </c>
      <c r="AL53" s="7" t="s">
        <v>100</v>
      </c>
      <c r="AM53" s="7" t="s">
        <v>100</v>
      </c>
      <c r="AN53" s="7" t="s">
        <v>124</v>
      </c>
      <c r="AO53" s="7">
        <v>1002</v>
      </c>
      <c r="AP53" s="7" t="s">
        <v>432</v>
      </c>
      <c r="AQ53" s="7" t="s">
        <v>104</v>
      </c>
      <c r="AR53" s="7" t="s">
        <v>197</v>
      </c>
      <c r="AS53" s="7" t="s">
        <v>356</v>
      </c>
      <c r="AT53" s="7" t="s">
        <v>199</v>
      </c>
      <c r="AU53" s="7" t="s">
        <v>199</v>
      </c>
      <c r="AX53" s="7" t="s">
        <v>200</v>
      </c>
      <c r="AY53" s="7" t="s">
        <v>357</v>
      </c>
      <c r="AZ53" s="7" t="s">
        <v>104</v>
      </c>
      <c r="BA53" s="7" t="s">
        <v>197</v>
      </c>
      <c r="BB53" s="7" t="s">
        <v>356</v>
      </c>
      <c r="BC53" s="7" t="s">
        <v>199</v>
      </c>
      <c r="BD53" s="7" t="s">
        <v>199</v>
      </c>
      <c r="BF53" s="7" t="s">
        <v>203</v>
      </c>
      <c r="BG53" s="7">
        <v>20115</v>
      </c>
      <c r="BH53" s="7" t="s">
        <v>358</v>
      </c>
      <c r="BO53" s="7">
        <v>9</v>
      </c>
      <c r="BR53" s="7" t="s">
        <v>104</v>
      </c>
      <c r="BS53" s="7" t="s">
        <v>205</v>
      </c>
      <c r="BT53" s="7" t="s">
        <v>356</v>
      </c>
      <c r="BU53" s="7" t="s">
        <v>207</v>
      </c>
      <c r="BV53" s="7" t="s">
        <v>208</v>
      </c>
      <c r="BW53" s="7" t="s">
        <v>209</v>
      </c>
    </row>
    <row r="54" spans="1:75" s="7" customFormat="1" x14ac:dyDescent="0.35">
      <c r="A54" s="7" t="s">
        <v>433</v>
      </c>
      <c r="B54" s="8">
        <v>46008</v>
      </c>
      <c r="C54" s="9">
        <v>0.78005787037037033</v>
      </c>
      <c r="D54" s="7" t="s">
        <v>344</v>
      </c>
      <c r="E54" s="7" t="s">
        <v>345</v>
      </c>
      <c r="F54" s="11" t="s">
        <v>346</v>
      </c>
      <c r="G54" s="7">
        <f>COUNTIF($F$2:$F$278,F54)</f>
        <v>69</v>
      </c>
      <c r="H54" s="7" t="s">
        <v>347</v>
      </c>
      <c r="I54" s="7" t="s">
        <v>187</v>
      </c>
      <c r="J54" s="7" t="s">
        <v>83</v>
      </c>
      <c r="K54" s="7" t="s">
        <v>143</v>
      </c>
      <c r="L54" s="7">
        <v>50074</v>
      </c>
      <c r="M54" s="7" t="s">
        <v>85</v>
      </c>
      <c r="N54" s="7" t="s">
        <v>86</v>
      </c>
      <c r="O54" s="7" t="s">
        <v>119</v>
      </c>
      <c r="P54" s="7" t="s">
        <v>100</v>
      </c>
      <c r="Q54" s="7" t="s">
        <v>390</v>
      </c>
      <c r="R54" s="7" t="s">
        <v>391</v>
      </c>
      <c r="S54" s="7" t="s">
        <v>224</v>
      </c>
      <c r="T54" s="7" t="s">
        <v>225</v>
      </c>
      <c r="U54" s="7" t="s">
        <v>303</v>
      </c>
      <c r="V54" s="7" t="s">
        <v>94</v>
      </c>
      <c r="X54" s="7" t="s">
        <v>350</v>
      </c>
      <c r="Y54" s="7" t="s">
        <v>132</v>
      </c>
      <c r="Z54" s="7" t="s">
        <v>351</v>
      </c>
      <c r="AA54" s="7" t="b">
        <v>0</v>
      </c>
      <c r="AB54" s="7" t="b">
        <v>0</v>
      </c>
      <c r="AD54" s="7">
        <v>78</v>
      </c>
      <c r="AE54" s="7" t="s">
        <v>305</v>
      </c>
      <c r="AF54" s="7" t="s">
        <v>146</v>
      </c>
      <c r="AH54" s="7" t="s">
        <v>345</v>
      </c>
      <c r="AI54" s="7" t="s">
        <v>434</v>
      </c>
      <c r="AJ54" s="7" t="s">
        <v>100</v>
      </c>
      <c r="AK54" s="7" t="s">
        <v>435</v>
      </c>
      <c r="AL54" s="7" t="s">
        <v>100</v>
      </c>
      <c r="AM54" s="7" t="s">
        <v>100</v>
      </c>
      <c r="AN54" s="7" t="s">
        <v>124</v>
      </c>
      <c r="AO54" s="7">
        <v>1002</v>
      </c>
      <c r="AP54" s="7" t="s">
        <v>436</v>
      </c>
      <c r="AQ54" s="7" t="s">
        <v>104</v>
      </c>
      <c r="AR54" s="7" t="s">
        <v>197</v>
      </c>
      <c r="AS54" s="7" t="s">
        <v>356</v>
      </c>
      <c r="AT54" s="7" t="s">
        <v>199</v>
      </c>
      <c r="AU54" s="7" t="s">
        <v>199</v>
      </c>
      <c r="AX54" s="7" t="s">
        <v>200</v>
      </c>
      <c r="AY54" s="7" t="s">
        <v>357</v>
      </c>
      <c r="AZ54" s="7" t="s">
        <v>104</v>
      </c>
      <c r="BA54" s="7" t="s">
        <v>197</v>
      </c>
      <c r="BB54" s="7" t="s">
        <v>356</v>
      </c>
      <c r="BC54" s="7" t="s">
        <v>199</v>
      </c>
      <c r="BD54" s="7" t="s">
        <v>199</v>
      </c>
      <c r="BF54" s="7" t="s">
        <v>203</v>
      </c>
      <c r="BG54" s="7">
        <v>20115</v>
      </c>
      <c r="BH54" s="7" t="s">
        <v>358</v>
      </c>
      <c r="BO54" s="7">
        <v>9</v>
      </c>
      <c r="BR54" s="7" t="s">
        <v>104</v>
      </c>
      <c r="BS54" s="7" t="s">
        <v>205</v>
      </c>
      <c r="BT54" s="7" t="s">
        <v>356</v>
      </c>
      <c r="BU54" s="7" t="s">
        <v>207</v>
      </c>
      <c r="BV54" s="7" t="s">
        <v>208</v>
      </c>
      <c r="BW54" s="7" t="s">
        <v>209</v>
      </c>
    </row>
    <row r="55" spans="1:75" s="7" customFormat="1" x14ac:dyDescent="0.35">
      <c r="A55" s="7" t="s">
        <v>437</v>
      </c>
      <c r="B55" s="8">
        <v>46008</v>
      </c>
      <c r="C55" s="9">
        <v>0.77990740740740738</v>
      </c>
      <c r="D55" s="7" t="s">
        <v>344</v>
      </c>
      <c r="E55" s="7" t="s">
        <v>345</v>
      </c>
      <c r="F55" s="11" t="s">
        <v>346</v>
      </c>
      <c r="G55" s="7">
        <f>COUNTIF($F$2:$F$278,F55)</f>
        <v>69</v>
      </c>
      <c r="H55" s="7" t="s">
        <v>347</v>
      </c>
      <c r="I55" s="7" t="s">
        <v>187</v>
      </c>
      <c r="J55" s="7" t="s">
        <v>83</v>
      </c>
      <c r="K55" s="7" t="s">
        <v>119</v>
      </c>
      <c r="L55" s="7">
        <v>50126</v>
      </c>
      <c r="M55" s="7" t="s">
        <v>85</v>
      </c>
      <c r="N55" s="7" t="s">
        <v>120</v>
      </c>
      <c r="O55" s="7" t="s">
        <v>87</v>
      </c>
      <c r="P55" s="7" t="s">
        <v>100</v>
      </c>
      <c r="Q55" s="7" t="s">
        <v>390</v>
      </c>
      <c r="R55" s="7" t="s">
        <v>391</v>
      </c>
      <c r="S55" s="7" t="s">
        <v>224</v>
      </c>
      <c r="T55" s="7" t="s">
        <v>225</v>
      </c>
      <c r="U55" s="7" t="s">
        <v>121</v>
      </c>
      <c r="V55" s="7" t="s">
        <v>94</v>
      </c>
      <c r="X55" s="7" t="s">
        <v>350</v>
      </c>
      <c r="Y55" s="7" t="s">
        <v>132</v>
      </c>
      <c r="Z55" s="7" t="s">
        <v>351</v>
      </c>
      <c r="AA55" s="7" t="b">
        <v>0</v>
      </c>
      <c r="AB55" s="7" t="b">
        <v>0</v>
      </c>
      <c r="AD55" s="7">
        <v>144</v>
      </c>
      <c r="AE55" s="7" t="s">
        <v>122</v>
      </c>
      <c r="AH55" s="7" t="s">
        <v>345</v>
      </c>
      <c r="AJ55" s="7" t="s">
        <v>100</v>
      </c>
      <c r="AK55" s="7" t="s">
        <v>438</v>
      </c>
      <c r="AL55" s="7" t="s">
        <v>100</v>
      </c>
      <c r="AM55" s="7" t="s">
        <v>100</v>
      </c>
      <c r="AN55" s="7" t="s">
        <v>124</v>
      </c>
      <c r="AP55" s="7" t="s">
        <v>436</v>
      </c>
      <c r="AQ55" s="7" t="s">
        <v>104</v>
      </c>
      <c r="AR55" s="7" t="s">
        <v>197</v>
      </c>
      <c r="AS55" s="7" t="s">
        <v>356</v>
      </c>
      <c r="AT55" s="7" t="s">
        <v>199</v>
      </c>
      <c r="AU55" s="7" t="s">
        <v>199</v>
      </c>
      <c r="AX55" s="7" t="s">
        <v>200</v>
      </c>
      <c r="AY55" s="7" t="s">
        <v>357</v>
      </c>
      <c r="AZ55" s="7" t="s">
        <v>104</v>
      </c>
      <c r="BA55" s="7" t="s">
        <v>197</v>
      </c>
      <c r="BB55" s="7" t="s">
        <v>356</v>
      </c>
      <c r="BC55" s="7" t="s">
        <v>199</v>
      </c>
      <c r="BD55" s="7" t="s">
        <v>199</v>
      </c>
      <c r="BF55" s="7" t="s">
        <v>203</v>
      </c>
      <c r="BG55" s="7">
        <v>20115</v>
      </c>
      <c r="BH55" s="7" t="s">
        <v>358</v>
      </c>
      <c r="BO55" s="7">
        <v>9</v>
      </c>
      <c r="BR55" s="7" t="s">
        <v>104</v>
      </c>
      <c r="BS55" s="7" t="s">
        <v>205</v>
      </c>
      <c r="BT55" s="7" t="s">
        <v>356</v>
      </c>
      <c r="BU55" s="7" t="s">
        <v>207</v>
      </c>
      <c r="BV55" s="7" t="s">
        <v>208</v>
      </c>
      <c r="BW55" s="7" t="s">
        <v>209</v>
      </c>
    </row>
    <row r="56" spans="1:75" s="7" customFormat="1" x14ac:dyDescent="0.35">
      <c r="A56" s="7" t="s">
        <v>439</v>
      </c>
      <c r="B56" s="8">
        <v>46008</v>
      </c>
      <c r="C56" s="9">
        <v>0.77980324074074081</v>
      </c>
      <c r="D56" s="7" t="s">
        <v>344</v>
      </c>
      <c r="E56" s="7" t="s">
        <v>345</v>
      </c>
      <c r="F56" s="11" t="s">
        <v>346</v>
      </c>
      <c r="G56" s="7">
        <f>COUNTIF($F$2:$F$278,F56)</f>
        <v>69</v>
      </c>
      <c r="H56" s="7" t="s">
        <v>347</v>
      </c>
      <c r="I56" s="7" t="s">
        <v>187</v>
      </c>
      <c r="J56" s="7" t="s">
        <v>83</v>
      </c>
      <c r="K56" s="7" t="s">
        <v>119</v>
      </c>
      <c r="L56" s="7">
        <v>50126</v>
      </c>
      <c r="M56" s="7" t="s">
        <v>85</v>
      </c>
      <c r="N56" s="7" t="s">
        <v>120</v>
      </c>
      <c r="O56" s="7" t="s">
        <v>87</v>
      </c>
      <c r="P56" s="7" t="s">
        <v>100</v>
      </c>
      <c r="Q56" s="7" t="s">
        <v>390</v>
      </c>
      <c r="R56" s="7" t="s">
        <v>391</v>
      </c>
      <c r="S56" s="7" t="s">
        <v>224</v>
      </c>
      <c r="T56" s="7" t="s">
        <v>225</v>
      </c>
      <c r="U56" s="7" t="s">
        <v>121</v>
      </c>
      <c r="V56" s="7" t="s">
        <v>94</v>
      </c>
      <c r="X56" s="7" t="s">
        <v>350</v>
      </c>
      <c r="Y56" s="7" t="s">
        <v>132</v>
      </c>
      <c r="Z56" s="7" t="s">
        <v>351</v>
      </c>
      <c r="AA56" s="7" t="b">
        <v>0</v>
      </c>
      <c r="AB56" s="7" t="b">
        <v>0</v>
      </c>
      <c r="AD56" s="7">
        <v>138</v>
      </c>
      <c r="AE56" s="7" t="s">
        <v>122</v>
      </c>
      <c r="AH56" s="7" t="s">
        <v>345</v>
      </c>
      <c r="AJ56" s="7" t="s">
        <v>100</v>
      </c>
      <c r="AK56" s="7" t="s">
        <v>440</v>
      </c>
      <c r="AL56" s="7" t="s">
        <v>100</v>
      </c>
      <c r="AM56" s="7" t="s">
        <v>100</v>
      </c>
      <c r="AN56" s="7" t="s">
        <v>124</v>
      </c>
      <c r="AP56" s="7" t="s">
        <v>436</v>
      </c>
      <c r="AQ56" s="7" t="s">
        <v>104</v>
      </c>
      <c r="AR56" s="7" t="s">
        <v>197</v>
      </c>
      <c r="AS56" s="7" t="s">
        <v>356</v>
      </c>
      <c r="AT56" s="7" t="s">
        <v>199</v>
      </c>
      <c r="AU56" s="7" t="s">
        <v>199</v>
      </c>
      <c r="AX56" s="7" t="s">
        <v>200</v>
      </c>
      <c r="AY56" s="7" t="s">
        <v>357</v>
      </c>
      <c r="AZ56" s="7" t="s">
        <v>104</v>
      </c>
      <c r="BA56" s="7" t="s">
        <v>197</v>
      </c>
      <c r="BB56" s="7" t="s">
        <v>356</v>
      </c>
      <c r="BC56" s="7" t="s">
        <v>199</v>
      </c>
      <c r="BD56" s="7" t="s">
        <v>199</v>
      </c>
      <c r="BF56" s="7" t="s">
        <v>203</v>
      </c>
      <c r="BG56" s="7">
        <v>20115</v>
      </c>
      <c r="BH56" s="7" t="s">
        <v>358</v>
      </c>
      <c r="BO56" s="7">
        <v>9</v>
      </c>
      <c r="BR56" s="7" t="s">
        <v>104</v>
      </c>
      <c r="BS56" s="7" t="s">
        <v>205</v>
      </c>
      <c r="BT56" s="7" t="s">
        <v>356</v>
      </c>
      <c r="BU56" s="7" t="s">
        <v>207</v>
      </c>
      <c r="BV56" s="7" t="s">
        <v>208</v>
      </c>
      <c r="BW56" s="7" t="s">
        <v>209</v>
      </c>
    </row>
    <row r="57" spans="1:75" s="7" customFormat="1" x14ac:dyDescent="0.35">
      <c r="A57" s="7" t="s">
        <v>441</v>
      </c>
      <c r="B57" s="8">
        <v>46008</v>
      </c>
      <c r="C57" s="9">
        <v>0.77972222222222232</v>
      </c>
      <c r="D57" s="7" t="s">
        <v>344</v>
      </c>
      <c r="E57" s="7" t="s">
        <v>345</v>
      </c>
      <c r="F57" s="11" t="s">
        <v>346</v>
      </c>
      <c r="G57" s="7">
        <f>COUNTIF($F$2:$F$278,F57)</f>
        <v>69</v>
      </c>
      <c r="H57" s="7" t="s">
        <v>347</v>
      </c>
      <c r="I57" s="7" t="s">
        <v>187</v>
      </c>
      <c r="J57" s="7" t="s">
        <v>83</v>
      </c>
      <c r="K57" s="7" t="s">
        <v>119</v>
      </c>
      <c r="L57" s="7">
        <v>50126</v>
      </c>
      <c r="M57" s="7" t="s">
        <v>85</v>
      </c>
      <c r="N57" s="7" t="s">
        <v>120</v>
      </c>
      <c r="O57" s="7" t="s">
        <v>87</v>
      </c>
      <c r="P57" s="7" t="s">
        <v>100</v>
      </c>
      <c r="Q57" s="7" t="s">
        <v>390</v>
      </c>
      <c r="R57" s="7" t="s">
        <v>391</v>
      </c>
      <c r="S57" s="7" t="s">
        <v>224</v>
      </c>
      <c r="T57" s="7" t="s">
        <v>225</v>
      </c>
      <c r="U57" s="7" t="s">
        <v>121</v>
      </c>
      <c r="V57" s="7" t="s">
        <v>94</v>
      </c>
      <c r="X57" s="7" t="s">
        <v>350</v>
      </c>
      <c r="Y57" s="7" t="s">
        <v>132</v>
      </c>
      <c r="Z57" s="7" t="s">
        <v>351</v>
      </c>
      <c r="AA57" s="7" t="b">
        <v>0</v>
      </c>
      <c r="AB57" s="7" t="b">
        <v>0</v>
      </c>
      <c r="AD57" s="7">
        <v>127</v>
      </c>
      <c r="AE57" s="7" t="s">
        <v>122</v>
      </c>
      <c r="AH57" s="7" t="s">
        <v>345</v>
      </c>
      <c r="AJ57" s="7" t="s">
        <v>100</v>
      </c>
      <c r="AK57" s="7" t="s">
        <v>442</v>
      </c>
      <c r="AL57" s="7" t="s">
        <v>100</v>
      </c>
      <c r="AM57" s="7" t="s">
        <v>100</v>
      </c>
      <c r="AN57" s="7" t="s">
        <v>124</v>
      </c>
      <c r="AP57" s="7" t="s">
        <v>436</v>
      </c>
      <c r="AQ57" s="7" t="s">
        <v>104</v>
      </c>
      <c r="AR57" s="7" t="s">
        <v>197</v>
      </c>
      <c r="AS57" s="7" t="s">
        <v>356</v>
      </c>
      <c r="AT57" s="7" t="s">
        <v>199</v>
      </c>
      <c r="AU57" s="7" t="s">
        <v>199</v>
      </c>
      <c r="AX57" s="7" t="s">
        <v>200</v>
      </c>
      <c r="AY57" s="7" t="s">
        <v>357</v>
      </c>
      <c r="AZ57" s="7" t="s">
        <v>104</v>
      </c>
      <c r="BA57" s="7" t="s">
        <v>197</v>
      </c>
      <c r="BB57" s="7" t="s">
        <v>356</v>
      </c>
      <c r="BC57" s="7" t="s">
        <v>199</v>
      </c>
      <c r="BD57" s="7" t="s">
        <v>199</v>
      </c>
      <c r="BF57" s="7" t="s">
        <v>203</v>
      </c>
      <c r="BG57" s="7">
        <v>20115</v>
      </c>
      <c r="BH57" s="7" t="s">
        <v>358</v>
      </c>
      <c r="BO57" s="7">
        <v>9</v>
      </c>
      <c r="BR57" s="7" t="s">
        <v>104</v>
      </c>
      <c r="BS57" s="7" t="s">
        <v>205</v>
      </c>
      <c r="BT57" s="7" t="s">
        <v>356</v>
      </c>
      <c r="BU57" s="7" t="s">
        <v>207</v>
      </c>
      <c r="BV57" s="7" t="s">
        <v>208</v>
      </c>
      <c r="BW57" s="7" t="s">
        <v>209</v>
      </c>
    </row>
    <row r="58" spans="1:75" s="7" customFormat="1" x14ac:dyDescent="0.35">
      <c r="A58" s="7" t="s">
        <v>443</v>
      </c>
      <c r="B58" s="8">
        <v>46008</v>
      </c>
      <c r="C58" s="9">
        <v>0.77898148148148139</v>
      </c>
      <c r="D58" s="7" t="s">
        <v>344</v>
      </c>
      <c r="E58" s="7" t="s">
        <v>345</v>
      </c>
      <c r="F58" s="11" t="s">
        <v>346</v>
      </c>
      <c r="G58" s="7">
        <f>COUNTIF($F$2:$F$278,F58)</f>
        <v>69</v>
      </c>
      <c r="H58" s="7" t="s">
        <v>347</v>
      </c>
      <c r="I58" s="7" t="s">
        <v>187</v>
      </c>
      <c r="J58" s="7" t="s">
        <v>83</v>
      </c>
      <c r="K58" s="7" t="s">
        <v>143</v>
      </c>
      <c r="L58" s="7">
        <v>50055</v>
      </c>
      <c r="M58" s="7" t="s">
        <v>85</v>
      </c>
      <c r="N58" s="7" t="s">
        <v>86</v>
      </c>
      <c r="O58" s="7" t="s">
        <v>84</v>
      </c>
      <c r="P58" s="7" t="s">
        <v>100</v>
      </c>
      <c r="Q58" s="7" t="s">
        <v>390</v>
      </c>
      <c r="R58" s="7" t="s">
        <v>391</v>
      </c>
      <c r="S58" s="7" t="s">
        <v>224</v>
      </c>
      <c r="T58" s="7" t="s">
        <v>225</v>
      </c>
      <c r="U58" s="7" t="s">
        <v>444</v>
      </c>
      <c r="V58" s="7" t="s">
        <v>94</v>
      </c>
      <c r="X58" s="7" t="s">
        <v>350</v>
      </c>
      <c r="Y58" s="7" t="s">
        <v>132</v>
      </c>
      <c r="Z58" s="7" t="s">
        <v>351</v>
      </c>
      <c r="AA58" s="7" t="b">
        <v>0</v>
      </c>
      <c r="AB58" s="7" t="b">
        <v>0</v>
      </c>
      <c r="AD58" s="7">
        <v>190</v>
      </c>
      <c r="AE58" s="7" t="s">
        <v>445</v>
      </c>
      <c r="AF58" s="7" t="s">
        <v>146</v>
      </c>
      <c r="AH58" s="7" t="s">
        <v>345</v>
      </c>
      <c r="AI58" s="7" t="s">
        <v>446</v>
      </c>
      <c r="AJ58" s="7" t="s">
        <v>100</v>
      </c>
      <c r="AK58" s="7" t="s">
        <v>447</v>
      </c>
      <c r="AL58" s="7" t="s">
        <v>100</v>
      </c>
      <c r="AM58" s="7" t="s">
        <v>100</v>
      </c>
      <c r="AN58" s="7" t="s">
        <v>124</v>
      </c>
      <c r="AO58" s="7">
        <v>1002</v>
      </c>
      <c r="AP58" s="7" t="s">
        <v>448</v>
      </c>
      <c r="AQ58" s="7" t="s">
        <v>104</v>
      </c>
      <c r="AR58" s="7" t="s">
        <v>197</v>
      </c>
      <c r="AS58" s="7" t="s">
        <v>356</v>
      </c>
      <c r="AT58" s="7" t="s">
        <v>199</v>
      </c>
      <c r="AU58" s="7" t="s">
        <v>199</v>
      </c>
      <c r="AX58" s="7" t="s">
        <v>200</v>
      </c>
      <c r="AY58" s="7" t="s">
        <v>357</v>
      </c>
      <c r="AZ58" s="7" t="s">
        <v>104</v>
      </c>
      <c r="BA58" s="7" t="s">
        <v>197</v>
      </c>
      <c r="BB58" s="7" t="s">
        <v>356</v>
      </c>
      <c r="BC58" s="7" t="s">
        <v>199</v>
      </c>
      <c r="BD58" s="7" t="s">
        <v>199</v>
      </c>
      <c r="BF58" s="7" t="s">
        <v>203</v>
      </c>
      <c r="BG58" s="7">
        <v>20115</v>
      </c>
      <c r="BH58" s="7" t="s">
        <v>358</v>
      </c>
      <c r="BO58" s="7">
        <v>9</v>
      </c>
      <c r="BR58" s="7" t="s">
        <v>104</v>
      </c>
      <c r="BS58" s="7" t="s">
        <v>205</v>
      </c>
      <c r="BT58" s="7" t="s">
        <v>356</v>
      </c>
      <c r="BU58" s="7" t="s">
        <v>207</v>
      </c>
      <c r="BV58" s="7" t="s">
        <v>208</v>
      </c>
      <c r="BW58" s="7" t="s">
        <v>209</v>
      </c>
    </row>
    <row r="59" spans="1:75" s="7" customFormat="1" x14ac:dyDescent="0.35">
      <c r="A59" s="7" t="s">
        <v>449</v>
      </c>
      <c r="B59" s="8">
        <v>46008</v>
      </c>
      <c r="C59" s="9">
        <v>0.77717592592592588</v>
      </c>
      <c r="D59" s="7" t="s">
        <v>344</v>
      </c>
      <c r="E59" s="7" t="s">
        <v>345</v>
      </c>
      <c r="F59" s="11" t="s">
        <v>346</v>
      </c>
      <c r="G59" s="7">
        <f>COUNTIF($F$2:$F$278,F59)</f>
        <v>69</v>
      </c>
      <c r="H59" s="7" t="s">
        <v>347</v>
      </c>
      <c r="I59" s="7" t="s">
        <v>187</v>
      </c>
      <c r="J59" s="7" t="s">
        <v>83</v>
      </c>
      <c r="K59" s="7" t="s">
        <v>143</v>
      </c>
      <c r="L59" s="7">
        <v>50055</v>
      </c>
      <c r="M59" s="7" t="s">
        <v>85</v>
      </c>
      <c r="N59" s="7" t="s">
        <v>86</v>
      </c>
      <c r="O59" s="7" t="s">
        <v>84</v>
      </c>
      <c r="P59" s="7" t="s">
        <v>100</v>
      </c>
      <c r="Q59" s="7" t="s">
        <v>390</v>
      </c>
      <c r="R59" s="7" t="s">
        <v>391</v>
      </c>
      <c r="S59" s="7" t="s">
        <v>224</v>
      </c>
      <c r="T59" s="7" t="s">
        <v>225</v>
      </c>
      <c r="U59" s="7" t="s">
        <v>444</v>
      </c>
      <c r="V59" s="7" t="s">
        <v>94</v>
      </c>
      <c r="X59" s="7" t="s">
        <v>350</v>
      </c>
      <c r="Y59" s="7" t="s">
        <v>132</v>
      </c>
      <c r="Z59" s="7" t="s">
        <v>351</v>
      </c>
      <c r="AA59" s="7" t="b">
        <v>0</v>
      </c>
      <c r="AB59" s="7" t="b">
        <v>0</v>
      </c>
      <c r="AD59" s="7">
        <v>66</v>
      </c>
      <c r="AE59" s="7" t="s">
        <v>445</v>
      </c>
      <c r="AF59" s="7" t="s">
        <v>146</v>
      </c>
      <c r="AH59" s="7" t="s">
        <v>345</v>
      </c>
      <c r="AI59" s="7" t="s">
        <v>450</v>
      </c>
      <c r="AJ59" s="7" t="s">
        <v>100</v>
      </c>
      <c r="AK59" s="7" t="s">
        <v>451</v>
      </c>
      <c r="AL59" s="7" t="s">
        <v>100</v>
      </c>
      <c r="AM59" s="7" t="s">
        <v>100</v>
      </c>
      <c r="AN59" s="7" t="s">
        <v>124</v>
      </c>
      <c r="AO59" s="7">
        <v>1002</v>
      </c>
      <c r="AP59" s="7" t="s">
        <v>452</v>
      </c>
      <c r="AQ59" s="7" t="s">
        <v>104</v>
      </c>
      <c r="AR59" s="7" t="s">
        <v>197</v>
      </c>
      <c r="AS59" s="7" t="s">
        <v>356</v>
      </c>
      <c r="AT59" s="7" t="s">
        <v>199</v>
      </c>
      <c r="AU59" s="7" t="s">
        <v>199</v>
      </c>
      <c r="AX59" s="7" t="s">
        <v>200</v>
      </c>
      <c r="AY59" s="7" t="s">
        <v>357</v>
      </c>
      <c r="AZ59" s="7" t="s">
        <v>104</v>
      </c>
      <c r="BA59" s="7" t="s">
        <v>197</v>
      </c>
      <c r="BB59" s="7" t="s">
        <v>356</v>
      </c>
      <c r="BC59" s="7" t="s">
        <v>199</v>
      </c>
      <c r="BD59" s="7" t="s">
        <v>199</v>
      </c>
      <c r="BF59" s="7" t="s">
        <v>203</v>
      </c>
      <c r="BG59" s="7">
        <v>20115</v>
      </c>
      <c r="BH59" s="7" t="s">
        <v>358</v>
      </c>
      <c r="BO59" s="7">
        <v>9</v>
      </c>
      <c r="BR59" s="7" t="s">
        <v>104</v>
      </c>
      <c r="BS59" s="7" t="s">
        <v>205</v>
      </c>
      <c r="BT59" s="7" t="s">
        <v>356</v>
      </c>
      <c r="BU59" s="7" t="s">
        <v>207</v>
      </c>
      <c r="BV59" s="7" t="s">
        <v>208</v>
      </c>
      <c r="BW59" s="7" t="s">
        <v>209</v>
      </c>
    </row>
    <row r="60" spans="1:75" s="3" customFormat="1" x14ac:dyDescent="0.35">
      <c r="A60" s="3" t="s">
        <v>453</v>
      </c>
      <c r="B60" s="4">
        <v>46008</v>
      </c>
      <c r="C60" s="5">
        <v>0.77563657407407405</v>
      </c>
      <c r="D60" s="3" t="s">
        <v>78</v>
      </c>
      <c r="E60" s="3" t="s">
        <v>79</v>
      </c>
      <c r="F60" s="3" t="s">
        <v>454</v>
      </c>
      <c r="G60" s="3">
        <f>COUNTIF($F$2:$F$278,F60)</f>
        <v>6</v>
      </c>
      <c r="H60" s="3" t="s">
        <v>397</v>
      </c>
      <c r="I60" s="3" t="s">
        <v>398</v>
      </c>
      <c r="J60" s="3" t="s">
        <v>83</v>
      </c>
      <c r="K60" s="3" t="s">
        <v>143</v>
      </c>
      <c r="L60" s="3">
        <v>50074</v>
      </c>
      <c r="M60" s="3" t="s">
        <v>85</v>
      </c>
      <c r="N60" s="3" t="s">
        <v>86</v>
      </c>
      <c r="O60" s="3" t="s">
        <v>119</v>
      </c>
      <c r="P60" s="3" t="s">
        <v>100</v>
      </c>
      <c r="Q60" s="3" t="s">
        <v>150</v>
      </c>
      <c r="R60" s="3" t="s">
        <v>151</v>
      </c>
      <c r="S60" s="3" t="s">
        <v>150</v>
      </c>
      <c r="T60" s="3" t="s">
        <v>151</v>
      </c>
      <c r="U60" s="3" t="s">
        <v>303</v>
      </c>
      <c r="V60" s="3" t="s">
        <v>22</v>
      </c>
      <c r="Z60" s="3" t="s">
        <v>399</v>
      </c>
      <c r="AA60" s="3" t="b">
        <v>0</v>
      </c>
      <c r="AB60" s="3" t="b">
        <v>0</v>
      </c>
      <c r="AD60" s="3">
        <v>201</v>
      </c>
      <c r="AE60" s="3" t="s">
        <v>305</v>
      </c>
      <c r="AF60" s="3" t="s">
        <v>215</v>
      </c>
      <c r="AH60" s="3" t="s">
        <v>79</v>
      </c>
      <c r="AI60" s="3" t="s">
        <v>455</v>
      </c>
      <c r="AJ60" s="3" t="s">
        <v>100</v>
      </c>
      <c r="AK60" s="3" t="s">
        <v>456</v>
      </c>
      <c r="AL60" s="3" t="s">
        <v>100</v>
      </c>
      <c r="AM60" s="3" t="s">
        <v>100</v>
      </c>
      <c r="AN60" s="3" t="s">
        <v>124</v>
      </c>
      <c r="AO60" s="3">
        <v>1002</v>
      </c>
      <c r="AP60" s="3" t="s">
        <v>457</v>
      </c>
      <c r="AQ60" s="3" t="s">
        <v>104</v>
      </c>
      <c r="AR60" s="3" t="s">
        <v>403</v>
      </c>
      <c r="AS60" s="3" t="s">
        <v>404</v>
      </c>
      <c r="AT60" s="3" t="s">
        <v>405</v>
      </c>
      <c r="AU60" s="3" t="s">
        <v>405</v>
      </c>
      <c r="AX60" s="3" t="s">
        <v>406</v>
      </c>
      <c r="AY60" s="3" t="s">
        <v>407</v>
      </c>
      <c r="AZ60" s="3" t="s">
        <v>104</v>
      </c>
      <c r="BA60" s="3" t="s">
        <v>403</v>
      </c>
      <c r="BB60" s="3" t="s">
        <v>404</v>
      </c>
      <c r="BC60" s="3" t="s">
        <v>408</v>
      </c>
      <c r="BD60" s="3" t="s">
        <v>408</v>
      </c>
      <c r="BE60" s="3" t="s">
        <v>409</v>
      </c>
      <c r="BF60" s="3" t="s">
        <v>410</v>
      </c>
      <c r="BG60" s="3">
        <v>215540</v>
      </c>
      <c r="BH60" s="3" t="s">
        <v>411</v>
      </c>
      <c r="BO60" s="3">
        <v>20</v>
      </c>
      <c r="BR60" s="3" t="s">
        <v>104</v>
      </c>
      <c r="BS60" s="3" t="s">
        <v>412</v>
      </c>
      <c r="BT60" s="3" t="s">
        <v>404</v>
      </c>
      <c r="BU60" s="3" t="s">
        <v>413</v>
      </c>
      <c r="BV60" s="6" t="s">
        <v>413</v>
      </c>
      <c r="BW60" s="3" t="s">
        <v>209</v>
      </c>
    </row>
    <row r="61" spans="1:75" x14ac:dyDescent="0.35">
      <c r="A61" t="s">
        <v>458</v>
      </c>
      <c r="B61" s="1">
        <v>46008</v>
      </c>
      <c r="C61" s="2">
        <v>0.7737384259259259</v>
      </c>
      <c r="D61" t="s">
        <v>459</v>
      </c>
      <c r="E61" t="s">
        <v>460</v>
      </c>
      <c r="F61" t="s">
        <v>461</v>
      </c>
      <c r="G61">
        <f>COUNTIF($F$2:$F$278,F61)</f>
        <v>3</v>
      </c>
      <c r="H61" t="s">
        <v>462</v>
      </c>
      <c r="I61" t="s">
        <v>463</v>
      </c>
      <c r="J61" t="s">
        <v>83</v>
      </c>
      <c r="K61" t="s">
        <v>84</v>
      </c>
      <c r="M61" t="s">
        <v>85</v>
      </c>
      <c r="N61" t="s">
        <v>120</v>
      </c>
      <c r="O61" t="s">
        <v>87</v>
      </c>
      <c r="P61" t="s">
        <v>88</v>
      </c>
      <c r="Q61" t="s">
        <v>169</v>
      </c>
      <c r="R61" t="s">
        <v>170</v>
      </c>
      <c r="T61" t="s">
        <v>171</v>
      </c>
      <c r="U61" t="s">
        <v>93</v>
      </c>
      <c r="V61" t="s">
        <v>94</v>
      </c>
      <c r="X61" t="s">
        <v>367</v>
      </c>
      <c r="Y61" t="s">
        <v>464</v>
      </c>
      <c r="Z61" t="s">
        <v>369</v>
      </c>
      <c r="AA61" t="b">
        <v>0</v>
      </c>
      <c r="AB61" t="b">
        <v>0</v>
      </c>
      <c r="AD61">
        <v>109</v>
      </c>
      <c r="AE61" t="s">
        <v>153</v>
      </c>
      <c r="AI61" t="s">
        <v>465</v>
      </c>
      <c r="AJ61" t="s">
        <v>100</v>
      </c>
      <c r="AK61" t="s">
        <v>466</v>
      </c>
      <c r="AL61" t="s">
        <v>100</v>
      </c>
      <c r="AM61" t="s">
        <v>100</v>
      </c>
      <c r="AN61" t="s">
        <v>124</v>
      </c>
      <c r="AO61">
        <v>1002</v>
      </c>
      <c r="AP61" t="s">
        <v>467</v>
      </c>
      <c r="AQ61" t="s">
        <v>104</v>
      </c>
      <c r="AR61" t="s">
        <v>197</v>
      </c>
      <c r="AT61" t="s">
        <v>373</v>
      </c>
      <c r="AU61" t="s">
        <v>373</v>
      </c>
      <c r="AX61" t="s">
        <v>374</v>
      </c>
      <c r="AY61" t="s">
        <v>375</v>
      </c>
      <c r="AZ61" t="s">
        <v>104</v>
      </c>
      <c r="BA61" t="s">
        <v>376</v>
      </c>
      <c r="BB61" t="s">
        <v>377</v>
      </c>
      <c r="BC61" t="s">
        <v>378</v>
      </c>
      <c r="BD61" t="s">
        <v>378</v>
      </c>
      <c r="BE61" t="s">
        <v>379</v>
      </c>
      <c r="BF61" t="s">
        <v>380</v>
      </c>
      <c r="BG61">
        <v>6614</v>
      </c>
      <c r="BH61" t="s">
        <v>468</v>
      </c>
      <c r="BO61">
        <v>8</v>
      </c>
      <c r="BR61" t="s">
        <v>104</v>
      </c>
      <c r="BS61" t="s">
        <v>469</v>
      </c>
      <c r="BT61" t="s">
        <v>470</v>
      </c>
      <c r="BU61" t="s">
        <v>378</v>
      </c>
      <c r="BV61" t="s">
        <v>378</v>
      </c>
      <c r="BW61" t="s">
        <v>384</v>
      </c>
    </row>
    <row r="62" spans="1:75" x14ac:dyDescent="0.35">
      <c r="A62" t="s">
        <v>458</v>
      </c>
      <c r="B62" s="1">
        <v>46008</v>
      </c>
      <c r="C62" s="2">
        <v>0.7737384259259259</v>
      </c>
      <c r="D62" t="s">
        <v>459</v>
      </c>
      <c r="E62" t="s">
        <v>460</v>
      </c>
      <c r="F62" t="s">
        <v>461</v>
      </c>
      <c r="G62">
        <f>COUNTIF($F$2:$F$278,F62)</f>
        <v>3</v>
      </c>
      <c r="H62" t="s">
        <v>462</v>
      </c>
      <c r="I62" t="s">
        <v>463</v>
      </c>
      <c r="J62" t="s">
        <v>83</v>
      </c>
      <c r="K62" t="s">
        <v>84</v>
      </c>
      <c r="M62" t="s">
        <v>85</v>
      </c>
      <c r="N62" t="s">
        <v>86</v>
      </c>
      <c r="O62" t="s">
        <v>84</v>
      </c>
      <c r="P62" t="s">
        <v>100</v>
      </c>
      <c r="Q62" t="s">
        <v>386</v>
      </c>
      <c r="R62" t="s">
        <v>387</v>
      </c>
      <c r="S62" t="s">
        <v>224</v>
      </c>
      <c r="T62" t="s">
        <v>225</v>
      </c>
      <c r="U62" t="s">
        <v>93</v>
      </c>
      <c r="V62" t="s">
        <v>94</v>
      </c>
      <c r="X62" t="s">
        <v>367</v>
      </c>
      <c r="Y62" t="s">
        <v>471</v>
      </c>
      <c r="Z62" t="s">
        <v>369</v>
      </c>
      <c r="AA62" t="b">
        <v>0</v>
      </c>
      <c r="AB62" t="b">
        <v>0</v>
      </c>
      <c r="AD62">
        <v>71</v>
      </c>
      <c r="AE62" t="s">
        <v>352</v>
      </c>
      <c r="AF62" t="s">
        <v>146</v>
      </c>
      <c r="AH62" t="s">
        <v>460</v>
      </c>
      <c r="AI62" t="s">
        <v>465</v>
      </c>
      <c r="AJ62" t="s">
        <v>100</v>
      </c>
      <c r="AK62" t="s">
        <v>472</v>
      </c>
      <c r="AL62" t="s">
        <v>100</v>
      </c>
      <c r="AM62" t="s">
        <v>100</v>
      </c>
      <c r="AN62" t="s">
        <v>124</v>
      </c>
      <c r="AO62">
        <v>1002</v>
      </c>
      <c r="AP62" t="s">
        <v>467</v>
      </c>
      <c r="AQ62" t="s">
        <v>104</v>
      </c>
      <c r="AR62" t="s">
        <v>197</v>
      </c>
      <c r="AT62" t="s">
        <v>373</v>
      </c>
      <c r="AU62" t="s">
        <v>373</v>
      </c>
      <c r="AX62" t="s">
        <v>374</v>
      </c>
      <c r="AY62" t="s">
        <v>375</v>
      </c>
      <c r="AZ62" t="s">
        <v>104</v>
      </c>
      <c r="BA62" t="s">
        <v>376</v>
      </c>
      <c r="BB62" t="s">
        <v>377</v>
      </c>
      <c r="BC62" t="s">
        <v>378</v>
      </c>
      <c r="BD62" t="s">
        <v>378</v>
      </c>
      <c r="BE62" t="s">
        <v>379</v>
      </c>
      <c r="BF62" t="s">
        <v>380</v>
      </c>
      <c r="BG62">
        <v>6614</v>
      </c>
      <c r="BH62" t="s">
        <v>468</v>
      </c>
      <c r="BO62">
        <v>8</v>
      </c>
      <c r="BR62" t="s">
        <v>104</v>
      </c>
      <c r="BS62" t="s">
        <v>469</v>
      </c>
      <c r="BT62" t="s">
        <v>470</v>
      </c>
      <c r="BU62" t="s">
        <v>378</v>
      </c>
      <c r="BV62" t="s">
        <v>378</v>
      </c>
      <c r="BW62" t="s">
        <v>384</v>
      </c>
    </row>
    <row r="63" spans="1:75" s="7" customFormat="1" x14ac:dyDescent="0.35">
      <c r="A63" s="7" t="s">
        <v>473</v>
      </c>
      <c r="B63" s="8">
        <v>46008</v>
      </c>
      <c r="C63" s="9">
        <v>0.77371527777777782</v>
      </c>
      <c r="D63" s="7" t="s">
        <v>78</v>
      </c>
      <c r="E63" s="7" t="s">
        <v>79</v>
      </c>
      <c r="F63" s="7" t="s">
        <v>128</v>
      </c>
      <c r="G63" s="7">
        <f>COUNTIF($F$2:$F$278,F63)</f>
        <v>26</v>
      </c>
      <c r="H63" s="7" t="s">
        <v>81</v>
      </c>
      <c r="I63" s="7" t="s">
        <v>82</v>
      </c>
      <c r="J63" s="7" t="s">
        <v>83</v>
      </c>
      <c r="K63" s="7" t="s">
        <v>84</v>
      </c>
      <c r="M63" s="7" t="s">
        <v>85</v>
      </c>
      <c r="N63" s="7" t="s">
        <v>86</v>
      </c>
      <c r="O63" s="7" t="s">
        <v>84</v>
      </c>
      <c r="P63" s="7" t="s">
        <v>88</v>
      </c>
      <c r="Q63" s="7" t="s">
        <v>417</v>
      </c>
      <c r="R63" s="7" t="s">
        <v>418</v>
      </c>
      <c r="S63" s="7" t="s">
        <v>224</v>
      </c>
      <c r="T63" s="7" t="s">
        <v>225</v>
      </c>
      <c r="U63" s="7" t="s">
        <v>93</v>
      </c>
      <c r="V63" s="7" t="s">
        <v>22</v>
      </c>
      <c r="W63" s="7" t="s">
        <v>95</v>
      </c>
      <c r="X63" s="7" t="s">
        <v>131</v>
      </c>
      <c r="Y63" s="7" t="s">
        <v>132</v>
      </c>
      <c r="Z63" s="7" t="s">
        <v>419</v>
      </c>
      <c r="AA63" s="7" t="b">
        <v>0</v>
      </c>
      <c r="AB63" s="7" t="b">
        <v>0</v>
      </c>
      <c r="AC63" s="11" t="s">
        <v>1331</v>
      </c>
      <c r="AD63" s="7">
        <v>148</v>
      </c>
      <c r="AE63" s="7" t="s">
        <v>153</v>
      </c>
      <c r="AI63" s="7" t="s">
        <v>99</v>
      </c>
      <c r="AJ63" s="7" t="s">
        <v>100</v>
      </c>
      <c r="AK63" s="7" t="s">
        <v>474</v>
      </c>
      <c r="AL63" s="7" t="s">
        <v>100</v>
      </c>
      <c r="AM63" s="7" t="s">
        <v>100</v>
      </c>
      <c r="AN63" s="7" t="s">
        <v>102</v>
      </c>
      <c r="AP63" s="7" t="s">
        <v>475</v>
      </c>
      <c r="AQ63" s="7" t="s">
        <v>104</v>
      </c>
      <c r="AR63" s="7" t="s">
        <v>105</v>
      </c>
      <c r="AS63" s="7" t="s">
        <v>137</v>
      </c>
      <c r="AT63" s="7" t="s">
        <v>107</v>
      </c>
      <c r="AU63" s="7" t="s">
        <v>107</v>
      </c>
      <c r="AX63" s="7" t="s">
        <v>108</v>
      </c>
      <c r="AY63" s="7" t="s">
        <v>138</v>
      </c>
      <c r="AZ63" s="7" t="s">
        <v>104</v>
      </c>
      <c r="BA63" s="7" t="s">
        <v>105</v>
      </c>
      <c r="BB63" s="7" t="s">
        <v>139</v>
      </c>
      <c r="BC63" s="7" t="s">
        <v>110</v>
      </c>
      <c r="BD63" s="7" t="s">
        <v>110</v>
      </c>
      <c r="BF63" s="7" t="s">
        <v>112</v>
      </c>
      <c r="BG63" s="7">
        <v>7922</v>
      </c>
      <c r="BH63" s="7" t="s">
        <v>140</v>
      </c>
      <c r="BO63" s="7">
        <v>5</v>
      </c>
      <c r="BR63" s="7" t="s">
        <v>104</v>
      </c>
      <c r="BS63" s="7" t="s">
        <v>141</v>
      </c>
      <c r="BT63" s="7" t="s">
        <v>106</v>
      </c>
      <c r="BU63" s="7" t="s">
        <v>110</v>
      </c>
      <c r="BV63" s="7" t="s">
        <v>110</v>
      </c>
      <c r="BW63" s="7" t="s">
        <v>117</v>
      </c>
    </row>
    <row r="64" spans="1:75" s="3" customFormat="1" x14ac:dyDescent="0.35">
      <c r="A64" s="3" t="s">
        <v>476</v>
      </c>
      <c r="B64" s="4">
        <v>46008</v>
      </c>
      <c r="C64" s="5">
        <v>0.77355324074074072</v>
      </c>
      <c r="D64" s="3" t="s">
        <v>78</v>
      </c>
      <c r="E64" s="3" t="s">
        <v>79</v>
      </c>
      <c r="F64" s="3" t="s">
        <v>454</v>
      </c>
      <c r="G64" s="3">
        <f>COUNTIF($F$2:$F$278,F64)</f>
        <v>6</v>
      </c>
      <c r="H64" s="3" t="s">
        <v>397</v>
      </c>
      <c r="I64" s="3" t="s">
        <v>398</v>
      </c>
      <c r="J64" s="3" t="s">
        <v>83</v>
      </c>
      <c r="K64" s="3" t="s">
        <v>84</v>
      </c>
      <c r="M64" s="3" t="s">
        <v>85</v>
      </c>
      <c r="N64" s="3" t="s">
        <v>86</v>
      </c>
      <c r="O64" s="3" t="s">
        <v>84</v>
      </c>
      <c r="P64" s="3" t="s">
        <v>100</v>
      </c>
      <c r="Q64" s="3" t="s">
        <v>150</v>
      </c>
      <c r="R64" s="3" t="s">
        <v>151</v>
      </c>
      <c r="S64" s="3" t="s">
        <v>150</v>
      </c>
      <c r="T64" s="3" t="s">
        <v>151</v>
      </c>
      <c r="U64" s="3" t="s">
        <v>93</v>
      </c>
      <c r="V64" s="3" t="s">
        <v>22</v>
      </c>
      <c r="Z64" s="3" t="s">
        <v>399</v>
      </c>
      <c r="AA64" s="3" t="b">
        <v>0</v>
      </c>
      <c r="AB64" s="3" t="b">
        <v>0</v>
      </c>
      <c r="AD64" s="3">
        <v>83</v>
      </c>
      <c r="AE64" s="3" t="s">
        <v>153</v>
      </c>
      <c r="AI64" s="3" t="s">
        <v>477</v>
      </c>
      <c r="AJ64" s="3" t="s">
        <v>100</v>
      </c>
      <c r="AK64" s="3" t="s">
        <v>478</v>
      </c>
      <c r="AL64" s="3" t="s">
        <v>100</v>
      </c>
      <c r="AM64" s="3" t="s">
        <v>100</v>
      </c>
      <c r="AN64" s="3" t="s">
        <v>124</v>
      </c>
      <c r="AO64" s="3">
        <v>1002</v>
      </c>
      <c r="AP64" s="3" t="s">
        <v>479</v>
      </c>
      <c r="AQ64" s="3" t="s">
        <v>104</v>
      </c>
      <c r="AR64" s="3" t="s">
        <v>403</v>
      </c>
      <c r="AS64" s="3" t="s">
        <v>404</v>
      </c>
      <c r="AT64" s="3" t="s">
        <v>405</v>
      </c>
      <c r="AU64" s="3" t="s">
        <v>405</v>
      </c>
      <c r="AX64" s="3" t="s">
        <v>406</v>
      </c>
      <c r="AY64" s="3" t="s">
        <v>407</v>
      </c>
      <c r="AZ64" s="3" t="s">
        <v>104</v>
      </c>
      <c r="BA64" s="3" t="s">
        <v>403</v>
      </c>
      <c r="BB64" s="3" t="s">
        <v>404</v>
      </c>
      <c r="BC64" s="3" t="s">
        <v>408</v>
      </c>
      <c r="BD64" s="3" t="s">
        <v>408</v>
      </c>
      <c r="BE64" s="3" t="s">
        <v>409</v>
      </c>
      <c r="BF64" s="3" t="s">
        <v>410</v>
      </c>
      <c r="BG64" s="3">
        <v>215540</v>
      </c>
      <c r="BH64" s="3" t="s">
        <v>411</v>
      </c>
      <c r="BO64" s="3">
        <v>20</v>
      </c>
      <c r="BR64" s="3" t="s">
        <v>104</v>
      </c>
      <c r="BS64" s="3" t="s">
        <v>412</v>
      </c>
      <c r="BT64" s="3" t="s">
        <v>404</v>
      </c>
      <c r="BU64" s="3" t="s">
        <v>413</v>
      </c>
      <c r="BV64" s="6" t="s">
        <v>413</v>
      </c>
      <c r="BW64" s="3" t="s">
        <v>209</v>
      </c>
    </row>
    <row r="65" spans="1:75" s="3" customFormat="1" x14ac:dyDescent="0.35">
      <c r="A65" s="3" t="s">
        <v>476</v>
      </c>
      <c r="B65" s="4">
        <v>46008</v>
      </c>
      <c r="C65" s="5">
        <v>0.77355324074074072</v>
      </c>
      <c r="D65" s="3" t="s">
        <v>78</v>
      </c>
      <c r="E65" s="3" t="s">
        <v>79</v>
      </c>
      <c r="F65" s="3" t="s">
        <v>454</v>
      </c>
      <c r="G65" s="3">
        <f>COUNTIF($F$2:$F$278,F65)</f>
        <v>6</v>
      </c>
      <c r="H65" s="3" t="s">
        <v>397</v>
      </c>
      <c r="I65" s="3" t="s">
        <v>398</v>
      </c>
      <c r="J65" s="3" t="s">
        <v>83</v>
      </c>
      <c r="K65" s="3" t="s">
        <v>143</v>
      </c>
      <c r="L65" s="3">
        <v>50140</v>
      </c>
      <c r="M65" s="3" t="s">
        <v>85</v>
      </c>
      <c r="N65" s="3" t="s">
        <v>86</v>
      </c>
      <c r="O65" s="3" t="s">
        <v>84</v>
      </c>
      <c r="P65" s="3" t="s">
        <v>100</v>
      </c>
      <c r="Q65" s="3" t="s">
        <v>150</v>
      </c>
      <c r="R65" s="3" t="s">
        <v>151</v>
      </c>
      <c r="S65" s="3" t="s">
        <v>150</v>
      </c>
      <c r="T65" s="3" t="s">
        <v>151</v>
      </c>
      <c r="U65" s="3" t="s">
        <v>144</v>
      </c>
      <c r="V65" s="3" t="s">
        <v>22</v>
      </c>
      <c r="Z65" s="3" t="s">
        <v>399</v>
      </c>
      <c r="AA65" s="3" t="b">
        <v>0</v>
      </c>
      <c r="AB65" s="3" t="b">
        <v>0</v>
      </c>
      <c r="AD65" s="3">
        <v>112</v>
      </c>
      <c r="AE65" s="3" t="s">
        <v>145</v>
      </c>
      <c r="AF65" s="3" t="s">
        <v>146</v>
      </c>
      <c r="AG65" s="3" t="s">
        <v>414</v>
      </c>
      <c r="AI65" s="3" t="s">
        <v>477</v>
      </c>
      <c r="AJ65" s="3" t="s">
        <v>100</v>
      </c>
      <c r="AK65" s="3" t="s">
        <v>480</v>
      </c>
      <c r="AL65" s="3" t="s">
        <v>100</v>
      </c>
      <c r="AM65" s="3" t="s">
        <v>100</v>
      </c>
      <c r="AN65" s="3" t="s">
        <v>124</v>
      </c>
      <c r="AO65" s="3">
        <v>1002</v>
      </c>
      <c r="AP65" s="3" t="s">
        <v>479</v>
      </c>
      <c r="AQ65" s="3" t="s">
        <v>104</v>
      </c>
      <c r="AR65" s="3" t="s">
        <v>403</v>
      </c>
      <c r="AS65" s="3" t="s">
        <v>404</v>
      </c>
      <c r="AT65" s="3" t="s">
        <v>405</v>
      </c>
      <c r="AU65" s="3" t="s">
        <v>405</v>
      </c>
      <c r="AX65" s="3" t="s">
        <v>406</v>
      </c>
      <c r="AY65" s="3" t="s">
        <v>407</v>
      </c>
      <c r="AZ65" s="3" t="s">
        <v>104</v>
      </c>
      <c r="BA65" s="3" t="s">
        <v>403</v>
      </c>
      <c r="BB65" s="3" t="s">
        <v>404</v>
      </c>
      <c r="BC65" s="3" t="s">
        <v>408</v>
      </c>
      <c r="BD65" s="3" t="s">
        <v>408</v>
      </c>
      <c r="BE65" s="3" t="s">
        <v>409</v>
      </c>
      <c r="BF65" s="3" t="s">
        <v>410</v>
      </c>
      <c r="BG65" s="3">
        <v>215540</v>
      </c>
      <c r="BH65" s="3" t="s">
        <v>411</v>
      </c>
      <c r="BO65" s="3">
        <v>20</v>
      </c>
      <c r="BR65" s="3" t="s">
        <v>104</v>
      </c>
      <c r="BS65" s="3" t="s">
        <v>412</v>
      </c>
      <c r="BT65" s="3" t="s">
        <v>404</v>
      </c>
      <c r="BU65" s="3" t="s">
        <v>413</v>
      </c>
      <c r="BV65" s="6" t="s">
        <v>413</v>
      </c>
      <c r="BW65" s="3" t="s">
        <v>209</v>
      </c>
    </row>
    <row r="66" spans="1:75" x14ac:dyDescent="0.35">
      <c r="A66" t="s">
        <v>481</v>
      </c>
      <c r="B66" s="1">
        <v>46008</v>
      </c>
      <c r="C66" s="2">
        <v>0.77354166666666668</v>
      </c>
      <c r="D66" t="s">
        <v>459</v>
      </c>
      <c r="E66" t="s">
        <v>460</v>
      </c>
      <c r="F66" t="s">
        <v>461</v>
      </c>
      <c r="G66">
        <f>COUNTIF($F$2:$F$278,F66)</f>
        <v>3</v>
      </c>
      <c r="H66" t="s">
        <v>462</v>
      </c>
      <c r="I66" t="s">
        <v>463</v>
      </c>
      <c r="J66" t="s">
        <v>83</v>
      </c>
      <c r="K66" t="s">
        <v>84</v>
      </c>
      <c r="M66" t="s">
        <v>85</v>
      </c>
      <c r="N66" t="s">
        <v>120</v>
      </c>
      <c r="O66" t="s">
        <v>87</v>
      </c>
      <c r="P66" t="s">
        <v>100</v>
      </c>
      <c r="Q66" t="s">
        <v>169</v>
      </c>
      <c r="R66" t="s">
        <v>170</v>
      </c>
      <c r="T66" t="s">
        <v>171</v>
      </c>
      <c r="U66" t="s">
        <v>93</v>
      </c>
      <c r="V66" t="s">
        <v>94</v>
      </c>
      <c r="X66" t="s">
        <v>367</v>
      </c>
      <c r="Y66" t="s">
        <v>482</v>
      </c>
      <c r="Z66" t="s">
        <v>369</v>
      </c>
      <c r="AA66" t="b">
        <v>0</v>
      </c>
      <c r="AB66" t="b">
        <v>0</v>
      </c>
      <c r="AD66">
        <v>95</v>
      </c>
      <c r="AH66" t="s">
        <v>460</v>
      </c>
      <c r="AI66" t="s">
        <v>465</v>
      </c>
      <c r="AJ66" t="s">
        <v>100</v>
      </c>
      <c r="AK66" t="s">
        <v>483</v>
      </c>
      <c r="AL66" t="s">
        <v>100</v>
      </c>
      <c r="AM66" t="s">
        <v>100</v>
      </c>
      <c r="AN66" t="s">
        <v>124</v>
      </c>
      <c r="AO66">
        <v>1002</v>
      </c>
      <c r="AP66" t="s">
        <v>467</v>
      </c>
      <c r="AQ66" t="s">
        <v>104</v>
      </c>
      <c r="AR66" t="s">
        <v>197</v>
      </c>
      <c r="AT66" t="s">
        <v>373</v>
      </c>
      <c r="AU66" t="s">
        <v>373</v>
      </c>
      <c r="AX66" t="s">
        <v>374</v>
      </c>
      <c r="AY66" t="s">
        <v>375</v>
      </c>
      <c r="AZ66" t="s">
        <v>104</v>
      </c>
      <c r="BA66" t="s">
        <v>376</v>
      </c>
      <c r="BB66" t="s">
        <v>377</v>
      </c>
      <c r="BC66" t="s">
        <v>378</v>
      </c>
      <c r="BD66" t="s">
        <v>378</v>
      </c>
      <c r="BE66" t="s">
        <v>379</v>
      </c>
      <c r="BF66" t="s">
        <v>380</v>
      </c>
      <c r="BG66">
        <v>6614</v>
      </c>
      <c r="BH66" t="s">
        <v>468</v>
      </c>
      <c r="BO66">
        <v>8</v>
      </c>
      <c r="BR66" t="s">
        <v>104</v>
      </c>
      <c r="BS66" t="s">
        <v>469</v>
      </c>
      <c r="BT66" t="s">
        <v>470</v>
      </c>
      <c r="BU66" t="s">
        <v>378</v>
      </c>
      <c r="BV66" t="s">
        <v>378</v>
      </c>
      <c r="BW66" t="s">
        <v>384</v>
      </c>
    </row>
    <row r="67" spans="1:75" x14ac:dyDescent="0.35">
      <c r="A67" t="s">
        <v>484</v>
      </c>
      <c r="B67" s="1">
        <v>46008</v>
      </c>
      <c r="C67" s="2">
        <v>0.77075231481481488</v>
      </c>
      <c r="D67" t="s">
        <v>183</v>
      </c>
      <c r="E67" t="s">
        <v>184</v>
      </c>
      <c r="F67" t="s">
        <v>485</v>
      </c>
      <c r="G67">
        <f>COUNTIF($F$2:$F$278,F67)</f>
        <v>2</v>
      </c>
      <c r="H67" t="s">
        <v>486</v>
      </c>
      <c r="I67" t="s">
        <v>487</v>
      </c>
      <c r="J67" t="s">
        <v>83</v>
      </c>
      <c r="K67" t="s">
        <v>84</v>
      </c>
      <c r="M67" t="s">
        <v>85</v>
      </c>
      <c r="N67" t="s">
        <v>86</v>
      </c>
      <c r="O67" t="s">
        <v>84</v>
      </c>
      <c r="P67" t="s">
        <v>100</v>
      </c>
      <c r="Q67" t="s">
        <v>188</v>
      </c>
      <c r="R67" t="s">
        <v>189</v>
      </c>
      <c r="S67" t="s">
        <v>190</v>
      </c>
      <c r="T67" t="s">
        <v>191</v>
      </c>
      <c r="U67" t="s">
        <v>93</v>
      </c>
      <c r="V67" t="s">
        <v>22</v>
      </c>
      <c r="X67" t="s">
        <v>192</v>
      </c>
      <c r="Y67" t="s">
        <v>132</v>
      </c>
      <c r="Z67" t="s">
        <v>193</v>
      </c>
      <c r="AA67" t="b">
        <v>0</v>
      </c>
      <c r="AB67" t="b">
        <v>0</v>
      </c>
      <c r="AD67">
        <v>79</v>
      </c>
      <c r="AE67" t="s">
        <v>153</v>
      </c>
      <c r="AI67" t="s">
        <v>488</v>
      </c>
      <c r="AJ67" t="s">
        <v>100</v>
      </c>
      <c r="AK67" t="s">
        <v>489</v>
      </c>
      <c r="AL67" t="s">
        <v>100</v>
      </c>
      <c r="AM67" t="s">
        <v>100</v>
      </c>
      <c r="AN67" t="s">
        <v>124</v>
      </c>
      <c r="AO67">
        <v>1002</v>
      </c>
      <c r="AP67" t="s">
        <v>490</v>
      </c>
      <c r="AQ67" t="s">
        <v>104</v>
      </c>
      <c r="AR67" t="s">
        <v>491</v>
      </c>
      <c r="AS67" t="s">
        <v>492</v>
      </c>
      <c r="AT67" t="s">
        <v>493</v>
      </c>
      <c r="AU67" t="s">
        <v>493</v>
      </c>
      <c r="AX67" t="s">
        <v>494</v>
      </c>
      <c r="AY67" t="s">
        <v>495</v>
      </c>
      <c r="AZ67" t="s">
        <v>104</v>
      </c>
      <c r="BA67" t="s">
        <v>491</v>
      </c>
      <c r="BB67" t="s">
        <v>492</v>
      </c>
      <c r="BC67" t="s">
        <v>493</v>
      </c>
      <c r="BD67" t="s">
        <v>493</v>
      </c>
      <c r="BE67" t="s">
        <v>409</v>
      </c>
      <c r="BF67" t="s">
        <v>496</v>
      </c>
      <c r="BG67">
        <v>8075</v>
      </c>
      <c r="BH67" t="s">
        <v>497</v>
      </c>
      <c r="BO67">
        <v>0</v>
      </c>
      <c r="BR67" t="s">
        <v>104</v>
      </c>
      <c r="BS67" t="s">
        <v>498</v>
      </c>
      <c r="BT67" t="s">
        <v>492</v>
      </c>
      <c r="BU67" t="s">
        <v>493</v>
      </c>
      <c r="BV67" t="s">
        <v>493</v>
      </c>
      <c r="BW67" t="s">
        <v>499</v>
      </c>
    </row>
    <row r="68" spans="1:75" x14ac:dyDescent="0.35">
      <c r="A68" t="s">
        <v>500</v>
      </c>
      <c r="B68" s="1">
        <v>46008</v>
      </c>
      <c r="C68" s="2">
        <v>0.77050925925925917</v>
      </c>
      <c r="D68" t="s">
        <v>183</v>
      </c>
      <c r="E68" t="s">
        <v>184</v>
      </c>
      <c r="F68" t="s">
        <v>485</v>
      </c>
      <c r="G68">
        <f>COUNTIF($F$2:$F$278,F68)</f>
        <v>2</v>
      </c>
      <c r="H68" t="s">
        <v>486</v>
      </c>
      <c r="I68" t="s">
        <v>487</v>
      </c>
      <c r="J68" t="s">
        <v>83</v>
      </c>
      <c r="K68" t="s">
        <v>84</v>
      </c>
      <c r="M68" t="s">
        <v>85</v>
      </c>
      <c r="N68" t="s">
        <v>86</v>
      </c>
      <c r="O68" t="s">
        <v>84</v>
      </c>
      <c r="P68" t="s">
        <v>100</v>
      </c>
      <c r="Q68" t="s">
        <v>188</v>
      </c>
      <c r="R68" t="s">
        <v>189</v>
      </c>
      <c r="S68" t="s">
        <v>190</v>
      </c>
      <c r="T68" t="s">
        <v>191</v>
      </c>
      <c r="U68" t="s">
        <v>93</v>
      </c>
      <c r="V68" t="s">
        <v>22</v>
      </c>
      <c r="X68" t="s">
        <v>192</v>
      </c>
      <c r="Y68" t="s">
        <v>132</v>
      </c>
      <c r="Z68" t="s">
        <v>193</v>
      </c>
      <c r="AA68" t="b">
        <v>0</v>
      </c>
      <c r="AB68" t="b">
        <v>0</v>
      </c>
      <c r="AD68">
        <v>87</v>
      </c>
      <c r="AE68" t="s">
        <v>352</v>
      </c>
      <c r="AF68" t="s">
        <v>215</v>
      </c>
      <c r="AG68" t="s">
        <v>216</v>
      </c>
      <c r="AH68" t="s">
        <v>184</v>
      </c>
      <c r="AI68" t="s">
        <v>488</v>
      </c>
      <c r="AJ68" t="s">
        <v>100</v>
      </c>
      <c r="AK68" t="s">
        <v>501</v>
      </c>
      <c r="AL68" t="s">
        <v>100</v>
      </c>
      <c r="AM68" t="s">
        <v>100</v>
      </c>
      <c r="AN68" t="s">
        <v>124</v>
      </c>
      <c r="AO68">
        <v>1002</v>
      </c>
      <c r="AP68" t="s">
        <v>490</v>
      </c>
      <c r="AQ68" t="s">
        <v>104</v>
      </c>
      <c r="AR68" t="s">
        <v>491</v>
      </c>
      <c r="AS68" t="s">
        <v>492</v>
      </c>
      <c r="AT68" t="s">
        <v>493</v>
      </c>
      <c r="AU68" t="s">
        <v>493</v>
      </c>
      <c r="AX68" t="s">
        <v>494</v>
      </c>
      <c r="AY68" t="s">
        <v>495</v>
      </c>
      <c r="AZ68" t="s">
        <v>104</v>
      </c>
      <c r="BA68" t="s">
        <v>491</v>
      </c>
      <c r="BB68" t="s">
        <v>492</v>
      </c>
      <c r="BC68" t="s">
        <v>493</v>
      </c>
      <c r="BD68" t="s">
        <v>493</v>
      </c>
      <c r="BE68" t="s">
        <v>409</v>
      </c>
      <c r="BF68" t="s">
        <v>496</v>
      </c>
      <c r="BG68">
        <v>8075</v>
      </c>
      <c r="BH68" t="s">
        <v>497</v>
      </c>
      <c r="BO68">
        <v>0</v>
      </c>
      <c r="BR68" t="s">
        <v>104</v>
      </c>
      <c r="BS68" t="s">
        <v>498</v>
      </c>
      <c r="BT68" t="s">
        <v>492</v>
      </c>
      <c r="BU68" t="s">
        <v>493</v>
      </c>
      <c r="BV68" t="s">
        <v>493</v>
      </c>
      <c r="BW68" t="s">
        <v>499</v>
      </c>
    </row>
    <row r="69" spans="1:75" x14ac:dyDescent="0.35">
      <c r="A69" t="s">
        <v>502</v>
      </c>
      <c r="B69" s="1">
        <v>46008</v>
      </c>
      <c r="C69" s="2">
        <v>0.77020833333333327</v>
      </c>
      <c r="D69" t="s">
        <v>183</v>
      </c>
      <c r="E69" t="s">
        <v>184</v>
      </c>
      <c r="F69" t="s">
        <v>503</v>
      </c>
      <c r="G69">
        <f>COUNTIF($F$2:$F$278,F69)</f>
        <v>1</v>
      </c>
      <c r="H69" t="s">
        <v>504</v>
      </c>
      <c r="I69" t="s">
        <v>505</v>
      </c>
      <c r="J69" t="s">
        <v>506</v>
      </c>
      <c r="K69" t="s">
        <v>119</v>
      </c>
      <c r="L69">
        <v>53003</v>
      </c>
      <c r="M69" t="s">
        <v>85</v>
      </c>
      <c r="N69" t="s">
        <v>86</v>
      </c>
      <c r="O69" t="s">
        <v>119</v>
      </c>
      <c r="P69" t="s">
        <v>100</v>
      </c>
      <c r="Q69" t="s">
        <v>188</v>
      </c>
      <c r="R69" t="s">
        <v>189</v>
      </c>
      <c r="S69" t="s">
        <v>190</v>
      </c>
      <c r="T69" t="s">
        <v>191</v>
      </c>
      <c r="U69" t="s">
        <v>507</v>
      </c>
      <c r="V69" t="s">
        <v>22</v>
      </c>
      <c r="X69" t="s">
        <v>192</v>
      </c>
      <c r="Y69" t="s">
        <v>132</v>
      </c>
      <c r="Z69" t="s">
        <v>193</v>
      </c>
      <c r="AA69" t="b">
        <v>0</v>
      </c>
      <c r="AB69" t="b">
        <v>0</v>
      </c>
      <c r="AD69">
        <v>201</v>
      </c>
      <c r="AE69" t="s">
        <v>508</v>
      </c>
      <c r="AH69" t="s">
        <v>184</v>
      </c>
      <c r="AI69" t="s">
        <v>509</v>
      </c>
      <c r="AJ69" t="s">
        <v>100</v>
      </c>
      <c r="AK69" t="s">
        <v>510</v>
      </c>
      <c r="AL69" t="s">
        <v>100</v>
      </c>
      <c r="AM69" t="s">
        <v>100</v>
      </c>
      <c r="AN69" t="s">
        <v>124</v>
      </c>
      <c r="AO69">
        <v>1002</v>
      </c>
      <c r="AP69" t="s">
        <v>511</v>
      </c>
      <c r="AQ69" t="s">
        <v>512</v>
      </c>
      <c r="AR69" t="s">
        <v>513</v>
      </c>
      <c r="AS69" t="s">
        <v>514</v>
      </c>
      <c r="AT69" t="s">
        <v>515</v>
      </c>
      <c r="AU69" t="s">
        <v>515</v>
      </c>
      <c r="AX69" t="s">
        <v>516</v>
      </c>
      <c r="AY69" t="s">
        <v>517</v>
      </c>
      <c r="AZ69" t="s">
        <v>512</v>
      </c>
      <c r="BA69" t="s">
        <v>513</v>
      </c>
      <c r="BB69" t="s">
        <v>518</v>
      </c>
      <c r="BC69" t="s">
        <v>515</v>
      </c>
      <c r="BD69" t="s">
        <v>515</v>
      </c>
      <c r="BF69" t="s">
        <v>519</v>
      </c>
      <c r="BG69">
        <v>812</v>
      </c>
      <c r="BH69" t="s">
        <v>520</v>
      </c>
      <c r="BO69">
        <v>2</v>
      </c>
      <c r="BR69" t="s">
        <v>512</v>
      </c>
      <c r="BS69" t="s">
        <v>521</v>
      </c>
      <c r="BT69" t="s">
        <v>518</v>
      </c>
      <c r="BU69" t="s">
        <v>515</v>
      </c>
      <c r="BV69" t="s">
        <v>522</v>
      </c>
      <c r="BW69" t="s">
        <v>209</v>
      </c>
    </row>
    <row r="70" spans="1:75" s="7" customFormat="1" x14ac:dyDescent="0.35">
      <c r="A70" s="7" t="s">
        <v>523</v>
      </c>
      <c r="B70" s="8">
        <v>46008</v>
      </c>
      <c r="C70" s="9">
        <v>0.76844907407407403</v>
      </c>
      <c r="D70" s="7" t="s">
        <v>459</v>
      </c>
      <c r="E70" s="7" t="s">
        <v>460</v>
      </c>
      <c r="F70" s="11" t="s">
        <v>346</v>
      </c>
      <c r="G70" s="7">
        <f>COUNTIF($F$2:$F$278,F70)</f>
        <v>69</v>
      </c>
      <c r="H70" s="7" t="s">
        <v>347</v>
      </c>
      <c r="I70" s="7" t="s">
        <v>187</v>
      </c>
      <c r="J70" s="7" t="s">
        <v>83</v>
      </c>
      <c r="K70" s="7" t="s">
        <v>84</v>
      </c>
      <c r="M70" s="7" t="s">
        <v>85</v>
      </c>
      <c r="N70" s="7" t="s">
        <v>120</v>
      </c>
      <c r="O70" s="7" t="s">
        <v>87</v>
      </c>
      <c r="P70" s="7" t="s">
        <v>88</v>
      </c>
      <c r="Q70" s="7" t="s">
        <v>169</v>
      </c>
      <c r="R70" s="7" t="s">
        <v>170</v>
      </c>
      <c r="T70" s="7" t="s">
        <v>171</v>
      </c>
      <c r="U70" s="7" t="s">
        <v>93</v>
      </c>
      <c r="V70" s="7" t="s">
        <v>94</v>
      </c>
      <c r="W70" s="7" t="s">
        <v>524</v>
      </c>
      <c r="X70" s="7" t="s">
        <v>350</v>
      </c>
      <c r="Y70" s="7" t="s">
        <v>132</v>
      </c>
      <c r="Z70" s="7" t="s">
        <v>351</v>
      </c>
      <c r="AA70" s="7" t="b">
        <v>0</v>
      </c>
      <c r="AB70" s="7" t="b">
        <v>0</v>
      </c>
      <c r="AC70" s="7" t="s">
        <v>525</v>
      </c>
      <c r="AD70" s="7">
        <v>74</v>
      </c>
      <c r="AE70" s="7" t="s">
        <v>153</v>
      </c>
      <c r="AI70" s="7" t="s">
        <v>526</v>
      </c>
      <c r="AJ70" s="7" t="s">
        <v>100</v>
      </c>
      <c r="AK70" s="7" t="s">
        <v>527</v>
      </c>
      <c r="AL70" s="7" t="s">
        <v>100</v>
      </c>
      <c r="AM70" s="7" t="s">
        <v>100</v>
      </c>
      <c r="AN70" s="7" t="s">
        <v>124</v>
      </c>
      <c r="AO70" s="7">
        <v>1005</v>
      </c>
      <c r="AP70" s="7" t="s">
        <v>528</v>
      </c>
      <c r="AQ70" s="7" t="s">
        <v>104</v>
      </c>
      <c r="AR70" s="7" t="s">
        <v>197</v>
      </c>
      <c r="AS70" s="7" t="s">
        <v>356</v>
      </c>
      <c r="AT70" s="7" t="s">
        <v>199</v>
      </c>
      <c r="AU70" s="7" t="s">
        <v>199</v>
      </c>
      <c r="AX70" s="7" t="s">
        <v>200</v>
      </c>
      <c r="AY70" s="7" t="s">
        <v>357</v>
      </c>
      <c r="AZ70" s="7" t="s">
        <v>104</v>
      </c>
      <c r="BA70" s="7" t="s">
        <v>197</v>
      </c>
      <c r="BB70" s="7" t="s">
        <v>356</v>
      </c>
      <c r="BC70" s="7" t="s">
        <v>199</v>
      </c>
      <c r="BD70" s="7" t="s">
        <v>199</v>
      </c>
      <c r="BF70" s="7" t="s">
        <v>203</v>
      </c>
      <c r="BG70" s="7">
        <v>20115</v>
      </c>
      <c r="BH70" s="7" t="s">
        <v>358</v>
      </c>
      <c r="BO70" s="7">
        <v>9</v>
      </c>
      <c r="BR70" s="7" t="s">
        <v>104</v>
      </c>
      <c r="BS70" s="7" t="s">
        <v>205</v>
      </c>
      <c r="BT70" s="7" t="s">
        <v>356</v>
      </c>
      <c r="BU70" s="7" t="s">
        <v>207</v>
      </c>
      <c r="BV70" s="7" t="s">
        <v>208</v>
      </c>
      <c r="BW70" s="7" t="s">
        <v>209</v>
      </c>
    </row>
    <row r="71" spans="1:75" s="7" customFormat="1" x14ac:dyDescent="0.35">
      <c r="A71" s="7" t="s">
        <v>529</v>
      </c>
      <c r="B71" s="8">
        <v>46008</v>
      </c>
      <c r="C71" s="9">
        <v>0.7684375</v>
      </c>
      <c r="D71" s="7" t="s">
        <v>459</v>
      </c>
      <c r="E71" s="7" t="s">
        <v>460</v>
      </c>
      <c r="F71" s="11" t="s">
        <v>346</v>
      </c>
      <c r="G71" s="7">
        <f>COUNTIF($F$2:$F$278,F71)</f>
        <v>69</v>
      </c>
      <c r="H71" s="7" t="s">
        <v>347</v>
      </c>
      <c r="I71" s="7" t="s">
        <v>187</v>
      </c>
      <c r="J71" s="7" t="s">
        <v>83</v>
      </c>
      <c r="K71" s="7" t="s">
        <v>84</v>
      </c>
      <c r="M71" s="7" t="s">
        <v>85</v>
      </c>
      <c r="N71" s="7" t="s">
        <v>86</v>
      </c>
      <c r="O71" s="7" t="s">
        <v>84</v>
      </c>
      <c r="P71" s="7" t="s">
        <v>100</v>
      </c>
      <c r="Q71" s="7" t="s">
        <v>530</v>
      </c>
      <c r="R71" s="7" t="s">
        <v>531</v>
      </c>
      <c r="S71" s="7" t="s">
        <v>532</v>
      </c>
      <c r="T71" s="7" t="s">
        <v>533</v>
      </c>
      <c r="U71" s="7" t="s">
        <v>93</v>
      </c>
      <c r="V71" s="7" t="s">
        <v>94</v>
      </c>
      <c r="W71" s="7" t="s">
        <v>524</v>
      </c>
      <c r="X71" s="7" t="s">
        <v>350</v>
      </c>
      <c r="Y71" s="7" t="s">
        <v>132</v>
      </c>
      <c r="Z71" s="7" t="s">
        <v>351</v>
      </c>
      <c r="AA71" s="7" t="b">
        <v>0</v>
      </c>
      <c r="AB71" s="7" t="b">
        <v>0</v>
      </c>
      <c r="AC71" s="7" t="s">
        <v>525</v>
      </c>
      <c r="AD71" s="7">
        <v>150</v>
      </c>
      <c r="AE71" s="7" t="s">
        <v>352</v>
      </c>
      <c r="AF71" s="7" t="s">
        <v>146</v>
      </c>
      <c r="AH71" s="7" t="s">
        <v>460</v>
      </c>
      <c r="AI71" s="7" t="s">
        <v>526</v>
      </c>
      <c r="AJ71" s="7" t="s">
        <v>100</v>
      </c>
      <c r="AK71" s="7" t="s">
        <v>534</v>
      </c>
      <c r="AL71" s="7" t="s">
        <v>100</v>
      </c>
      <c r="AM71" s="7" t="s">
        <v>100</v>
      </c>
      <c r="AN71" s="7" t="s">
        <v>102</v>
      </c>
      <c r="AP71" s="7" t="s">
        <v>528</v>
      </c>
      <c r="AQ71" s="7" t="s">
        <v>104</v>
      </c>
      <c r="AR71" s="7" t="s">
        <v>197</v>
      </c>
      <c r="AS71" s="7" t="s">
        <v>356</v>
      </c>
      <c r="AT71" s="7" t="s">
        <v>199</v>
      </c>
      <c r="AU71" s="7" t="s">
        <v>199</v>
      </c>
      <c r="AX71" s="7" t="s">
        <v>200</v>
      </c>
      <c r="AY71" s="7" t="s">
        <v>357</v>
      </c>
      <c r="AZ71" s="7" t="s">
        <v>104</v>
      </c>
      <c r="BA71" s="7" t="s">
        <v>197</v>
      </c>
      <c r="BB71" s="7" t="s">
        <v>356</v>
      </c>
      <c r="BC71" s="7" t="s">
        <v>199</v>
      </c>
      <c r="BD71" s="7" t="s">
        <v>199</v>
      </c>
      <c r="BF71" s="7" t="s">
        <v>203</v>
      </c>
      <c r="BG71" s="7">
        <v>20115</v>
      </c>
      <c r="BH71" s="7" t="s">
        <v>358</v>
      </c>
      <c r="BO71" s="7">
        <v>9</v>
      </c>
      <c r="BR71" s="7" t="s">
        <v>104</v>
      </c>
      <c r="BS71" s="7" t="s">
        <v>205</v>
      </c>
      <c r="BT71" s="7" t="s">
        <v>356</v>
      </c>
      <c r="BU71" s="7" t="s">
        <v>207</v>
      </c>
      <c r="BV71" s="7" t="s">
        <v>208</v>
      </c>
      <c r="BW71" s="7" t="s">
        <v>209</v>
      </c>
    </row>
    <row r="72" spans="1:75" s="7" customFormat="1" x14ac:dyDescent="0.35">
      <c r="A72" s="7" t="s">
        <v>535</v>
      </c>
      <c r="B72" s="8">
        <v>46008</v>
      </c>
      <c r="C72" s="9">
        <v>0.75928240740740749</v>
      </c>
      <c r="D72" s="7" t="s">
        <v>536</v>
      </c>
      <c r="E72" s="7" t="s">
        <v>537</v>
      </c>
      <c r="F72" s="11" t="s">
        <v>346</v>
      </c>
      <c r="G72" s="7">
        <f>COUNTIF($F$2:$F$278,F72)</f>
        <v>69</v>
      </c>
      <c r="H72" s="7" t="s">
        <v>347</v>
      </c>
      <c r="I72" s="7" t="s">
        <v>187</v>
      </c>
      <c r="J72" s="7" t="s">
        <v>83</v>
      </c>
      <c r="K72" s="7" t="s">
        <v>84</v>
      </c>
      <c r="M72" s="7" t="s">
        <v>85</v>
      </c>
      <c r="N72" s="7" t="s">
        <v>86</v>
      </c>
      <c r="O72" s="7" t="s">
        <v>87</v>
      </c>
      <c r="P72" s="7" t="s">
        <v>88</v>
      </c>
      <c r="Q72" s="7" t="s">
        <v>89</v>
      </c>
      <c r="R72" s="7" t="s">
        <v>90</v>
      </c>
      <c r="S72" s="7" t="s">
        <v>91</v>
      </c>
      <c r="T72" s="7" t="s">
        <v>92</v>
      </c>
      <c r="U72" s="7" t="s">
        <v>93</v>
      </c>
      <c r="V72" s="7" t="s">
        <v>94</v>
      </c>
      <c r="W72" s="7" t="s">
        <v>538</v>
      </c>
      <c r="Y72" s="7" t="s">
        <v>96</v>
      </c>
      <c r="Z72" s="7" t="s">
        <v>97</v>
      </c>
      <c r="AA72" s="7" t="b">
        <v>0</v>
      </c>
      <c r="AB72" s="7" t="b">
        <v>0</v>
      </c>
      <c r="AC72" s="7" t="s">
        <v>1331</v>
      </c>
      <c r="AD72" s="7">
        <v>103</v>
      </c>
      <c r="AE72" s="7" t="s">
        <v>98</v>
      </c>
      <c r="AI72" s="7" t="s">
        <v>539</v>
      </c>
      <c r="AJ72" s="7" t="s">
        <v>100</v>
      </c>
      <c r="AK72" s="7" t="s">
        <v>540</v>
      </c>
      <c r="AL72" s="7" t="s">
        <v>100</v>
      </c>
      <c r="AM72" s="7" t="s">
        <v>100</v>
      </c>
      <c r="AN72" s="7" t="s">
        <v>102</v>
      </c>
      <c r="AP72" s="7" t="s">
        <v>541</v>
      </c>
      <c r="AQ72" s="7" t="s">
        <v>104</v>
      </c>
      <c r="AR72" s="7" t="s">
        <v>197</v>
      </c>
      <c r="AS72" s="7" t="s">
        <v>356</v>
      </c>
      <c r="AT72" s="7" t="s">
        <v>199</v>
      </c>
      <c r="AU72" s="7" t="s">
        <v>199</v>
      </c>
      <c r="AX72" s="7" t="s">
        <v>200</v>
      </c>
      <c r="AY72" s="7" t="s">
        <v>357</v>
      </c>
      <c r="AZ72" s="7" t="s">
        <v>104</v>
      </c>
      <c r="BA72" s="7" t="s">
        <v>197</v>
      </c>
      <c r="BB72" s="7" t="s">
        <v>356</v>
      </c>
      <c r="BC72" s="7" t="s">
        <v>199</v>
      </c>
      <c r="BD72" s="7" t="s">
        <v>199</v>
      </c>
      <c r="BF72" s="7" t="s">
        <v>203</v>
      </c>
      <c r="BG72" s="7">
        <v>20115</v>
      </c>
      <c r="BH72" s="7" t="s">
        <v>358</v>
      </c>
      <c r="BO72" s="7">
        <v>9</v>
      </c>
      <c r="BR72" s="7" t="s">
        <v>104</v>
      </c>
      <c r="BS72" s="7" t="s">
        <v>205</v>
      </c>
      <c r="BT72" s="7" t="s">
        <v>356</v>
      </c>
      <c r="BU72" s="7" t="s">
        <v>207</v>
      </c>
      <c r="BV72" s="7" t="s">
        <v>208</v>
      </c>
      <c r="BW72" s="7" t="s">
        <v>209</v>
      </c>
    </row>
    <row r="73" spans="1:75" x14ac:dyDescent="0.35">
      <c r="A73" t="s">
        <v>542</v>
      </c>
      <c r="B73" s="1">
        <v>46008</v>
      </c>
      <c r="C73" s="2">
        <v>0.75754629629629633</v>
      </c>
      <c r="D73" t="s">
        <v>543</v>
      </c>
      <c r="E73" t="s">
        <v>544</v>
      </c>
      <c r="F73" t="s">
        <v>545</v>
      </c>
      <c r="G73">
        <f>COUNTIF($F$2:$F$278,F73)</f>
        <v>2</v>
      </c>
      <c r="H73" t="s">
        <v>546</v>
      </c>
      <c r="I73" t="s">
        <v>187</v>
      </c>
      <c r="J73" t="s">
        <v>83</v>
      </c>
      <c r="K73" t="s">
        <v>84</v>
      </c>
      <c r="M73" t="s">
        <v>85</v>
      </c>
      <c r="N73" t="s">
        <v>86</v>
      </c>
      <c r="O73" t="s">
        <v>84</v>
      </c>
      <c r="P73" t="s">
        <v>100</v>
      </c>
      <c r="Q73" t="s">
        <v>129</v>
      </c>
      <c r="R73" t="s">
        <v>130</v>
      </c>
      <c r="S73" t="s">
        <v>91</v>
      </c>
      <c r="T73" t="s">
        <v>92</v>
      </c>
      <c r="U73" t="s">
        <v>93</v>
      </c>
      <c r="V73" t="s">
        <v>22</v>
      </c>
      <c r="X73" t="s">
        <v>131</v>
      </c>
      <c r="Y73" t="s">
        <v>132</v>
      </c>
      <c r="Z73" t="s">
        <v>547</v>
      </c>
      <c r="AA73" t="b">
        <v>0</v>
      </c>
      <c r="AB73" t="b">
        <v>0</v>
      </c>
      <c r="AD73">
        <v>63</v>
      </c>
      <c r="AE73" t="s">
        <v>153</v>
      </c>
      <c r="AH73" t="s">
        <v>544</v>
      </c>
      <c r="AI73" t="s">
        <v>548</v>
      </c>
      <c r="AJ73" t="s">
        <v>100</v>
      </c>
      <c r="AK73" t="s">
        <v>549</v>
      </c>
      <c r="AL73" t="s">
        <v>100</v>
      </c>
      <c r="AM73" t="s">
        <v>100</v>
      </c>
      <c r="AN73" t="s">
        <v>124</v>
      </c>
      <c r="AO73">
        <v>1002</v>
      </c>
      <c r="AP73" t="s">
        <v>550</v>
      </c>
      <c r="AQ73" t="s">
        <v>104</v>
      </c>
      <c r="AR73" t="s">
        <v>197</v>
      </c>
      <c r="AS73" t="s">
        <v>206</v>
      </c>
      <c r="AT73" t="s">
        <v>199</v>
      </c>
      <c r="AU73" t="s">
        <v>199</v>
      </c>
      <c r="AX73" t="s">
        <v>200</v>
      </c>
      <c r="AY73" t="s">
        <v>551</v>
      </c>
      <c r="AZ73" t="s">
        <v>104</v>
      </c>
      <c r="BA73" t="s">
        <v>197</v>
      </c>
      <c r="BB73" t="s">
        <v>206</v>
      </c>
      <c r="BC73" t="s">
        <v>199</v>
      </c>
      <c r="BD73" t="s">
        <v>199</v>
      </c>
      <c r="BF73" t="s">
        <v>203</v>
      </c>
      <c r="BG73">
        <v>20115</v>
      </c>
      <c r="BH73" t="s">
        <v>552</v>
      </c>
      <c r="BO73">
        <v>2</v>
      </c>
      <c r="BR73" t="s">
        <v>104</v>
      </c>
      <c r="BS73" t="s">
        <v>205</v>
      </c>
      <c r="BT73" t="s">
        <v>553</v>
      </c>
      <c r="BU73" t="s">
        <v>199</v>
      </c>
      <c r="BV73" t="s">
        <v>208</v>
      </c>
      <c r="BW73" t="s">
        <v>209</v>
      </c>
    </row>
    <row r="74" spans="1:75" x14ac:dyDescent="0.35">
      <c r="A74" t="s">
        <v>554</v>
      </c>
      <c r="B74" s="1">
        <v>46008</v>
      </c>
      <c r="C74" s="2">
        <v>0.7575115740740741</v>
      </c>
      <c r="D74" t="s">
        <v>543</v>
      </c>
      <c r="E74" t="s">
        <v>544</v>
      </c>
      <c r="F74" t="s">
        <v>545</v>
      </c>
      <c r="G74">
        <f>COUNTIF($F$2:$F$278,F74)</f>
        <v>2</v>
      </c>
      <c r="H74" t="s">
        <v>546</v>
      </c>
      <c r="I74" t="s">
        <v>187</v>
      </c>
      <c r="J74" t="s">
        <v>83</v>
      </c>
      <c r="K74" t="s">
        <v>143</v>
      </c>
      <c r="L74">
        <v>50140</v>
      </c>
      <c r="M74" t="s">
        <v>85</v>
      </c>
      <c r="N74" t="s">
        <v>86</v>
      </c>
      <c r="O74" t="s">
        <v>84</v>
      </c>
      <c r="P74" t="s">
        <v>100</v>
      </c>
      <c r="Q74" t="s">
        <v>129</v>
      </c>
      <c r="R74" t="s">
        <v>130</v>
      </c>
      <c r="S74" t="s">
        <v>91</v>
      </c>
      <c r="T74" t="s">
        <v>92</v>
      </c>
      <c r="U74" t="s">
        <v>144</v>
      </c>
      <c r="V74" t="s">
        <v>22</v>
      </c>
      <c r="X74" t="s">
        <v>131</v>
      </c>
      <c r="Y74" t="s">
        <v>132</v>
      </c>
      <c r="Z74" t="s">
        <v>547</v>
      </c>
      <c r="AA74" t="b">
        <v>0</v>
      </c>
      <c r="AB74" t="b">
        <v>0</v>
      </c>
      <c r="AD74">
        <v>98</v>
      </c>
      <c r="AE74" t="s">
        <v>145</v>
      </c>
      <c r="AH74" t="s">
        <v>544</v>
      </c>
      <c r="AI74" t="s">
        <v>555</v>
      </c>
      <c r="AJ74" t="s">
        <v>100</v>
      </c>
      <c r="AK74" t="s">
        <v>556</v>
      </c>
      <c r="AL74" t="s">
        <v>100</v>
      </c>
      <c r="AM74" t="s">
        <v>100</v>
      </c>
      <c r="AN74" t="s">
        <v>124</v>
      </c>
      <c r="AO74">
        <v>1002</v>
      </c>
      <c r="AP74" t="s">
        <v>550</v>
      </c>
      <c r="AQ74" t="s">
        <v>104</v>
      </c>
      <c r="AR74" t="s">
        <v>197</v>
      </c>
      <c r="AS74" t="s">
        <v>206</v>
      </c>
      <c r="AT74" t="s">
        <v>199</v>
      </c>
      <c r="AU74" t="s">
        <v>199</v>
      </c>
      <c r="AX74" t="s">
        <v>200</v>
      </c>
      <c r="AY74" t="s">
        <v>551</v>
      </c>
      <c r="AZ74" t="s">
        <v>104</v>
      </c>
      <c r="BA74" t="s">
        <v>197</v>
      </c>
      <c r="BB74" t="s">
        <v>206</v>
      </c>
      <c r="BC74" t="s">
        <v>199</v>
      </c>
      <c r="BD74" t="s">
        <v>199</v>
      </c>
      <c r="BF74" t="s">
        <v>203</v>
      </c>
      <c r="BG74">
        <v>20115</v>
      </c>
      <c r="BH74" t="s">
        <v>552</v>
      </c>
      <c r="BO74">
        <v>2</v>
      </c>
      <c r="BR74" t="s">
        <v>104</v>
      </c>
      <c r="BS74" t="s">
        <v>205</v>
      </c>
      <c r="BT74" t="s">
        <v>553</v>
      </c>
      <c r="BU74" t="s">
        <v>199</v>
      </c>
      <c r="BV74" t="s">
        <v>208</v>
      </c>
      <c r="BW74" t="s">
        <v>209</v>
      </c>
    </row>
    <row r="75" spans="1:75" x14ac:dyDescent="0.35">
      <c r="A75" t="s">
        <v>557</v>
      </c>
      <c r="B75" s="1">
        <v>46008</v>
      </c>
      <c r="C75" s="2">
        <v>0.75134259259259262</v>
      </c>
      <c r="D75" t="s">
        <v>344</v>
      </c>
      <c r="E75" t="s">
        <v>345</v>
      </c>
      <c r="F75" t="s">
        <v>558</v>
      </c>
      <c r="G75">
        <f>COUNTIF($F$2:$F$278,F75)</f>
        <v>1</v>
      </c>
      <c r="H75" t="s">
        <v>559</v>
      </c>
      <c r="I75" t="s">
        <v>560</v>
      </c>
      <c r="J75" t="s">
        <v>83</v>
      </c>
      <c r="K75" t="s">
        <v>143</v>
      </c>
      <c r="L75">
        <v>50055</v>
      </c>
      <c r="M75" t="s">
        <v>85</v>
      </c>
      <c r="N75" t="s">
        <v>120</v>
      </c>
      <c r="O75" t="s">
        <v>87</v>
      </c>
      <c r="P75" t="s">
        <v>100</v>
      </c>
      <c r="Q75" t="s">
        <v>169</v>
      </c>
      <c r="R75" t="s">
        <v>170</v>
      </c>
      <c r="T75" t="s">
        <v>171</v>
      </c>
      <c r="U75" t="s">
        <v>444</v>
      </c>
      <c r="V75" t="s">
        <v>94</v>
      </c>
      <c r="X75" t="s">
        <v>561</v>
      </c>
      <c r="Y75" t="s">
        <v>562</v>
      </c>
      <c r="Z75" t="s">
        <v>563</v>
      </c>
      <c r="AA75" t="b">
        <v>0</v>
      </c>
      <c r="AB75" t="b">
        <v>0</v>
      </c>
      <c r="AD75">
        <v>96</v>
      </c>
      <c r="AE75" t="s">
        <v>445</v>
      </c>
      <c r="AH75" t="s">
        <v>345</v>
      </c>
      <c r="AI75" t="s">
        <v>564</v>
      </c>
      <c r="AJ75" t="s">
        <v>100</v>
      </c>
      <c r="AK75" t="s">
        <v>565</v>
      </c>
      <c r="AL75" t="s">
        <v>100</v>
      </c>
      <c r="AM75" t="s">
        <v>100</v>
      </c>
      <c r="AN75" t="s">
        <v>124</v>
      </c>
      <c r="AO75">
        <v>1002</v>
      </c>
      <c r="AP75" t="s">
        <v>566</v>
      </c>
      <c r="AQ75" t="s">
        <v>104</v>
      </c>
      <c r="AR75" t="s">
        <v>246</v>
      </c>
      <c r="AS75" t="s">
        <v>567</v>
      </c>
      <c r="AT75" t="s">
        <v>248</v>
      </c>
      <c r="AU75" t="s">
        <v>248</v>
      </c>
      <c r="AX75" t="s">
        <v>249</v>
      </c>
      <c r="AY75" t="s">
        <v>568</v>
      </c>
      <c r="AZ75" t="s">
        <v>104</v>
      </c>
      <c r="BA75" t="s">
        <v>569</v>
      </c>
      <c r="BB75" t="s">
        <v>570</v>
      </c>
      <c r="BC75" t="s">
        <v>251</v>
      </c>
      <c r="BD75" t="s">
        <v>251</v>
      </c>
      <c r="BF75" t="s">
        <v>252</v>
      </c>
      <c r="BG75">
        <v>7018</v>
      </c>
      <c r="BH75" t="s">
        <v>571</v>
      </c>
      <c r="BO75">
        <v>3</v>
      </c>
      <c r="BR75" t="s">
        <v>104</v>
      </c>
      <c r="BS75" t="s">
        <v>572</v>
      </c>
      <c r="BT75" t="s">
        <v>570</v>
      </c>
      <c r="BU75" t="s">
        <v>251</v>
      </c>
      <c r="BV75" t="s">
        <v>255</v>
      </c>
      <c r="BW75" t="s">
        <v>209</v>
      </c>
    </row>
    <row r="76" spans="1:75" x14ac:dyDescent="0.35">
      <c r="A76" t="s">
        <v>573</v>
      </c>
      <c r="B76" s="1">
        <v>46008</v>
      </c>
      <c r="C76" s="2">
        <v>0.73728009259259253</v>
      </c>
      <c r="D76" t="s">
        <v>344</v>
      </c>
      <c r="E76" t="s">
        <v>345</v>
      </c>
      <c r="F76" t="s">
        <v>574</v>
      </c>
      <c r="G76">
        <f>COUNTIF($F$2:$F$278,F76)</f>
        <v>3</v>
      </c>
      <c r="H76" t="s">
        <v>546</v>
      </c>
      <c r="I76" t="s">
        <v>187</v>
      </c>
      <c r="J76" t="s">
        <v>83</v>
      </c>
      <c r="K76" t="s">
        <v>84</v>
      </c>
      <c r="M76" t="s">
        <v>85</v>
      </c>
      <c r="N76" t="s">
        <v>86</v>
      </c>
      <c r="O76" t="s">
        <v>84</v>
      </c>
      <c r="P76" t="s">
        <v>100</v>
      </c>
      <c r="Q76" t="s">
        <v>390</v>
      </c>
      <c r="R76" t="s">
        <v>391</v>
      </c>
      <c r="S76" t="s">
        <v>224</v>
      </c>
      <c r="T76" t="s">
        <v>225</v>
      </c>
      <c r="U76" t="s">
        <v>93</v>
      </c>
      <c r="V76" t="s">
        <v>94</v>
      </c>
      <c r="X76" t="s">
        <v>575</v>
      </c>
      <c r="Y76" t="s">
        <v>132</v>
      </c>
      <c r="Z76" t="s">
        <v>576</v>
      </c>
      <c r="AA76" t="b">
        <v>0</v>
      </c>
      <c r="AB76" t="b">
        <v>0</v>
      </c>
      <c r="AD76">
        <v>73</v>
      </c>
      <c r="AE76" t="s">
        <v>352</v>
      </c>
      <c r="AF76" t="s">
        <v>146</v>
      </c>
      <c r="AH76" t="s">
        <v>345</v>
      </c>
      <c r="AI76" t="s">
        <v>577</v>
      </c>
      <c r="AJ76" t="s">
        <v>100</v>
      </c>
      <c r="AK76" t="s">
        <v>578</v>
      </c>
      <c r="AL76" t="s">
        <v>100</v>
      </c>
      <c r="AM76" t="s">
        <v>100</v>
      </c>
      <c r="AN76" t="s">
        <v>124</v>
      </c>
      <c r="AO76">
        <v>1002</v>
      </c>
      <c r="AP76" t="s">
        <v>579</v>
      </c>
      <c r="AQ76" t="s">
        <v>104</v>
      </c>
      <c r="AR76" t="s">
        <v>197</v>
      </c>
      <c r="AS76" t="s">
        <v>206</v>
      </c>
      <c r="AT76" t="s">
        <v>580</v>
      </c>
      <c r="AU76" t="s">
        <v>580</v>
      </c>
      <c r="AX76" t="s">
        <v>581</v>
      </c>
      <c r="AY76" t="s">
        <v>582</v>
      </c>
      <c r="AZ76" t="s">
        <v>104</v>
      </c>
      <c r="BA76" t="s">
        <v>197</v>
      </c>
      <c r="BB76" t="s">
        <v>206</v>
      </c>
      <c r="BC76" t="s">
        <v>580</v>
      </c>
      <c r="BD76" t="s">
        <v>580</v>
      </c>
      <c r="BF76" t="s">
        <v>380</v>
      </c>
      <c r="BG76">
        <v>2381</v>
      </c>
      <c r="BH76" t="s">
        <v>583</v>
      </c>
      <c r="BO76">
        <v>1</v>
      </c>
      <c r="BR76" t="s">
        <v>104</v>
      </c>
      <c r="BS76" t="s">
        <v>205</v>
      </c>
      <c r="BT76" t="s">
        <v>206</v>
      </c>
      <c r="BU76" t="s">
        <v>580</v>
      </c>
      <c r="BV76" t="s">
        <v>580</v>
      </c>
      <c r="BW76" t="s">
        <v>209</v>
      </c>
    </row>
    <row r="77" spans="1:75" x14ac:dyDescent="0.35">
      <c r="A77" t="s">
        <v>584</v>
      </c>
      <c r="B77" s="1">
        <v>46008</v>
      </c>
      <c r="C77" s="2">
        <v>0.73209490740740746</v>
      </c>
      <c r="D77" t="s">
        <v>344</v>
      </c>
      <c r="E77" t="s">
        <v>345</v>
      </c>
      <c r="F77" t="s">
        <v>574</v>
      </c>
      <c r="G77">
        <f>COUNTIF($F$2:$F$278,F77)</f>
        <v>3</v>
      </c>
      <c r="H77" t="s">
        <v>546</v>
      </c>
      <c r="I77" t="s">
        <v>187</v>
      </c>
      <c r="J77" t="s">
        <v>83</v>
      </c>
      <c r="K77" t="s">
        <v>84</v>
      </c>
      <c r="M77" t="s">
        <v>85</v>
      </c>
      <c r="N77" t="s">
        <v>86</v>
      </c>
      <c r="O77" t="s">
        <v>84</v>
      </c>
      <c r="P77" t="s">
        <v>100</v>
      </c>
      <c r="Q77" t="s">
        <v>417</v>
      </c>
      <c r="R77" t="s">
        <v>418</v>
      </c>
      <c r="S77" t="s">
        <v>224</v>
      </c>
      <c r="T77" t="s">
        <v>225</v>
      </c>
      <c r="U77" t="s">
        <v>93</v>
      </c>
      <c r="V77" t="s">
        <v>22</v>
      </c>
      <c r="X77" t="s">
        <v>192</v>
      </c>
      <c r="Y77" t="s">
        <v>132</v>
      </c>
      <c r="Z77" t="s">
        <v>193</v>
      </c>
      <c r="AA77" t="b">
        <v>0</v>
      </c>
      <c r="AB77" t="b">
        <v>0</v>
      </c>
      <c r="AD77">
        <v>85</v>
      </c>
      <c r="AE77" t="s">
        <v>153</v>
      </c>
      <c r="AI77" t="s">
        <v>585</v>
      </c>
      <c r="AJ77" t="s">
        <v>100</v>
      </c>
      <c r="AK77" t="s">
        <v>586</v>
      </c>
      <c r="AL77" t="s">
        <v>100</v>
      </c>
      <c r="AM77" t="s">
        <v>100</v>
      </c>
      <c r="AN77" t="s">
        <v>124</v>
      </c>
      <c r="AO77">
        <v>1002</v>
      </c>
      <c r="AP77" t="s">
        <v>587</v>
      </c>
      <c r="AQ77" t="s">
        <v>104</v>
      </c>
      <c r="AR77" t="s">
        <v>197</v>
      </c>
      <c r="AS77" t="s">
        <v>206</v>
      </c>
      <c r="AT77" t="s">
        <v>580</v>
      </c>
      <c r="AU77" t="s">
        <v>580</v>
      </c>
      <c r="AX77" t="s">
        <v>581</v>
      </c>
      <c r="AY77" t="s">
        <v>582</v>
      </c>
      <c r="AZ77" t="s">
        <v>104</v>
      </c>
      <c r="BA77" t="s">
        <v>197</v>
      </c>
      <c r="BB77" t="s">
        <v>206</v>
      </c>
      <c r="BC77" t="s">
        <v>580</v>
      </c>
      <c r="BD77" t="s">
        <v>580</v>
      </c>
      <c r="BF77" t="s">
        <v>380</v>
      </c>
      <c r="BG77">
        <v>2381</v>
      </c>
      <c r="BH77" t="s">
        <v>583</v>
      </c>
      <c r="BO77">
        <v>1</v>
      </c>
      <c r="BR77" t="s">
        <v>104</v>
      </c>
      <c r="BS77" t="s">
        <v>205</v>
      </c>
      <c r="BT77" t="s">
        <v>206</v>
      </c>
      <c r="BU77" t="s">
        <v>580</v>
      </c>
      <c r="BV77" t="s">
        <v>580</v>
      </c>
      <c r="BW77" t="s">
        <v>209</v>
      </c>
    </row>
    <row r="78" spans="1:75" s="3" customFormat="1" x14ac:dyDescent="0.35">
      <c r="A78" s="3" t="s">
        <v>588</v>
      </c>
      <c r="B78" s="4">
        <v>46008</v>
      </c>
      <c r="C78" s="5">
        <v>0.73174768518518529</v>
      </c>
      <c r="D78" s="3" t="s">
        <v>344</v>
      </c>
      <c r="E78" s="3" t="s">
        <v>345</v>
      </c>
      <c r="F78" s="3" t="s">
        <v>396</v>
      </c>
      <c r="G78" s="3">
        <f>COUNTIF($F$2:$F$278,F78)</f>
        <v>7</v>
      </c>
      <c r="H78" s="3" t="s">
        <v>397</v>
      </c>
      <c r="I78" s="3" t="s">
        <v>398</v>
      </c>
      <c r="J78" s="3" t="s">
        <v>83</v>
      </c>
      <c r="K78" s="3" t="s">
        <v>84</v>
      </c>
      <c r="M78" s="3" t="s">
        <v>85</v>
      </c>
      <c r="N78" s="3" t="s">
        <v>86</v>
      </c>
      <c r="O78" s="3" t="s">
        <v>84</v>
      </c>
      <c r="P78" s="3" t="s">
        <v>100</v>
      </c>
      <c r="Q78" s="3" t="s">
        <v>150</v>
      </c>
      <c r="R78" s="3" t="s">
        <v>151</v>
      </c>
      <c r="S78" s="3" t="s">
        <v>150</v>
      </c>
      <c r="T78" s="3" t="s">
        <v>151</v>
      </c>
      <c r="U78" s="3" t="s">
        <v>93</v>
      </c>
      <c r="V78" s="3" t="s">
        <v>22</v>
      </c>
      <c r="Z78" s="3" t="s">
        <v>399</v>
      </c>
      <c r="AA78" s="3" t="b">
        <v>0</v>
      </c>
      <c r="AB78" s="3" t="b">
        <v>0</v>
      </c>
      <c r="AD78" s="3">
        <v>96</v>
      </c>
      <c r="AE78" s="3" t="s">
        <v>153</v>
      </c>
      <c r="AI78" s="3" t="s">
        <v>589</v>
      </c>
      <c r="AJ78" s="3" t="s">
        <v>100</v>
      </c>
      <c r="AK78" s="3" t="s">
        <v>590</v>
      </c>
      <c r="AL78" s="3" t="s">
        <v>100</v>
      </c>
      <c r="AM78" s="3" t="s">
        <v>100</v>
      </c>
      <c r="AN78" s="3" t="s">
        <v>124</v>
      </c>
      <c r="AO78" s="3">
        <v>1002</v>
      </c>
      <c r="AP78" s="3" t="s">
        <v>591</v>
      </c>
      <c r="AQ78" s="3" t="s">
        <v>104</v>
      </c>
      <c r="AR78" s="3" t="s">
        <v>403</v>
      </c>
      <c r="AS78" s="3" t="s">
        <v>404</v>
      </c>
      <c r="AT78" s="6" t="s">
        <v>405</v>
      </c>
      <c r="AU78" s="3" t="s">
        <v>405</v>
      </c>
      <c r="AX78" s="3" t="s">
        <v>406</v>
      </c>
      <c r="AY78" s="3" t="s">
        <v>407</v>
      </c>
      <c r="AZ78" s="3" t="s">
        <v>104</v>
      </c>
      <c r="BA78" s="3" t="s">
        <v>403</v>
      </c>
      <c r="BB78" s="3" t="s">
        <v>404</v>
      </c>
      <c r="BC78" s="3" t="s">
        <v>408</v>
      </c>
      <c r="BD78" s="3" t="s">
        <v>408</v>
      </c>
      <c r="BE78" s="3" t="s">
        <v>409</v>
      </c>
      <c r="BF78" s="3" t="s">
        <v>410</v>
      </c>
      <c r="BG78" s="3">
        <v>215540</v>
      </c>
      <c r="BH78" s="3" t="s">
        <v>411</v>
      </c>
      <c r="BO78" s="3">
        <v>20</v>
      </c>
      <c r="BR78" s="3" t="s">
        <v>104</v>
      </c>
      <c r="BS78" s="3" t="s">
        <v>412</v>
      </c>
      <c r="BT78" s="3" t="s">
        <v>404</v>
      </c>
      <c r="BU78" s="3" t="s">
        <v>413</v>
      </c>
      <c r="BV78" s="3" t="s">
        <v>413</v>
      </c>
      <c r="BW78" s="3" t="s">
        <v>209</v>
      </c>
    </row>
    <row r="79" spans="1:75" s="3" customFormat="1" x14ac:dyDescent="0.35">
      <c r="A79" s="3" t="s">
        <v>588</v>
      </c>
      <c r="B79" s="4">
        <v>46008</v>
      </c>
      <c r="C79" s="5">
        <v>0.73174768518518529</v>
      </c>
      <c r="D79" s="3" t="s">
        <v>344</v>
      </c>
      <c r="E79" s="3" t="s">
        <v>345</v>
      </c>
      <c r="F79" s="3" t="s">
        <v>396</v>
      </c>
      <c r="G79" s="3">
        <f>COUNTIF($F$2:$F$278,F79)</f>
        <v>7</v>
      </c>
      <c r="H79" s="3" t="s">
        <v>397</v>
      </c>
      <c r="I79" s="3" t="s">
        <v>398</v>
      </c>
      <c r="J79" s="3" t="s">
        <v>83</v>
      </c>
      <c r="K79" s="3" t="s">
        <v>143</v>
      </c>
      <c r="L79" s="3">
        <v>50140</v>
      </c>
      <c r="M79" s="3" t="s">
        <v>85</v>
      </c>
      <c r="N79" s="3" t="s">
        <v>86</v>
      </c>
      <c r="O79" s="3" t="s">
        <v>84</v>
      </c>
      <c r="P79" s="3" t="s">
        <v>100</v>
      </c>
      <c r="Q79" s="3" t="s">
        <v>150</v>
      </c>
      <c r="R79" s="3" t="s">
        <v>151</v>
      </c>
      <c r="S79" s="3" t="s">
        <v>150</v>
      </c>
      <c r="T79" s="3" t="s">
        <v>151</v>
      </c>
      <c r="U79" s="3" t="s">
        <v>144</v>
      </c>
      <c r="V79" s="3" t="s">
        <v>22</v>
      </c>
      <c r="Z79" s="3" t="s">
        <v>399</v>
      </c>
      <c r="AA79" s="3" t="b">
        <v>0</v>
      </c>
      <c r="AB79" s="3" t="b">
        <v>0</v>
      </c>
      <c r="AD79" s="3">
        <v>81</v>
      </c>
      <c r="AE79" s="3" t="s">
        <v>145</v>
      </c>
      <c r="AF79" s="3" t="s">
        <v>146</v>
      </c>
      <c r="AI79" s="3" t="s">
        <v>589</v>
      </c>
      <c r="AJ79" s="3" t="s">
        <v>100</v>
      </c>
      <c r="AK79" s="3" t="s">
        <v>592</v>
      </c>
      <c r="AL79" s="3" t="s">
        <v>100</v>
      </c>
      <c r="AM79" s="3" t="s">
        <v>100</v>
      </c>
      <c r="AN79" s="3" t="s">
        <v>124</v>
      </c>
      <c r="AO79" s="3">
        <v>1002</v>
      </c>
      <c r="AP79" s="3" t="s">
        <v>591</v>
      </c>
      <c r="AQ79" s="3" t="s">
        <v>104</v>
      </c>
      <c r="AR79" s="3" t="s">
        <v>403</v>
      </c>
      <c r="AS79" s="3" t="s">
        <v>404</v>
      </c>
      <c r="AT79" s="3" t="s">
        <v>405</v>
      </c>
      <c r="AU79" s="3" t="s">
        <v>405</v>
      </c>
      <c r="AX79" s="3" t="s">
        <v>406</v>
      </c>
      <c r="AY79" s="3" t="s">
        <v>407</v>
      </c>
      <c r="AZ79" s="3" t="s">
        <v>104</v>
      </c>
      <c r="BA79" s="3" t="s">
        <v>403</v>
      </c>
      <c r="BB79" s="3" t="s">
        <v>404</v>
      </c>
      <c r="BC79" s="3" t="s">
        <v>408</v>
      </c>
      <c r="BD79" s="3" t="s">
        <v>408</v>
      </c>
      <c r="BE79" s="3" t="s">
        <v>409</v>
      </c>
      <c r="BF79" s="3" t="s">
        <v>410</v>
      </c>
      <c r="BG79" s="3">
        <v>215540</v>
      </c>
      <c r="BH79" s="3" t="s">
        <v>411</v>
      </c>
      <c r="BO79" s="3">
        <v>20</v>
      </c>
      <c r="BR79" s="3" t="s">
        <v>104</v>
      </c>
      <c r="BS79" s="3" t="s">
        <v>412</v>
      </c>
      <c r="BT79" s="3" t="s">
        <v>404</v>
      </c>
      <c r="BU79" s="3" t="s">
        <v>413</v>
      </c>
      <c r="BV79" s="6" t="s">
        <v>413</v>
      </c>
      <c r="BW79" s="3" t="s">
        <v>209</v>
      </c>
    </row>
    <row r="80" spans="1:75" x14ac:dyDescent="0.35">
      <c r="A80" t="s">
        <v>593</v>
      </c>
      <c r="B80" s="1">
        <v>46008</v>
      </c>
      <c r="C80" s="2">
        <v>0.73003472222222221</v>
      </c>
      <c r="D80" t="s">
        <v>344</v>
      </c>
      <c r="E80" t="s">
        <v>345</v>
      </c>
      <c r="F80" t="s">
        <v>574</v>
      </c>
      <c r="G80">
        <f>COUNTIF($F$2:$F$278,F80)</f>
        <v>3</v>
      </c>
      <c r="H80" t="s">
        <v>546</v>
      </c>
      <c r="I80" t="s">
        <v>187</v>
      </c>
      <c r="J80" t="s">
        <v>83</v>
      </c>
      <c r="K80" t="s">
        <v>84</v>
      </c>
      <c r="M80" t="s">
        <v>85</v>
      </c>
      <c r="N80" t="s">
        <v>86</v>
      </c>
      <c r="O80" t="s">
        <v>84</v>
      </c>
      <c r="P80" t="s">
        <v>100</v>
      </c>
      <c r="Q80" t="s">
        <v>417</v>
      </c>
      <c r="R80" t="s">
        <v>418</v>
      </c>
      <c r="S80" t="s">
        <v>224</v>
      </c>
      <c r="T80" t="s">
        <v>225</v>
      </c>
      <c r="U80" t="s">
        <v>93</v>
      </c>
      <c r="V80" t="s">
        <v>22</v>
      </c>
      <c r="X80" t="s">
        <v>192</v>
      </c>
      <c r="Y80" t="s">
        <v>132</v>
      </c>
      <c r="Z80" t="s">
        <v>193</v>
      </c>
      <c r="AA80" t="b">
        <v>0</v>
      </c>
      <c r="AB80" t="b">
        <v>0</v>
      </c>
      <c r="AD80">
        <v>199</v>
      </c>
      <c r="AE80" t="s">
        <v>134</v>
      </c>
      <c r="AH80" t="s">
        <v>345</v>
      </c>
      <c r="AI80" t="s">
        <v>585</v>
      </c>
      <c r="AJ80" t="s">
        <v>100</v>
      </c>
      <c r="AK80" t="s">
        <v>594</v>
      </c>
      <c r="AL80" t="s">
        <v>100</v>
      </c>
      <c r="AM80" t="s">
        <v>100</v>
      </c>
      <c r="AN80" t="s">
        <v>124</v>
      </c>
      <c r="AO80">
        <v>1002</v>
      </c>
      <c r="AP80" t="s">
        <v>595</v>
      </c>
      <c r="AQ80" t="s">
        <v>104</v>
      </c>
      <c r="AR80" t="s">
        <v>197</v>
      </c>
      <c r="AS80" t="s">
        <v>206</v>
      </c>
      <c r="AT80" t="s">
        <v>580</v>
      </c>
      <c r="AU80" t="s">
        <v>580</v>
      </c>
      <c r="AX80" t="s">
        <v>581</v>
      </c>
      <c r="AY80" t="s">
        <v>582</v>
      </c>
      <c r="AZ80" t="s">
        <v>104</v>
      </c>
      <c r="BA80" t="s">
        <v>197</v>
      </c>
      <c r="BB80" t="s">
        <v>206</v>
      </c>
      <c r="BC80" t="s">
        <v>580</v>
      </c>
      <c r="BD80" t="s">
        <v>580</v>
      </c>
      <c r="BF80" t="s">
        <v>380</v>
      </c>
      <c r="BG80">
        <v>2381</v>
      </c>
      <c r="BH80" t="s">
        <v>583</v>
      </c>
      <c r="BO80">
        <v>1</v>
      </c>
      <c r="BR80" t="s">
        <v>104</v>
      </c>
      <c r="BS80" t="s">
        <v>205</v>
      </c>
      <c r="BT80" t="s">
        <v>206</v>
      </c>
      <c r="BU80" t="s">
        <v>580</v>
      </c>
      <c r="BV80" t="s">
        <v>580</v>
      </c>
      <c r="BW80" t="s">
        <v>209</v>
      </c>
    </row>
    <row r="81" spans="1:75" s="7" customFormat="1" x14ac:dyDescent="0.35">
      <c r="A81" s="7" t="s">
        <v>596</v>
      </c>
      <c r="B81" s="8">
        <v>46008</v>
      </c>
      <c r="C81" s="9">
        <v>0.72837962962962965</v>
      </c>
      <c r="D81" s="7" t="s">
        <v>597</v>
      </c>
      <c r="E81" s="7" t="s">
        <v>598</v>
      </c>
      <c r="F81" s="11" t="s">
        <v>346</v>
      </c>
      <c r="G81" s="7">
        <f>COUNTIF($F$2:$F$278,F81)</f>
        <v>69</v>
      </c>
      <c r="H81" s="7" t="s">
        <v>347</v>
      </c>
      <c r="I81" s="7" t="s">
        <v>187</v>
      </c>
      <c r="J81" s="7" t="s">
        <v>83</v>
      </c>
      <c r="K81" s="7" t="s">
        <v>84</v>
      </c>
      <c r="M81" s="7" t="s">
        <v>85</v>
      </c>
      <c r="N81" s="7" t="s">
        <v>86</v>
      </c>
      <c r="O81" s="7" t="s">
        <v>84</v>
      </c>
      <c r="P81" s="7" t="s">
        <v>88</v>
      </c>
      <c r="Q81" s="7" t="s">
        <v>417</v>
      </c>
      <c r="R81" s="7" t="s">
        <v>418</v>
      </c>
      <c r="S81" s="7" t="s">
        <v>224</v>
      </c>
      <c r="T81" s="7" t="s">
        <v>225</v>
      </c>
      <c r="U81" s="7" t="s">
        <v>93</v>
      </c>
      <c r="V81" s="7" t="s">
        <v>22</v>
      </c>
      <c r="W81" s="7" t="s">
        <v>599</v>
      </c>
      <c r="X81" s="7" t="s">
        <v>131</v>
      </c>
      <c r="Y81" s="7" t="s">
        <v>132</v>
      </c>
      <c r="Z81" s="7" t="s">
        <v>419</v>
      </c>
      <c r="AA81" s="7" t="b">
        <v>0</v>
      </c>
      <c r="AB81" s="7" t="b">
        <v>0</v>
      </c>
      <c r="AC81" s="7" t="s">
        <v>525</v>
      </c>
      <c r="AD81" s="7">
        <v>121</v>
      </c>
      <c r="AE81" s="7" t="s">
        <v>153</v>
      </c>
      <c r="AI81" s="7" t="s">
        <v>600</v>
      </c>
      <c r="AJ81" s="7" t="s">
        <v>100</v>
      </c>
      <c r="AK81" s="7" t="s">
        <v>601</v>
      </c>
      <c r="AL81" s="7" t="s">
        <v>100</v>
      </c>
      <c r="AM81" s="7" t="s">
        <v>100</v>
      </c>
      <c r="AN81" s="7" t="s">
        <v>102</v>
      </c>
      <c r="AP81" s="7" t="s">
        <v>602</v>
      </c>
      <c r="AQ81" s="7" t="s">
        <v>104</v>
      </c>
      <c r="AR81" s="7" t="s">
        <v>197</v>
      </c>
      <c r="AS81" s="7" t="s">
        <v>356</v>
      </c>
      <c r="AT81" s="7" t="s">
        <v>199</v>
      </c>
      <c r="AU81" s="7" t="s">
        <v>199</v>
      </c>
      <c r="AX81" s="7" t="s">
        <v>200</v>
      </c>
      <c r="AY81" s="7" t="s">
        <v>357</v>
      </c>
      <c r="AZ81" s="7" t="s">
        <v>104</v>
      </c>
      <c r="BA81" s="7" t="s">
        <v>197</v>
      </c>
      <c r="BB81" s="7" t="s">
        <v>356</v>
      </c>
      <c r="BC81" s="7" t="s">
        <v>199</v>
      </c>
      <c r="BD81" s="7" t="s">
        <v>199</v>
      </c>
      <c r="BF81" s="7" t="s">
        <v>203</v>
      </c>
      <c r="BG81" s="7">
        <v>20115</v>
      </c>
      <c r="BH81" s="7" t="s">
        <v>358</v>
      </c>
      <c r="BO81" s="7">
        <v>9</v>
      </c>
      <c r="BR81" s="7" t="s">
        <v>104</v>
      </c>
      <c r="BS81" s="7" t="s">
        <v>205</v>
      </c>
      <c r="BT81" s="7" t="s">
        <v>356</v>
      </c>
      <c r="BU81" s="7" t="s">
        <v>207</v>
      </c>
      <c r="BV81" s="7" t="s">
        <v>208</v>
      </c>
      <c r="BW81" s="7" t="s">
        <v>209</v>
      </c>
    </row>
    <row r="82" spans="1:75" s="7" customFormat="1" x14ac:dyDescent="0.35">
      <c r="A82" s="7" t="s">
        <v>603</v>
      </c>
      <c r="B82" s="8">
        <v>46008</v>
      </c>
      <c r="C82" s="9">
        <v>0.72835648148148147</v>
      </c>
      <c r="D82" s="7" t="s">
        <v>597</v>
      </c>
      <c r="E82" s="7" t="s">
        <v>598</v>
      </c>
      <c r="F82" s="11" t="s">
        <v>346</v>
      </c>
      <c r="G82" s="7">
        <f>COUNTIF($F$2:$F$278,F82)</f>
        <v>69</v>
      </c>
      <c r="H82" s="7" t="s">
        <v>347</v>
      </c>
      <c r="I82" s="7" t="s">
        <v>187</v>
      </c>
      <c r="J82" s="7" t="s">
        <v>83</v>
      </c>
      <c r="K82" s="7" t="s">
        <v>84</v>
      </c>
      <c r="M82" s="7" t="s">
        <v>85</v>
      </c>
      <c r="N82" s="7" t="s">
        <v>86</v>
      </c>
      <c r="O82" s="7" t="s">
        <v>84</v>
      </c>
      <c r="P82" s="7" t="s">
        <v>88</v>
      </c>
      <c r="Q82" s="7" t="s">
        <v>604</v>
      </c>
      <c r="R82" s="7" t="s">
        <v>605</v>
      </c>
      <c r="S82" s="7" t="s">
        <v>606</v>
      </c>
      <c r="T82" s="7" t="s">
        <v>607</v>
      </c>
      <c r="U82" s="7" t="s">
        <v>93</v>
      </c>
      <c r="V82" s="7" t="s">
        <v>22</v>
      </c>
      <c r="W82" s="7" t="s">
        <v>599</v>
      </c>
      <c r="X82" s="7" t="s">
        <v>131</v>
      </c>
      <c r="Y82" s="7" t="s">
        <v>132</v>
      </c>
      <c r="Z82" s="7" t="s">
        <v>419</v>
      </c>
      <c r="AA82" s="7" t="b">
        <v>0</v>
      </c>
      <c r="AB82" s="7" t="b">
        <v>0</v>
      </c>
      <c r="AC82" s="7" t="s">
        <v>525</v>
      </c>
      <c r="AD82" s="7">
        <v>74</v>
      </c>
      <c r="AE82" s="7" t="s">
        <v>153</v>
      </c>
      <c r="AI82" s="7" t="s">
        <v>600</v>
      </c>
      <c r="AJ82" s="7" t="s">
        <v>100</v>
      </c>
      <c r="AK82" s="7" t="s">
        <v>608</v>
      </c>
      <c r="AL82" s="7" t="s">
        <v>100</v>
      </c>
      <c r="AM82" s="7" t="s">
        <v>100</v>
      </c>
      <c r="AN82" s="7" t="s">
        <v>102</v>
      </c>
      <c r="AP82" s="7" t="s">
        <v>609</v>
      </c>
      <c r="AQ82" s="7" t="s">
        <v>104</v>
      </c>
      <c r="AR82" s="7" t="s">
        <v>197</v>
      </c>
      <c r="AS82" s="7" t="s">
        <v>356</v>
      </c>
      <c r="AT82" s="7" t="s">
        <v>199</v>
      </c>
      <c r="AU82" s="7" t="s">
        <v>199</v>
      </c>
      <c r="AX82" s="7" t="s">
        <v>200</v>
      </c>
      <c r="AY82" s="7" t="s">
        <v>357</v>
      </c>
      <c r="AZ82" s="7" t="s">
        <v>104</v>
      </c>
      <c r="BA82" s="7" t="s">
        <v>197</v>
      </c>
      <c r="BB82" s="7" t="s">
        <v>356</v>
      </c>
      <c r="BC82" s="7" t="s">
        <v>199</v>
      </c>
      <c r="BD82" s="7" t="s">
        <v>199</v>
      </c>
      <c r="BF82" s="7" t="s">
        <v>203</v>
      </c>
      <c r="BG82" s="7">
        <v>20115</v>
      </c>
      <c r="BH82" s="7" t="s">
        <v>358</v>
      </c>
      <c r="BO82" s="7">
        <v>9</v>
      </c>
      <c r="BR82" s="7" t="s">
        <v>104</v>
      </c>
      <c r="BS82" s="7" t="s">
        <v>205</v>
      </c>
      <c r="BT82" s="7" t="s">
        <v>356</v>
      </c>
      <c r="BU82" s="7" t="s">
        <v>207</v>
      </c>
      <c r="BV82" s="7" t="s">
        <v>208</v>
      </c>
      <c r="BW82" s="7" t="s">
        <v>209</v>
      </c>
    </row>
    <row r="83" spans="1:75" s="7" customFormat="1" x14ac:dyDescent="0.35">
      <c r="A83" s="7" t="s">
        <v>610</v>
      </c>
      <c r="B83" s="8">
        <v>46008</v>
      </c>
      <c r="C83" s="9">
        <v>0.72827546296296297</v>
      </c>
      <c r="D83" s="7" t="s">
        <v>597</v>
      </c>
      <c r="E83" s="7" t="s">
        <v>598</v>
      </c>
      <c r="F83" s="11" t="s">
        <v>346</v>
      </c>
      <c r="G83" s="7">
        <f>COUNTIF($F$2:$F$278,F83)</f>
        <v>69</v>
      </c>
      <c r="H83" s="7" t="s">
        <v>347</v>
      </c>
      <c r="I83" s="7" t="s">
        <v>187</v>
      </c>
      <c r="J83" s="7" t="s">
        <v>83</v>
      </c>
      <c r="K83" s="7" t="s">
        <v>84</v>
      </c>
      <c r="M83" s="7" t="s">
        <v>85</v>
      </c>
      <c r="N83" s="7" t="s">
        <v>86</v>
      </c>
      <c r="O83" s="7" t="s">
        <v>84</v>
      </c>
      <c r="P83" s="7" t="s">
        <v>88</v>
      </c>
      <c r="Q83" s="7" t="s">
        <v>150</v>
      </c>
      <c r="R83" s="7" t="s">
        <v>151</v>
      </c>
      <c r="S83" s="7" t="s">
        <v>150</v>
      </c>
      <c r="T83" s="7" t="s">
        <v>151</v>
      </c>
      <c r="U83" s="7" t="s">
        <v>93</v>
      </c>
      <c r="V83" s="7" t="s">
        <v>22</v>
      </c>
      <c r="W83" s="7" t="s">
        <v>599</v>
      </c>
      <c r="X83" s="7" t="s">
        <v>131</v>
      </c>
      <c r="Y83" s="7" t="s">
        <v>132</v>
      </c>
      <c r="Z83" s="7" t="s">
        <v>304</v>
      </c>
      <c r="AA83" s="7" t="b">
        <v>0</v>
      </c>
      <c r="AB83" s="7" t="b">
        <v>0</v>
      </c>
      <c r="AC83" s="7" t="s">
        <v>525</v>
      </c>
      <c r="AD83" s="7">
        <v>123</v>
      </c>
      <c r="AE83" s="7" t="s">
        <v>153</v>
      </c>
      <c r="AI83" s="7" t="s">
        <v>600</v>
      </c>
      <c r="AJ83" s="7" t="s">
        <v>100</v>
      </c>
      <c r="AK83" s="7" t="s">
        <v>611</v>
      </c>
      <c r="AL83" s="7" t="s">
        <v>100</v>
      </c>
      <c r="AM83" s="7" t="s">
        <v>100</v>
      </c>
      <c r="AN83" s="7" t="s">
        <v>102</v>
      </c>
      <c r="AP83" s="7" t="s">
        <v>612</v>
      </c>
      <c r="AQ83" s="7" t="s">
        <v>104</v>
      </c>
      <c r="AR83" s="7" t="s">
        <v>197</v>
      </c>
      <c r="AS83" s="7" t="s">
        <v>356</v>
      </c>
      <c r="AT83" s="7" t="s">
        <v>199</v>
      </c>
      <c r="AU83" s="7" t="s">
        <v>199</v>
      </c>
      <c r="AX83" s="7" t="s">
        <v>200</v>
      </c>
      <c r="AY83" s="7" t="s">
        <v>357</v>
      </c>
      <c r="AZ83" s="7" t="s">
        <v>104</v>
      </c>
      <c r="BA83" s="7" t="s">
        <v>197</v>
      </c>
      <c r="BB83" s="7" t="s">
        <v>356</v>
      </c>
      <c r="BC83" s="7" t="s">
        <v>199</v>
      </c>
      <c r="BD83" s="7" t="s">
        <v>199</v>
      </c>
      <c r="BF83" s="7" t="s">
        <v>203</v>
      </c>
      <c r="BG83" s="7">
        <v>20115</v>
      </c>
      <c r="BH83" s="7" t="s">
        <v>358</v>
      </c>
      <c r="BO83" s="7">
        <v>9</v>
      </c>
      <c r="BR83" s="7" t="s">
        <v>104</v>
      </c>
      <c r="BS83" s="7" t="s">
        <v>205</v>
      </c>
      <c r="BT83" s="7" t="s">
        <v>356</v>
      </c>
      <c r="BU83" s="7" t="s">
        <v>207</v>
      </c>
      <c r="BV83" s="7" t="s">
        <v>208</v>
      </c>
      <c r="BW83" s="7" t="s">
        <v>209</v>
      </c>
    </row>
    <row r="84" spans="1:75" s="7" customFormat="1" x14ac:dyDescent="0.35">
      <c r="A84" s="7" t="s">
        <v>613</v>
      </c>
      <c r="B84" s="8">
        <v>46008</v>
      </c>
      <c r="C84" s="9">
        <v>0.72385416666666658</v>
      </c>
      <c r="D84" s="7" t="s">
        <v>597</v>
      </c>
      <c r="E84" s="7" t="s">
        <v>598</v>
      </c>
      <c r="F84" s="11" t="s">
        <v>346</v>
      </c>
      <c r="G84" s="7">
        <f>COUNTIF($F$2:$F$278,F84)</f>
        <v>69</v>
      </c>
      <c r="H84" s="7" t="s">
        <v>347</v>
      </c>
      <c r="I84" s="7" t="s">
        <v>187</v>
      </c>
      <c r="J84" s="7" t="s">
        <v>83</v>
      </c>
      <c r="K84" s="7" t="s">
        <v>84</v>
      </c>
      <c r="M84" s="7" t="s">
        <v>85</v>
      </c>
      <c r="N84" s="7" t="s">
        <v>86</v>
      </c>
      <c r="O84" s="7" t="s">
        <v>87</v>
      </c>
      <c r="P84" s="7" t="s">
        <v>100</v>
      </c>
      <c r="Q84" s="7" t="s">
        <v>169</v>
      </c>
      <c r="R84" s="7" t="s">
        <v>170</v>
      </c>
      <c r="T84" s="7" t="s">
        <v>171</v>
      </c>
      <c r="U84" s="7" t="s">
        <v>93</v>
      </c>
      <c r="V84" s="7" t="s">
        <v>94</v>
      </c>
      <c r="X84" s="7" t="s">
        <v>614</v>
      </c>
      <c r="Y84" s="7" t="s">
        <v>615</v>
      </c>
      <c r="Z84" s="7" t="s">
        <v>616</v>
      </c>
      <c r="AA84" s="7" t="b">
        <v>0</v>
      </c>
      <c r="AB84" s="7" t="b">
        <v>0</v>
      </c>
      <c r="AD84" s="7">
        <v>95</v>
      </c>
      <c r="AE84" s="7" t="s">
        <v>352</v>
      </c>
      <c r="AF84" s="7" t="s">
        <v>146</v>
      </c>
      <c r="AH84" s="7" t="s">
        <v>598</v>
      </c>
      <c r="AI84" s="7" t="s">
        <v>617</v>
      </c>
      <c r="AJ84" s="7" t="s">
        <v>100</v>
      </c>
      <c r="AK84" s="7" t="s">
        <v>618</v>
      </c>
      <c r="AL84" s="7" t="s">
        <v>100</v>
      </c>
      <c r="AM84" s="7" t="s">
        <v>100</v>
      </c>
      <c r="AN84" s="7" t="s">
        <v>124</v>
      </c>
      <c r="AO84" s="7">
        <v>1002</v>
      </c>
      <c r="AP84" s="7" t="s">
        <v>619</v>
      </c>
      <c r="AQ84" s="7" t="s">
        <v>104</v>
      </c>
      <c r="AR84" s="7" t="s">
        <v>197</v>
      </c>
      <c r="AS84" s="7" t="s">
        <v>356</v>
      </c>
      <c r="AT84" s="7" t="s">
        <v>199</v>
      </c>
      <c r="AU84" s="7" t="s">
        <v>199</v>
      </c>
      <c r="AX84" s="7" t="s">
        <v>200</v>
      </c>
      <c r="AY84" s="7" t="s">
        <v>357</v>
      </c>
      <c r="AZ84" s="7" t="s">
        <v>104</v>
      </c>
      <c r="BA84" s="7" t="s">
        <v>197</v>
      </c>
      <c r="BB84" s="7" t="s">
        <v>356</v>
      </c>
      <c r="BC84" s="7" t="s">
        <v>199</v>
      </c>
      <c r="BD84" s="7" t="s">
        <v>199</v>
      </c>
      <c r="BF84" s="7" t="s">
        <v>203</v>
      </c>
      <c r="BG84" s="7">
        <v>20115</v>
      </c>
      <c r="BH84" s="7" t="s">
        <v>358</v>
      </c>
      <c r="BO84" s="7">
        <v>9</v>
      </c>
      <c r="BR84" s="7" t="s">
        <v>104</v>
      </c>
      <c r="BS84" s="7" t="s">
        <v>205</v>
      </c>
      <c r="BT84" s="7" t="s">
        <v>356</v>
      </c>
      <c r="BU84" s="7" t="s">
        <v>207</v>
      </c>
      <c r="BV84" s="7" t="s">
        <v>208</v>
      </c>
      <c r="BW84" s="7" t="s">
        <v>209</v>
      </c>
    </row>
    <row r="85" spans="1:75" s="7" customFormat="1" x14ac:dyDescent="0.35">
      <c r="A85" s="7" t="s">
        <v>620</v>
      </c>
      <c r="B85" s="8">
        <v>46008</v>
      </c>
      <c r="C85" s="9">
        <v>0.72261574074074064</v>
      </c>
      <c r="D85" s="7" t="s">
        <v>597</v>
      </c>
      <c r="E85" s="7" t="s">
        <v>598</v>
      </c>
      <c r="F85" s="11" t="s">
        <v>346</v>
      </c>
      <c r="G85" s="7">
        <f>COUNTIF($F$2:$F$278,F85)</f>
        <v>69</v>
      </c>
      <c r="H85" s="7" t="s">
        <v>347</v>
      </c>
      <c r="I85" s="7" t="s">
        <v>187</v>
      </c>
      <c r="J85" s="7" t="s">
        <v>83</v>
      </c>
      <c r="K85" s="7" t="s">
        <v>119</v>
      </c>
      <c r="L85" s="7">
        <v>500121</v>
      </c>
      <c r="M85" s="7" t="s">
        <v>85</v>
      </c>
      <c r="N85" s="7" t="s">
        <v>86</v>
      </c>
      <c r="O85" s="7" t="s">
        <v>87</v>
      </c>
      <c r="P85" s="7" t="s">
        <v>100</v>
      </c>
      <c r="Q85" s="7" t="s">
        <v>169</v>
      </c>
      <c r="R85" s="7" t="s">
        <v>170</v>
      </c>
      <c r="T85" s="7" t="s">
        <v>171</v>
      </c>
      <c r="U85" s="7" t="s">
        <v>621</v>
      </c>
      <c r="V85" s="7" t="s">
        <v>94</v>
      </c>
      <c r="X85" s="7" t="s">
        <v>614</v>
      </c>
      <c r="Y85" s="7" t="s">
        <v>615</v>
      </c>
      <c r="Z85" s="7" t="s">
        <v>616</v>
      </c>
      <c r="AA85" s="7" t="b">
        <v>0</v>
      </c>
      <c r="AB85" s="7" t="b">
        <v>0</v>
      </c>
      <c r="AD85" s="7">
        <v>144</v>
      </c>
      <c r="AE85" s="7" t="s">
        <v>622</v>
      </c>
      <c r="AF85" s="7" t="s">
        <v>146</v>
      </c>
      <c r="AH85" s="7" t="s">
        <v>598</v>
      </c>
      <c r="AI85" s="7" t="s">
        <v>623</v>
      </c>
      <c r="AJ85" s="7" t="s">
        <v>100</v>
      </c>
      <c r="AK85" s="7" t="s">
        <v>624</v>
      </c>
      <c r="AL85" s="7" t="s">
        <v>100</v>
      </c>
      <c r="AM85" s="7" t="s">
        <v>100</v>
      </c>
      <c r="AN85" s="7" t="s">
        <v>124</v>
      </c>
      <c r="AO85" s="7">
        <v>1002</v>
      </c>
      <c r="AP85" s="7" t="s">
        <v>625</v>
      </c>
      <c r="AQ85" s="7" t="s">
        <v>104</v>
      </c>
      <c r="AR85" s="7" t="s">
        <v>197</v>
      </c>
      <c r="AS85" s="7" t="s">
        <v>356</v>
      </c>
      <c r="AT85" s="7" t="s">
        <v>199</v>
      </c>
      <c r="AU85" s="7" t="s">
        <v>199</v>
      </c>
      <c r="AX85" s="7" t="s">
        <v>200</v>
      </c>
      <c r="AY85" s="7" t="s">
        <v>357</v>
      </c>
      <c r="AZ85" s="7" t="s">
        <v>104</v>
      </c>
      <c r="BA85" s="7" t="s">
        <v>197</v>
      </c>
      <c r="BB85" s="7" t="s">
        <v>356</v>
      </c>
      <c r="BC85" s="7" t="s">
        <v>199</v>
      </c>
      <c r="BD85" s="7" t="s">
        <v>199</v>
      </c>
      <c r="BF85" s="7" t="s">
        <v>203</v>
      </c>
      <c r="BG85" s="7">
        <v>20115</v>
      </c>
      <c r="BH85" s="7" t="s">
        <v>358</v>
      </c>
      <c r="BO85" s="7">
        <v>9</v>
      </c>
      <c r="BR85" s="7" t="s">
        <v>104</v>
      </c>
      <c r="BS85" s="7" t="s">
        <v>205</v>
      </c>
      <c r="BT85" s="7" t="s">
        <v>356</v>
      </c>
      <c r="BU85" s="7" t="s">
        <v>207</v>
      </c>
      <c r="BV85" s="7" t="s">
        <v>208</v>
      </c>
      <c r="BW85" s="7" t="s">
        <v>209</v>
      </c>
    </row>
    <row r="86" spans="1:75" s="7" customFormat="1" x14ac:dyDescent="0.35">
      <c r="A86" s="7" t="s">
        <v>626</v>
      </c>
      <c r="B86" s="8">
        <v>46008</v>
      </c>
      <c r="C86" s="9">
        <v>0.7215625</v>
      </c>
      <c r="D86" s="7" t="s">
        <v>183</v>
      </c>
      <c r="E86" s="7" t="s">
        <v>184</v>
      </c>
      <c r="F86" s="11" t="s">
        <v>290</v>
      </c>
      <c r="G86" s="7">
        <f>COUNTIF($F$2:$F$278,F86)</f>
        <v>35</v>
      </c>
      <c r="H86" s="7" t="s">
        <v>291</v>
      </c>
      <c r="I86" s="7" t="s">
        <v>292</v>
      </c>
      <c r="J86" s="7" t="s">
        <v>83</v>
      </c>
      <c r="K86" s="7" t="s">
        <v>84</v>
      </c>
      <c r="M86" s="7" t="s">
        <v>85</v>
      </c>
      <c r="N86" s="7" t="s">
        <v>86</v>
      </c>
      <c r="O86" s="7" t="s">
        <v>84</v>
      </c>
      <c r="P86" s="7" t="s">
        <v>100</v>
      </c>
      <c r="Q86" s="7" t="s">
        <v>188</v>
      </c>
      <c r="R86" s="7" t="s">
        <v>189</v>
      </c>
      <c r="S86" s="7" t="s">
        <v>190</v>
      </c>
      <c r="T86" s="7" t="s">
        <v>191</v>
      </c>
      <c r="U86" s="7" t="s">
        <v>93</v>
      </c>
      <c r="V86" s="7" t="s">
        <v>22</v>
      </c>
      <c r="X86" s="7" t="s">
        <v>131</v>
      </c>
      <c r="Y86" s="7" t="s">
        <v>132</v>
      </c>
      <c r="Z86" s="7" t="s">
        <v>304</v>
      </c>
      <c r="AA86" s="7" t="b">
        <v>0</v>
      </c>
      <c r="AB86" s="7" t="b">
        <v>0</v>
      </c>
      <c r="AD86" s="7">
        <v>293</v>
      </c>
      <c r="AE86" s="7" t="s">
        <v>134</v>
      </c>
      <c r="AI86" s="7" t="s">
        <v>627</v>
      </c>
      <c r="AJ86" s="7" t="s">
        <v>100</v>
      </c>
      <c r="AK86" s="7" t="s">
        <v>628</v>
      </c>
      <c r="AL86" s="7" t="s">
        <v>100</v>
      </c>
      <c r="AM86" s="7" t="s">
        <v>100</v>
      </c>
      <c r="AN86" s="7" t="s">
        <v>124</v>
      </c>
      <c r="AO86" s="7">
        <v>1002</v>
      </c>
      <c r="AP86" s="7" t="s">
        <v>629</v>
      </c>
      <c r="AQ86" s="7" t="s">
        <v>104</v>
      </c>
      <c r="AR86" s="7" t="s">
        <v>296</v>
      </c>
      <c r="AS86" s="7" t="s">
        <v>297</v>
      </c>
      <c r="AT86" s="7" t="s">
        <v>248</v>
      </c>
      <c r="AU86" s="7" t="s">
        <v>248</v>
      </c>
      <c r="AX86" s="7" t="s">
        <v>249</v>
      </c>
      <c r="AY86" s="7" t="s">
        <v>298</v>
      </c>
      <c r="AZ86" s="7" t="s">
        <v>104</v>
      </c>
      <c r="BA86" s="7" t="s">
        <v>296</v>
      </c>
      <c r="BB86" s="7" t="s">
        <v>297</v>
      </c>
      <c r="BC86" s="7" t="s">
        <v>251</v>
      </c>
      <c r="BD86" s="7" t="s">
        <v>251</v>
      </c>
      <c r="BF86" s="7" t="s">
        <v>252</v>
      </c>
      <c r="BG86" s="7">
        <v>7018</v>
      </c>
      <c r="BH86" s="7" t="s">
        <v>253</v>
      </c>
      <c r="BO86" s="7">
        <v>5</v>
      </c>
      <c r="BR86" s="7" t="s">
        <v>104</v>
      </c>
      <c r="BS86" s="7" t="s">
        <v>299</v>
      </c>
      <c r="BT86" s="7" t="s">
        <v>300</v>
      </c>
      <c r="BU86" s="7" t="s">
        <v>251</v>
      </c>
      <c r="BV86" s="7" t="s">
        <v>301</v>
      </c>
      <c r="BW86" s="7" t="s">
        <v>209</v>
      </c>
    </row>
    <row r="87" spans="1:75" s="7" customFormat="1" x14ac:dyDescent="0.35">
      <c r="A87" s="7" t="s">
        <v>630</v>
      </c>
      <c r="B87" s="8">
        <v>46008</v>
      </c>
      <c r="C87" s="9">
        <v>0.72155092592592596</v>
      </c>
      <c r="D87" s="7" t="s">
        <v>183</v>
      </c>
      <c r="E87" s="7" t="s">
        <v>184</v>
      </c>
      <c r="F87" s="11" t="s">
        <v>290</v>
      </c>
      <c r="G87" s="7">
        <f>COUNTIF($F$2:$F$278,F87)</f>
        <v>35</v>
      </c>
      <c r="H87" s="7" t="s">
        <v>291</v>
      </c>
      <c r="I87" s="7" t="s">
        <v>292</v>
      </c>
      <c r="J87" s="7" t="s">
        <v>83</v>
      </c>
      <c r="K87" s="7" t="s">
        <v>119</v>
      </c>
      <c r="L87" s="7">
        <v>50207</v>
      </c>
      <c r="M87" s="7" t="s">
        <v>85</v>
      </c>
      <c r="N87" s="7" t="s">
        <v>120</v>
      </c>
      <c r="O87" s="7" t="s">
        <v>87</v>
      </c>
      <c r="P87" s="7" t="s">
        <v>100</v>
      </c>
      <c r="Q87" s="7" t="s">
        <v>188</v>
      </c>
      <c r="R87" s="7" t="s">
        <v>189</v>
      </c>
      <c r="S87" s="7" t="s">
        <v>190</v>
      </c>
      <c r="T87" s="7" t="s">
        <v>191</v>
      </c>
      <c r="U87" s="7" t="s">
        <v>322</v>
      </c>
      <c r="V87" s="7" t="s">
        <v>22</v>
      </c>
      <c r="X87" s="7" t="s">
        <v>131</v>
      </c>
      <c r="Y87" s="7" t="s">
        <v>132</v>
      </c>
      <c r="Z87" s="7" t="s">
        <v>304</v>
      </c>
      <c r="AA87" s="7" t="b">
        <v>0</v>
      </c>
      <c r="AB87" s="7" t="b">
        <v>0</v>
      </c>
      <c r="AD87" s="7">
        <v>227</v>
      </c>
      <c r="AE87" s="7" t="s">
        <v>153</v>
      </c>
      <c r="AI87" s="7" t="s">
        <v>627</v>
      </c>
      <c r="AJ87" s="7" t="s">
        <v>100</v>
      </c>
      <c r="AK87" s="7" t="s">
        <v>631</v>
      </c>
      <c r="AL87" s="7" t="s">
        <v>100</v>
      </c>
      <c r="AM87" s="7" t="s">
        <v>100</v>
      </c>
      <c r="AN87" s="7" t="s">
        <v>124</v>
      </c>
      <c r="AP87" s="7" t="s">
        <v>629</v>
      </c>
      <c r="AQ87" s="7" t="s">
        <v>104</v>
      </c>
      <c r="AR87" s="7" t="s">
        <v>296</v>
      </c>
      <c r="AS87" s="7" t="s">
        <v>297</v>
      </c>
      <c r="AT87" s="7" t="s">
        <v>248</v>
      </c>
      <c r="AU87" s="7" t="s">
        <v>248</v>
      </c>
      <c r="AX87" s="7" t="s">
        <v>249</v>
      </c>
      <c r="AY87" s="7" t="s">
        <v>298</v>
      </c>
      <c r="AZ87" s="7" t="s">
        <v>104</v>
      </c>
      <c r="BA87" s="7" t="s">
        <v>296</v>
      </c>
      <c r="BB87" s="7" t="s">
        <v>297</v>
      </c>
      <c r="BC87" s="7" t="s">
        <v>251</v>
      </c>
      <c r="BD87" s="7" t="s">
        <v>251</v>
      </c>
      <c r="BF87" s="7" t="s">
        <v>252</v>
      </c>
      <c r="BG87" s="7">
        <v>7018</v>
      </c>
      <c r="BH87" s="7" t="s">
        <v>253</v>
      </c>
      <c r="BO87" s="7">
        <v>5</v>
      </c>
      <c r="BR87" s="7" t="s">
        <v>104</v>
      </c>
      <c r="BS87" s="7" t="s">
        <v>299</v>
      </c>
      <c r="BT87" s="7" t="s">
        <v>300</v>
      </c>
      <c r="BU87" s="7" t="s">
        <v>251</v>
      </c>
      <c r="BV87" s="7" t="s">
        <v>301</v>
      </c>
      <c r="BW87" s="7" t="s">
        <v>209</v>
      </c>
    </row>
    <row r="88" spans="1:75" s="7" customFormat="1" x14ac:dyDescent="0.35">
      <c r="A88" s="7" t="s">
        <v>632</v>
      </c>
      <c r="B88" s="8">
        <v>46008</v>
      </c>
      <c r="C88" s="9">
        <v>0.71928240740740745</v>
      </c>
      <c r="D88" s="7" t="s">
        <v>597</v>
      </c>
      <c r="E88" s="7" t="s">
        <v>598</v>
      </c>
      <c r="F88" s="11" t="s">
        <v>346</v>
      </c>
      <c r="G88" s="7">
        <f>COUNTIF($F$2:$F$278,F88)</f>
        <v>69</v>
      </c>
      <c r="H88" s="7" t="s">
        <v>347</v>
      </c>
      <c r="I88" s="7" t="s">
        <v>187</v>
      </c>
      <c r="J88" s="7" t="s">
        <v>83</v>
      </c>
      <c r="K88" s="7" t="s">
        <v>84</v>
      </c>
      <c r="M88" s="7" t="s">
        <v>85</v>
      </c>
      <c r="N88" s="7" t="s">
        <v>86</v>
      </c>
      <c r="O88" s="7" t="s">
        <v>87</v>
      </c>
      <c r="P88" s="7" t="s">
        <v>88</v>
      </c>
      <c r="Q88" s="7" t="s">
        <v>169</v>
      </c>
      <c r="R88" s="7" t="s">
        <v>170</v>
      </c>
      <c r="T88" s="7" t="s">
        <v>171</v>
      </c>
      <c r="U88" s="7" t="s">
        <v>93</v>
      </c>
      <c r="V88" s="7" t="s">
        <v>94</v>
      </c>
      <c r="W88" s="7" t="s">
        <v>599</v>
      </c>
      <c r="X88" s="7" t="s">
        <v>575</v>
      </c>
      <c r="Y88" s="7" t="s">
        <v>132</v>
      </c>
      <c r="Z88" s="7" t="s">
        <v>576</v>
      </c>
      <c r="AA88" s="7" t="b">
        <v>0</v>
      </c>
      <c r="AB88" s="7" t="b">
        <v>0</v>
      </c>
      <c r="AC88" s="7" t="s">
        <v>525</v>
      </c>
      <c r="AD88" s="7">
        <v>89</v>
      </c>
      <c r="AE88" s="7" t="s">
        <v>153</v>
      </c>
      <c r="AI88" s="7" t="s">
        <v>600</v>
      </c>
      <c r="AJ88" s="7" t="s">
        <v>100</v>
      </c>
      <c r="AK88" s="7" t="s">
        <v>633</v>
      </c>
      <c r="AL88" s="7" t="s">
        <v>100</v>
      </c>
      <c r="AM88" s="7" t="s">
        <v>100</v>
      </c>
      <c r="AN88" s="7" t="s">
        <v>124</v>
      </c>
      <c r="AO88" s="7">
        <v>1005</v>
      </c>
      <c r="AP88" s="7" t="s">
        <v>634</v>
      </c>
      <c r="AQ88" s="7" t="s">
        <v>104</v>
      </c>
      <c r="AR88" s="7" t="s">
        <v>197</v>
      </c>
      <c r="AS88" s="7" t="s">
        <v>356</v>
      </c>
      <c r="AT88" s="7" t="s">
        <v>199</v>
      </c>
      <c r="AU88" s="7" t="s">
        <v>199</v>
      </c>
      <c r="AX88" s="7" t="s">
        <v>200</v>
      </c>
      <c r="AY88" s="7" t="s">
        <v>357</v>
      </c>
      <c r="AZ88" s="7" t="s">
        <v>104</v>
      </c>
      <c r="BA88" s="7" t="s">
        <v>197</v>
      </c>
      <c r="BB88" s="7" t="s">
        <v>356</v>
      </c>
      <c r="BC88" s="7" t="s">
        <v>199</v>
      </c>
      <c r="BD88" s="7" t="s">
        <v>199</v>
      </c>
      <c r="BF88" s="7" t="s">
        <v>203</v>
      </c>
      <c r="BG88" s="7">
        <v>20115</v>
      </c>
      <c r="BH88" s="7" t="s">
        <v>358</v>
      </c>
      <c r="BO88" s="7">
        <v>9</v>
      </c>
      <c r="BR88" s="7" t="s">
        <v>104</v>
      </c>
      <c r="BS88" s="7" t="s">
        <v>205</v>
      </c>
      <c r="BT88" s="7" t="s">
        <v>356</v>
      </c>
      <c r="BU88" s="7" t="s">
        <v>207</v>
      </c>
      <c r="BV88" s="7" t="s">
        <v>208</v>
      </c>
      <c r="BW88" s="7" t="s">
        <v>209</v>
      </c>
    </row>
    <row r="89" spans="1:75" s="7" customFormat="1" x14ac:dyDescent="0.35">
      <c r="A89" s="7" t="s">
        <v>635</v>
      </c>
      <c r="B89" s="8">
        <v>46008</v>
      </c>
      <c r="C89" s="9">
        <v>0.7192708333333333</v>
      </c>
      <c r="D89" s="7" t="s">
        <v>597</v>
      </c>
      <c r="E89" s="7" t="s">
        <v>598</v>
      </c>
      <c r="F89" s="11" t="s">
        <v>346</v>
      </c>
      <c r="G89" s="7">
        <f>COUNTIF($F$2:$F$278,F89)</f>
        <v>69</v>
      </c>
      <c r="H89" s="7" t="s">
        <v>347</v>
      </c>
      <c r="I89" s="7" t="s">
        <v>187</v>
      </c>
      <c r="J89" s="7" t="s">
        <v>83</v>
      </c>
      <c r="K89" s="7" t="s">
        <v>84</v>
      </c>
      <c r="M89" s="7" t="s">
        <v>85</v>
      </c>
      <c r="N89" s="7" t="s">
        <v>86</v>
      </c>
      <c r="O89" s="7" t="s">
        <v>84</v>
      </c>
      <c r="P89" s="7" t="s">
        <v>100</v>
      </c>
      <c r="Q89" s="7" t="s">
        <v>636</v>
      </c>
      <c r="R89" s="7" t="s">
        <v>637</v>
      </c>
      <c r="S89" s="7" t="s">
        <v>348</v>
      </c>
      <c r="T89" s="7" t="s">
        <v>349</v>
      </c>
      <c r="U89" s="7" t="s">
        <v>93</v>
      </c>
      <c r="V89" s="7" t="s">
        <v>94</v>
      </c>
      <c r="W89" s="7" t="s">
        <v>599</v>
      </c>
      <c r="X89" s="7" t="s">
        <v>575</v>
      </c>
      <c r="Y89" s="7" t="s">
        <v>132</v>
      </c>
      <c r="Z89" s="7" t="s">
        <v>576</v>
      </c>
      <c r="AA89" s="7" t="b">
        <v>0</v>
      </c>
      <c r="AB89" s="7" t="b">
        <v>0</v>
      </c>
      <c r="AC89" s="7" t="s">
        <v>525</v>
      </c>
      <c r="AD89" s="7">
        <v>118</v>
      </c>
      <c r="AE89" s="7" t="s">
        <v>352</v>
      </c>
      <c r="AF89" s="7" t="s">
        <v>146</v>
      </c>
      <c r="AH89" s="7" t="s">
        <v>598</v>
      </c>
      <c r="AI89" s="7" t="s">
        <v>600</v>
      </c>
      <c r="AJ89" s="7" t="s">
        <v>100</v>
      </c>
      <c r="AK89" s="7" t="s">
        <v>638</v>
      </c>
      <c r="AL89" s="7" t="s">
        <v>100</v>
      </c>
      <c r="AM89" s="7" t="s">
        <v>100</v>
      </c>
      <c r="AN89" s="7" t="s">
        <v>102</v>
      </c>
      <c r="AP89" s="7" t="s">
        <v>634</v>
      </c>
      <c r="AQ89" s="7" t="s">
        <v>104</v>
      </c>
      <c r="AR89" s="7" t="s">
        <v>197</v>
      </c>
      <c r="AS89" s="7" t="s">
        <v>356</v>
      </c>
      <c r="AT89" s="7" t="s">
        <v>199</v>
      </c>
      <c r="AU89" s="7" t="s">
        <v>199</v>
      </c>
      <c r="AX89" s="7" t="s">
        <v>200</v>
      </c>
      <c r="AY89" s="7" t="s">
        <v>357</v>
      </c>
      <c r="AZ89" s="7" t="s">
        <v>104</v>
      </c>
      <c r="BA89" s="7" t="s">
        <v>197</v>
      </c>
      <c r="BB89" s="7" t="s">
        <v>356</v>
      </c>
      <c r="BC89" s="7" t="s">
        <v>199</v>
      </c>
      <c r="BD89" s="7" t="s">
        <v>199</v>
      </c>
      <c r="BF89" s="7" t="s">
        <v>203</v>
      </c>
      <c r="BG89" s="7">
        <v>20115</v>
      </c>
      <c r="BH89" s="7" t="s">
        <v>358</v>
      </c>
      <c r="BO89" s="7">
        <v>9</v>
      </c>
      <c r="BR89" s="7" t="s">
        <v>104</v>
      </c>
      <c r="BS89" s="7" t="s">
        <v>205</v>
      </c>
      <c r="BT89" s="7" t="s">
        <v>356</v>
      </c>
      <c r="BU89" s="7" t="s">
        <v>207</v>
      </c>
      <c r="BV89" s="7" t="s">
        <v>208</v>
      </c>
      <c r="BW89" s="7" t="s">
        <v>209</v>
      </c>
    </row>
    <row r="90" spans="1:75" s="7" customFormat="1" x14ac:dyDescent="0.35">
      <c r="A90" s="7" t="s">
        <v>639</v>
      </c>
      <c r="B90" s="8">
        <v>46008</v>
      </c>
      <c r="C90" s="9">
        <v>0.71795138888888888</v>
      </c>
      <c r="D90" s="7" t="s">
        <v>597</v>
      </c>
      <c r="E90" s="7" t="s">
        <v>598</v>
      </c>
      <c r="F90" s="11" t="s">
        <v>346</v>
      </c>
      <c r="G90" s="7">
        <f>COUNTIF($F$2:$F$278,F90)</f>
        <v>69</v>
      </c>
      <c r="H90" s="7" t="s">
        <v>347</v>
      </c>
      <c r="I90" s="7" t="s">
        <v>187</v>
      </c>
      <c r="J90" s="7" t="s">
        <v>83</v>
      </c>
      <c r="K90" s="7" t="s">
        <v>143</v>
      </c>
      <c r="L90" s="7">
        <v>50072</v>
      </c>
      <c r="M90" s="7" t="s">
        <v>85</v>
      </c>
      <c r="N90" s="7" t="s">
        <v>86</v>
      </c>
      <c r="O90" s="7" t="s">
        <v>87</v>
      </c>
      <c r="P90" s="7" t="s">
        <v>100</v>
      </c>
      <c r="Q90" s="7" t="s">
        <v>169</v>
      </c>
      <c r="R90" s="7" t="s">
        <v>170</v>
      </c>
      <c r="T90" s="7" t="s">
        <v>171</v>
      </c>
      <c r="U90" s="7" t="s">
        <v>162</v>
      </c>
      <c r="V90" s="7" t="s">
        <v>94</v>
      </c>
      <c r="X90" s="7" t="s">
        <v>614</v>
      </c>
      <c r="Y90" s="7" t="s">
        <v>615</v>
      </c>
      <c r="Z90" s="7" t="s">
        <v>616</v>
      </c>
      <c r="AA90" s="7" t="b">
        <v>0</v>
      </c>
      <c r="AB90" s="7" t="b">
        <v>0</v>
      </c>
      <c r="AD90" s="7">
        <v>116</v>
      </c>
      <c r="AE90" s="7" t="s">
        <v>163</v>
      </c>
      <c r="AH90" s="7" t="s">
        <v>598</v>
      </c>
      <c r="AI90" s="7" t="s">
        <v>640</v>
      </c>
      <c r="AJ90" s="7" t="s">
        <v>100</v>
      </c>
      <c r="AK90" s="7" t="s">
        <v>641</v>
      </c>
      <c r="AL90" s="7" t="s">
        <v>100</v>
      </c>
      <c r="AM90" s="7" t="s">
        <v>100</v>
      </c>
      <c r="AN90" s="7" t="s">
        <v>124</v>
      </c>
      <c r="AO90" s="7">
        <v>1002</v>
      </c>
      <c r="AP90" s="7" t="s">
        <v>642</v>
      </c>
      <c r="AQ90" s="7" t="s">
        <v>104</v>
      </c>
      <c r="AR90" s="7" t="s">
        <v>197</v>
      </c>
      <c r="AS90" s="7" t="s">
        <v>356</v>
      </c>
      <c r="AT90" s="7" t="s">
        <v>199</v>
      </c>
      <c r="AU90" s="7" t="s">
        <v>199</v>
      </c>
      <c r="AX90" s="7" t="s">
        <v>200</v>
      </c>
      <c r="AY90" s="7" t="s">
        <v>357</v>
      </c>
      <c r="AZ90" s="7" t="s">
        <v>104</v>
      </c>
      <c r="BA90" s="7" t="s">
        <v>197</v>
      </c>
      <c r="BB90" s="7" t="s">
        <v>356</v>
      </c>
      <c r="BC90" s="7" t="s">
        <v>199</v>
      </c>
      <c r="BD90" s="7" t="s">
        <v>199</v>
      </c>
      <c r="BF90" s="7" t="s">
        <v>203</v>
      </c>
      <c r="BG90" s="7">
        <v>20115</v>
      </c>
      <c r="BH90" s="7" t="s">
        <v>358</v>
      </c>
      <c r="BO90" s="7">
        <v>9</v>
      </c>
      <c r="BR90" s="7" t="s">
        <v>104</v>
      </c>
      <c r="BS90" s="7" t="s">
        <v>205</v>
      </c>
      <c r="BT90" s="7" t="s">
        <v>356</v>
      </c>
      <c r="BU90" s="7" t="s">
        <v>207</v>
      </c>
      <c r="BV90" s="7" t="s">
        <v>208</v>
      </c>
      <c r="BW90" s="7" t="s">
        <v>209</v>
      </c>
    </row>
    <row r="91" spans="1:75" s="7" customFormat="1" x14ac:dyDescent="0.35">
      <c r="A91" s="7" t="s">
        <v>643</v>
      </c>
      <c r="B91" s="8">
        <v>46008</v>
      </c>
      <c r="C91" s="9">
        <v>0.71749999999999992</v>
      </c>
      <c r="D91" s="7" t="s">
        <v>183</v>
      </c>
      <c r="E91" s="7" t="s">
        <v>184</v>
      </c>
      <c r="F91" s="11" t="s">
        <v>290</v>
      </c>
      <c r="G91" s="7">
        <f>COUNTIF($F$2:$F$278,F91)</f>
        <v>35</v>
      </c>
      <c r="H91" s="7" t="s">
        <v>291</v>
      </c>
      <c r="I91" s="7" t="s">
        <v>292</v>
      </c>
      <c r="J91" s="7" t="s">
        <v>83</v>
      </c>
      <c r="K91" s="7" t="s">
        <v>84</v>
      </c>
      <c r="M91" s="7" t="s">
        <v>85</v>
      </c>
      <c r="N91" s="7" t="s">
        <v>86</v>
      </c>
      <c r="O91" s="7" t="s">
        <v>84</v>
      </c>
      <c r="P91" s="7" t="s">
        <v>100</v>
      </c>
      <c r="Q91" s="7" t="s">
        <v>312</v>
      </c>
      <c r="R91" s="7" t="s">
        <v>313</v>
      </c>
      <c r="S91" s="7" t="s">
        <v>314</v>
      </c>
      <c r="T91" s="7" t="s">
        <v>315</v>
      </c>
      <c r="U91" s="7" t="s">
        <v>93</v>
      </c>
      <c r="V91" s="7" t="s">
        <v>22</v>
      </c>
      <c r="X91" s="7" t="s">
        <v>131</v>
      </c>
      <c r="Y91" s="7" t="s">
        <v>132</v>
      </c>
      <c r="Z91" s="7" t="s">
        <v>304</v>
      </c>
      <c r="AA91" s="7" t="b">
        <v>0</v>
      </c>
      <c r="AB91" s="7" t="b">
        <v>0</v>
      </c>
      <c r="AD91" s="7">
        <v>64</v>
      </c>
      <c r="AE91" s="7" t="s">
        <v>153</v>
      </c>
      <c r="AI91" s="7" t="s">
        <v>627</v>
      </c>
      <c r="AJ91" s="7" t="s">
        <v>100</v>
      </c>
      <c r="AK91" s="7" t="s">
        <v>644</v>
      </c>
      <c r="AL91" s="7" t="s">
        <v>100</v>
      </c>
      <c r="AM91" s="7" t="s">
        <v>100</v>
      </c>
      <c r="AN91" s="7" t="s">
        <v>124</v>
      </c>
      <c r="AO91" s="7">
        <v>1002</v>
      </c>
      <c r="AP91" s="7" t="s">
        <v>645</v>
      </c>
      <c r="AQ91" s="7" t="s">
        <v>104</v>
      </c>
      <c r="AR91" s="7" t="s">
        <v>296</v>
      </c>
      <c r="AS91" s="7" t="s">
        <v>297</v>
      </c>
      <c r="AT91" s="7" t="s">
        <v>248</v>
      </c>
      <c r="AU91" s="7" t="s">
        <v>248</v>
      </c>
      <c r="AX91" s="7" t="s">
        <v>249</v>
      </c>
      <c r="AY91" s="7" t="s">
        <v>298</v>
      </c>
      <c r="AZ91" s="7" t="s">
        <v>104</v>
      </c>
      <c r="BA91" s="7" t="s">
        <v>296</v>
      </c>
      <c r="BB91" s="7" t="s">
        <v>297</v>
      </c>
      <c r="BC91" s="7" t="s">
        <v>251</v>
      </c>
      <c r="BD91" s="7" t="s">
        <v>251</v>
      </c>
      <c r="BF91" s="7" t="s">
        <v>252</v>
      </c>
      <c r="BG91" s="7">
        <v>7018</v>
      </c>
      <c r="BH91" s="7" t="s">
        <v>253</v>
      </c>
      <c r="BO91" s="7">
        <v>5</v>
      </c>
      <c r="BR91" s="7" t="s">
        <v>104</v>
      </c>
      <c r="BS91" s="7" t="s">
        <v>299</v>
      </c>
      <c r="BT91" s="7" t="s">
        <v>300</v>
      </c>
      <c r="BU91" s="7" t="s">
        <v>251</v>
      </c>
      <c r="BV91" s="7" t="s">
        <v>301</v>
      </c>
      <c r="BW91" s="7" t="s">
        <v>209</v>
      </c>
    </row>
    <row r="92" spans="1:75" s="7" customFormat="1" x14ac:dyDescent="0.35">
      <c r="A92" s="7" t="s">
        <v>646</v>
      </c>
      <c r="B92" s="8">
        <v>46008</v>
      </c>
      <c r="C92" s="9">
        <v>0.71734953703703708</v>
      </c>
      <c r="D92" s="7" t="s">
        <v>183</v>
      </c>
      <c r="E92" s="7" t="s">
        <v>184</v>
      </c>
      <c r="F92" s="11" t="s">
        <v>290</v>
      </c>
      <c r="G92" s="7">
        <f>COUNTIF($F$2:$F$278,F92)</f>
        <v>35</v>
      </c>
      <c r="H92" s="7" t="s">
        <v>291</v>
      </c>
      <c r="I92" s="7" t="s">
        <v>292</v>
      </c>
      <c r="J92" s="7" t="s">
        <v>83</v>
      </c>
      <c r="K92" s="7" t="s">
        <v>84</v>
      </c>
      <c r="M92" s="7" t="s">
        <v>85</v>
      </c>
      <c r="N92" s="7" t="s">
        <v>86</v>
      </c>
      <c r="O92" s="7" t="s">
        <v>84</v>
      </c>
      <c r="P92" s="7" t="s">
        <v>100</v>
      </c>
      <c r="Q92" s="7" t="s">
        <v>325</v>
      </c>
      <c r="R92" s="7" t="s">
        <v>326</v>
      </c>
      <c r="S92" s="7" t="s">
        <v>314</v>
      </c>
      <c r="T92" s="7" t="s">
        <v>315</v>
      </c>
      <c r="U92" s="7" t="s">
        <v>93</v>
      </c>
      <c r="V92" s="7" t="s">
        <v>22</v>
      </c>
      <c r="X92" s="7" t="s">
        <v>131</v>
      </c>
      <c r="Y92" s="7" t="s">
        <v>132</v>
      </c>
      <c r="Z92" s="7" t="s">
        <v>304</v>
      </c>
      <c r="AA92" s="7" t="b">
        <v>0</v>
      </c>
      <c r="AB92" s="7" t="b">
        <v>0</v>
      </c>
      <c r="AD92" s="7">
        <v>69</v>
      </c>
      <c r="AE92" s="7" t="s">
        <v>153</v>
      </c>
      <c r="AI92" s="7" t="s">
        <v>627</v>
      </c>
      <c r="AJ92" s="7" t="s">
        <v>100</v>
      </c>
      <c r="AK92" s="7" t="s">
        <v>647</v>
      </c>
      <c r="AL92" s="7" t="s">
        <v>100</v>
      </c>
      <c r="AM92" s="7" t="s">
        <v>100</v>
      </c>
      <c r="AN92" s="7" t="s">
        <v>124</v>
      </c>
      <c r="AO92" s="7">
        <v>1002</v>
      </c>
      <c r="AP92" s="7" t="s">
        <v>648</v>
      </c>
      <c r="AQ92" s="7" t="s">
        <v>104</v>
      </c>
      <c r="AR92" s="7" t="s">
        <v>296</v>
      </c>
      <c r="AS92" s="7" t="s">
        <v>297</v>
      </c>
      <c r="AT92" s="7" t="s">
        <v>248</v>
      </c>
      <c r="AU92" s="7" t="s">
        <v>248</v>
      </c>
      <c r="AX92" s="7" t="s">
        <v>249</v>
      </c>
      <c r="AY92" s="7" t="s">
        <v>298</v>
      </c>
      <c r="AZ92" s="7" t="s">
        <v>104</v>
      </c>
      <c r="BA92" s="7" t="s">
        <v>296</v>
      </c>
      <c r="BB92" s="7" t="s">
        <v>297</v>
      </c>
      <c r="BC92" s="7" t="s">
        <v>251</v>
      </c>
      <c r="BD92" s="7" t="s">
        <v>251</v>
      </c>
      <c r="BF92" s="7" t="s">
        <v>252</v>
      </c>
      <c r="BG92" s="7">
        <v>7018</v>
      </c>
      <c r="BH92" s="7" t="s">
        <v>253</v>
      </c>
      <c r="BO92" s="7">
        <v>5</v>
      </c>
      <c r="BR92" s="7" t="s">
        <v>104</v>
      </c>
      <c r="BS92" s="7" t="s">
        <v>299</v>
      </c>
      <c r="BT92" s="7" t="s">
        <v>300</v>
      </c>
      <c r="BU92" s="7" t="s">
        <v>251</v>
      </c>
      <c r="BV92" s="7" t="s">
        <v>301</v>
      </c>
      <c r="BW92" s="7" t="s">
        <v>209</v>
      </c>
    </row>
    <row r="93" spans="1:75" s="7" customFormat="1" x14ac:dyDescent="0.35">
      <c r="A93" s="7" t="s">
        <v>649</v>
      </c>
      <c r="B93" s="8">
        <v>46008</v>
      </c>
      <c r="C93" s="9">
        <v>0.71731481481481485</v>
      </c>
      <c r="D93" s="7" t="s">
        <v>183</v>
      </c>
      <c r="E93" s="7" t="s">
        <v>184</v>
      </c>
      <c r="F93" s="11" t="s">
        <v>290</v>
      </c>
      <c r="G93" s="7">
        <f>COUNTIF($F$2:$F$278,F93)</f>
        <v>35</v>
      </c>
      <c r="H93" s="7" t="s">
        <v>291</v>
      </c>
      <c r="I93" s="7" t="s">
        <v>292</v>
      </c>
      <c r="J93" s="7" t="s">
        <v>83</v>
      </c>
      <c r="K93" s="7" t="s">
        <v>84</v>
      </c>
      <c r="M93" s="7" t="s">
        <v>85</v>
      </c>
      <c r="N93" s="7" t="s">
        <v>86</v>
      </c>
      <c r="O93" s="7" t="s">
        <v>84</v>
      </c>
      <c r="P93" s="7" t="s">
        <v>100</v>
      </c>
      <c r="Q93" s="7" t="s">
        <v>330</v>
      </c>
      <c r="R93" s="7" t="s">
        <v>331</v>
      </c>
      <c r="S93" s="7" t="s">
        <v>91</v>
      </c>
      <c r="T93" s="7" t="s">
        <v>92</v>
      </c>
      <c r="U93" s="7" t="s">
        <v>93</v>
      </c>
      <c r="V93" s="7" t="s">
        <v>22</v>
      </c>
      <c r="X93" s="7" t="s">
        <v>131</v>
      </c>
      <c r="Y93" s="7" t="s">
        <v>132</v>
      </c>
      <c r="Z93" s="7" t="s">
        <v>304</v>
      </c>
      <c r="AA93" s="7" t="b">
        <v>0</v>
      </c>
      <c r="AB93" s="7" t="b">
        <v>0</v>
      </c>
      <c r="AD93" s="7">
        <v>65</v>
      </c>
      <c r="AE93" s="7" t="s">
        <v>153</v>
      </c>
      <c r="AI93" s="7" t="s">
        <v>627</v>
      </c>
      <c r="AJ93" s="7" t="s">
        <v>100</v>
      </c>
      <c r="AK93" s="7" t="s">
        <v>650</v>
      </c>
      <c r="AL93" s="7" t="s">
        <v>100</v>
      </c>
      <c r="AM93" s="7" t="s">
        <v>100</v>
      </c>
      <c r="AN93" s="7" t="s">
        <v>124</v>
      </c>
      <c r="AO93" s="7">
        <v>1002</v>
      </c>
      <c r="AP93" s="7" t="s">
        <v>651</v>
      </c>
      <c r="AQ93" s="7" t="s">
        <v>104</v>
      </c>
      <c r="AR93" s="7" t="s">
        <v>296</v>
      </c>
      <c r="AS93" s="7" t="s">
        <v>297</v>
      </c>
      <c r="AT93" s="7" t="s">
        <v>248</v>
      </c>
      <c r="AU93" s="7" t="s">
        <v>248</v>
      </c>
      <c r="AX93" s="7" t="s">
        <v>249</v>
      </c>
      <c r="AY93" s="7" t="s">
        <v>298</v>
      </c>
      <c r="AZ93" s="7" t="s">
        <v>104</v>
      </c>
      <c r="BA93" s="7" t="s">
        <v>296</v>
      </c>
      <c r="BB93" s="7" t="s">
        <v>297</v>
      </c>
      <c r="BC93" s="7" t="s">
        <v>251</v>
      </c>
      <c r="BD93" s="7" t="s">
        <v>251</v>
      </c>
      <c r="BF93" s="7" t="s">
        <v>252</v>
      </c>
      <c r="BG93" s="7">
        <v>7018</v>
      </c>
      <c r="BH93" s="7" t="s">
        <v>253</v>
      </c>
      <c r="BO93" s="7">
        <v>5</v>
      </c>
      <c r="BR93" s="7" t="s">
        <v>104</v>
      </c>
      <c r="BS93" s="7" t="s">
        <v>299</v>
      </c>
      <c r="BT93" s="7" t="s">
        <v>300</v>
      </c>
      <c r="BU93" s="7" t="s">
        <v>251</v>
      </c>
      <c r="BV93" s="7" t="s">
        <v>301</v>
      </c>
      <c r="BW93" s="7" t="s">
        <v>209</v>
      </c>
    </row>
    <row r="94" spans="1:75" s="7" customFormat="1" x14ac:dyDescent="0.35">
      <c r="A94" s="7" t="s">
        <v>652</v>
      </c>
      <c r="B94" s="8">
        <v>46008</v>
      </c>
      <c r="C94" s="9">
        <v>0.71724537037037039</v>
      </c>
      <c r="D94" s="7" t="s">
        <v>183</v>
      </c>
      <c r="E94" s="7" t="s">
        <v>184</v>
      </c>
      <c r="F94" s="11" t="s">
        <v>290</v>
      </c>
      <c r="G94" s="7">
        <f>COUNTIF($F$2:$F$278,F94)</f>
        <v>35</v>
      </c>
      <c r="H94" s="7" t="s">
        <v>291</v>
      </c>
      <c r="I94" s="7" t="s">
        <v>292</v>
      </c>
      <c r="J94" s="7" t="s">
        <v>83</v>
      </c>
      <c r="K94" s="7" t="s">
        <v>84</v>
      </c>
      <c r="M94" s="7" t="s">
        <v>85</v>
      </c>
      <c r="N94" s="7" t="s">
        <v>86</v>
      </c>
      <c r="O94" s="7" t="s">
        <v>84</v>
      </c>
      <c r="P94" s="7" t="s">
        <v>100</v>
      </c>
      <c r="Q94" s="7" t="s">
        <v>150</v>
      </c>
      <c r="R94" s="7" t="s">
        <v>151</v>
      </c>
      <c r="S94" s="7" t="s">
        <v>150</v>
      </c>
      <c r="T94" s="7" t="s">
        <v>151</v>
      </c>
      <c r="U94" s="7" t="s">
        <v>93</v>
      </c>
      <c r="V94" s="7" t="s">
        <v>22</v>
      </c>
      <c r="X94" s="7" t="s">
        <v>131</v>
      </c>
      <c r="Y94" s="7" t="s">
        <v>132</v>
      </c>
      <c r="Z94" s="7" t="s">
        <v>304</v>
      </c>
      <c r="AA94" s="7" t="b">
        <v>0</v>
      </c>
      <c r="AB94" s="7" t="b">
        <v>0</v>
      </c>
      <c r="AD94" s="7">
        <v>77</v>
      </c>
      <c r="AE94" s="7" t="s">
        <v>153</v>
      </c>
      <c r="AI94" s="7" t="s">
        <v>627</v>
      </c>
      <c r="AJ94" s="7" t="s">
        <v>100</v>
      </c>
      <c r="AK94" s="7" t="s">
        <v>653</v>
      </c>
      <c r="AL94" s="7" t="s">
        <v>100</v>
      </c>
      <c r="AM94" s="7" t="s">
        <v>100</v>
      </c>
      <c r="AN94" s="7" t="s">
        <v>124</v>
      </c>
      <c r="AO94" s="7">
        <v>1002</v>
      </c>
      <c r="AP94" s="7" t="s">
        <v>654</v>
      </c>
      <c r="AQ94" s="7" t="s">
        <v>104</v>
      </c>
      <c r="AR94" s="7" t="s">
        <v>296</v>
      </c>
      <c r="AS94" s="7" t="s">
        <v>297</v>
      </c>
      <c r="AT94" s="7" t="s">
        <v>248</v>
      </c>
      <c r="AU94" s="7" t="s">
        <v>248</v>
      </c>
      <c r="AX94" s="7" t="s">
        <v>249</v>
      </c>
      <c r="AY94" s="7" t="s">
        <v>298</v>
      </c>
      <c r="AZ94" s="7" t="s">
        <v>104</v>
      </c>
      <c r="BA94" s="7" t="s">
        <v>296</v>
      </c>
      <c r="BB94" s="7" t="s">
        <v>297</v>
      </c>
      <c r="BC94" s="7" t="s">
        <v>251</v>
      </c>
      <c r="BD94" s="7" t="s">
        <v>251</v>
      </c>
      <c r="BF94" s="7" t="s">
        <v>252</v>
      </c>
      <c r="BG94" s="7">
        <v>7018</v>
      </c>
      <c r="BH94" s="7" t="s">
        <v>253</v>
      </c>
      <c r="BO94" s="7">
        <v>5</v>
      </c>
      <c r="BR94" s="7" t="s">
        <v>104</v>
      </c>
      <c r="BS94" s="7" t="s">
        <v>299</v>
      </c>
      <c r="BT94" s="7" t="s">
        <v>300</v>
      </c>
      <c r="BU94" s="7" t="s">
        <v>251</v>
      </c>
      <c r="BV94" s="7" t="s">
        <v>301</v>
      </c>
      <c r="BW94" s="7" t="s">
        <v>209</v>
      </c>
    </row>
    <row r="95" spans="1:75" s="7" customFormat="1" x14ac:dyDescent="0.35">
      <c r="A95" s="7" t="s">
        <v>652</v>
      </c>
      <c r="B95" s="8">
        <v>46008</v>
      </c>
      <c r="C95" s="9">
        <v>0.71724537037037039</v>
      </c>
      <c r="D95" s="7" t="s">
        <v>183</v>
      </c>
      <c r="E95" s="7" t="s">
        <v>184</v>
      </c>
      <c r="F95" s="11" t="s">
        <v>290</v>
      </c>
      <c r="G95" s="7">
        <f>COUNTIF($F$2:$F$278,F95)</f>
        <v>35</v>
      </c>
      <c r="H95" s="7" t="s">
        <v>291</v>
      </c>
      <c r="I95" s="7" t="s">
        <v>292</v>
      </c>
      <c r="J95" s="7" t="s">
        <v>83</v>
      </c>
      <c r="K95" s="7" t="s">
        <v>84</v>
      </c>
      <c r="M95" s="7" t="s">
        <v>85</v>
      </c>
      <c r="N95" s="7" t="s">
        <v>86</v>
      </c>
      <c r="O95" s="7" t="s">
        <v>84</v>
      </c>
      <c r="P95" s="7" t="s">
        <v>100</v>
      </c>
      <c r="Q95" s="7" t="s">
        <v>150</v>
      </c>
      <c r="R95" s="7" t="s">
        <v>151</v>
      </c>
      <c r="S95" s="7" t="s">
        <v>150</v>
      </c>
      <c r="T95" s="7" t="s">
        <v>151</v>
      </c>
      <c r="U95" s="7" t="s">
        <v>93</v>
      </c>
      <c r="V95" s="7" t="s">
        <v>22</v>
      </c>
      <c r="X95" s="7" t="s">
        <v>131</v>
      </c>
      <c r="Y95" s="7" t="s">
        <v>132</v>
      </c>
      <c r="Z95" s="7" t="s">
        <v>304</v>
      </c>
      <c r="AA95" s="7" t="b">
        <v>0</v>
      </c>
      <c r="AB95" s="7" t="b">
        <v>0</v>
      </c>
      <c r="AD95" s="7">
        <v>111</v>
      </c>
      <c r="AE95" s="7" t="s">
        <v>134</v>
      </c>
      <c r="AH95" s="7" t="s">
        <v>184</v>
      </c>
      <c r="AI95" s="7" t="s">
        <v>627</v>
      </c>
      <c r="AJ95" s="7" t="s">
        <v>100</v>
      </c>
      <c r="AK95" s="7" t="s">
        <v>655</v>
      </c>
      <c r="AL95" s="7" t="s">
        <v>100</v>
      </c>
      <c r="AM95" s="7" t="s">
        <v>100</v>
      </c>
      <c r="AN95" s="7" t="s">
        <v>124</v>
      </c>
      <c r="AO95" s="7">
        <v>1002</v>
      </c>
      <c r="AP95" s="7" t="s">
        <v>654</v>
      </c>
      <c r="AQ95" s="7" t="s">
        <v>104</v>
      </c>
      <c r="AR95" s="7" t="s">
        <v>296</v>
      </c>
      <c r="AS95" s="7" t="s">
        <v>297</v>
      </c>
      <c r="AT95" s="7" t="s">
        <v>248</v>
      </c>
      <c r="AU95" s="7" t="s">
        <v>248</v>
      </c>
      <c r="AX95" s="7" t="s">
        <v>249</v>
      </c>
      <c r="AY95" s="7" t="s">
        <v>298</v>
      </c>
      <c r="AZ95" s="7" t="s">
        <v>104</v>
      </c>
      <c r="BA95" s="7" t="s">
        <v>296</v>
      </c>
      <c r="BB95" s="7" t="s">
        <v>297</v>
      </c>
      <c r="BC95" s="7" t="s">
        <v>251</v>
      </c>
      <c r="BD95" s="7" t="s">
        <v>251</v>
      </c>
      <c r="BF95" s="7" t="s">
        <v>252</v>
      </c>
      <c r="BG95" s="7">
        <v>7018</v>
      </c>
      <c r="BH95" s="7" t="s">
        <v>253</v>
      </c>
      <c r="BO95" s="7">
        <v>5</v>
      </c>
      <c r="BR95" s="7" t="s">
        <v>104</v>
      </c>
      <c r="BS95" s="7" t="s">
        <v>299</v>
      </c>
      <c r="BT95" s="7" t="s">
        <v>300</v>
      </c>
      <c r="BU95" s="7" t="s">
        <v>251</v>
      </c>
      <c r="BV95" s="7" t="s">
        <v>301</v>
      </c>
      <c r="BW95" s="7" t="s">
        <v>209</v>
      </c>
    </row>
    <row r="96" spans="1:75" s="7" customFormat="1" x14ac:dyDescent="0.35">
      <c r="A96" s="7" t="s">
        <v>656</v>
      </c>
      <c r="B96" s="8">
        <v>46008</v>
      </c>
      <c r="C96" s="9">
        <v>0.71722222222222232</v>
      </c>
      <c r="D96" s="7" t="s">
        <v>183</v>
      </c>
      <c r="E96" s="7" t="s">
        <v>184</v>
      </c>
      <c r="F96" s="11" t="s">
        <v>290</v>
      </c>
      <c r="G96" s="7">
        <f>COUNTIF($F$2:$F$278,F96)</f>
        <v>35</v>
      </c>
      <c r="H96" s="7" t="s">
        <v>291</v>
      </c>
      <c r="I96" s="7" t="s">
        <v>292</v>
      </c>
      <c r="J96" s="7" t="s">
        <v>83</v>
      </c>
      <c r="K96" s="7" t="s">
        <v>143</v>
      </c>
      <c r="L96" s="7">
        <v>50140</v>
      </c>
      <c r="M96" s="7" t="s">
        <v>85</v>
      </c>
      <c r="N96" s="7" t="s">
        <v>86</v>
      </c>
      <c r="O96" s="7" t="s">
        <v>84</v>
      </c>
      <c r="P96" s="7" t="s">
        <v>100</v>
      </c>
      <c r="Q96" s="7" t="s">
        <v>150</v>
      </c>
      <c r="R96" s="7" t="s">
        <v>151</v>
      </c>
      <c r="S96" s="7" t="s">
        <v>150</v>
      </c>
      <c r="T96" s="7" t="s">
        <v>151</v>
      </c>
      <c r="U96" s="7" t="s">
        <v>144</v>
      </c>
      <c r="V96" s="7" t="s">
        <v>22</v>
      </c>
      <c r="X96" s="7" t="s">
        <v>131</v>
      </c>
      <c r="Y96" s="7" t="s">
        <v>132</v>
      </c>
      <c r="Z96" s="7" t="s">
        <v>304</v>
      </c>
      <c r="AA96" s="7" t="b">
        <v>0</v>
      </c>
      <c r="AB96" s="7" t="b">
        <v>0</v>
      </c>
      <c r="AD96" s="7">
        <v>92</v>
      </c>
      <c r="AE96" s="7" t="s">
        <v>145</v>
      </c>
      <c r="AF96" s="7" t="s">
        <v>215</v>
      </c>
      <c r="AG96" s="7" t="s">
        <v>216</v>
      </c>
      <c r="AH96" s="7" t="s">
        <v>184</v>
      </c>
      <c r="AI96" s="7" t="s">
        <v>627</v>
      </c>
      <c r="AJ96" s="7" t="s">
        <v>100</v>
      </c>
      <c r="AK96" s="7" t="s">
        <v>657</v>
      </c>
      <c r="AL96" s="7" t="s">
        <v>100</v>
      </c>
      <c r="AM96" s="7" t="s">
        <v>100</v>
      </c>
      <c r="AN96" s="7" t="s">
        <v>124</v>
      </c>
      <c r="AO96" s="7">
        <v>1002</v>
      </c>
      <c r="AP96" s="7" t="s">
        <v>654</v>
      </c>
      <c r="AQ96" s="7" t="s">
        <v>104</v>
      </c>
      <c r="AR96" s="7" t="s">
        <v>296</v>
      </c>
      <c r="AS96" s="7" t="s">
        <v>297</v>
      </c>
      <c r="AT96" s="7" t="s">
        <v>248</v>
      </c>
      <c r="AU96" s="7" t="s">
        <v>248</v>
      </c>
      <c r="AX96" s="7" t="s">
        <v>249</v>
      </c>
      <c r="AY96" s="7" t="s">
        <v>298</v>
      </c>
      <c r="AZ96" s="7" t="s">
        <v>104</v>
      </c>
      <c r="BA96" s="7" t="s">
        <v>296</v>
      </c>
      <c r="BB96" s="7" t="s">
        <v>297</v>
      </c>
      <c r="BC96" s="7" t="s">
        <v>251</v>
      </c>
      <c r="BD96" s="7" t="s">
        <v>251</v>
      </c>
      <c r="BF96" s="7" t="s">
        <v>252</v>
      </c>
      <c r="BG96" s="7">
        <v>7018</v>
      </c>
      <c r="BH96" s="7" t="s">
        <v>253</v>
      </c>
      <c r="BO96" s="7">
        <v>5</v>
      </c>
      <c r="BR96" s="7" t="s">
        <v>104</v>
      </c>
      <c r="BS96" s="7" t="s">
        <v>299</v>
      </c>
      <c r="BT96" s="7" t="s">
        <v>300</v>
      </c>
      <c r="BU96" s="7" t="s">
        <v>251</v>
      </c>
      <c r="BV96" s="7" t="s">
        <v>301</v>
      </c>
      <c r="BW96" s="7" t="s">
        <v>209</v>
      </c>
    </row>
    <row r="97" spans="1:75" s="7" customFormat="1" x14ac:dyDescent="0.35">
      <c r="A97" s="7" t="s">
        <v>658</v>
      </c>
      <c r="B97" s="8">
        <v>46008</v>
      </c>
      <c r="C97" s="9">
        <v>0.71707175925925926</v>
      </c>
      <c r="D97" s="7" t="s">
        <v>597</v>
      </c>
      <c r="E97" s="7" t="s">
        <v>598</v>
      </c>
      <c r="F97" s="11" t="s">
        <v>346</v>
      </c>
      <c r="G97" s="7">
        <f>COUNTIF($F$2:$F$278,F97)</f>
        <v>69</v>
      </c>
      <c r="H97" s="7" t="s">
        <v>347</v>
      </c>
      <c r="I97" s="7" t="s">
        <v>187</v>
      </c>
      <c r="J97" s="7" t="s">
        <v>83</v>
      </c>
      <c r="K97" s="7" t="s">
        <v>143</v>
      </c>
      <c r="L97" s="7">
        <v>50072</v>
      </c>
      <c r="M97" s="7" t="s">
        <v>85</v>
      </c>
      <c r="N97" s="7" t="s">
        <v>86</v>
      </c>
      <c r="O97" s="7" t="s">
        <v>119</v>
      </c>
      <c r="P97" s="7" t="s">
        <v>100</v>
      </c>
      <c r="Q97" s="7" t="s">
        <v>659</v>
      </c>
      <c r="R97" s="7" t="s">
        <v>660</v>
      </c>
      <c r="S97" s="7" t="s">
        <v>661</v>
      </c>
      <c r="T97" s="7" t="s">
        <v>662</v>
      </c>
      <c r="U97" s="7" t="s">
        <v>162</v>
      </c>
      <c r="V97" s="7" t="s">
        <v>94</v>
      </c>
      <c r="W97" s="7" t="s">
        <v>599</v>
      </c>
      <c r="X97" s="7" t="s">
        <v>575</v>
      </c>
      <c r="Y97" s="7" t="s">
        <v>132</v>
      </c>
      <c r="Z97" s="7" t="s">
        <v>576</v>
      </c>
      <c r="AA97" s="7" t="b">
        <v>0</v>
      </c>
      <c r="AB97" s="7" t="b">
        <v>0</v>
      </c>
      <c r="AC97" s="7" t="s">
        <v>525</v>
      </c>
      <c r="AD97" s="7">
        <v>224</v>
      </c>
      <c r="AE97" s="7" t="s">
        <v>163</v>
      </c>
      <c r="AH97" s="7" t="s">
        <v>598</v>
      </c>
      <c r="AI97" s="7" t="s">
        <v>663</v>
      </c>
      <c r="AJ97" s="7" t="s">
        <v>100</v>
      </c>
      <c r="AK97" s="7" t="s">
        <v>664</v>
      </c>
      <c r="AL97" s="7" t="s">
        <v>100</v>
      </c>
      <c r="AM97" s="7" t="s">
        <v>100</v>
      </c>
      <c r="AN97" s="7" t="s">
        <v>102</v>
      </c>
      <c r="AP97" s="7" t="s">
        <v>665</v>
      </c>
      <c r="AQ97" s="7" t="s">
        <v>104</v>
      </c>
      <c r="AR97" s="7" t="s">
        <v>197</v>
      </c>
      <c r="AS97" s="7" t="s">
        <v>356</v>
      </c>
      <c r="AT97" s="7" t="s">
        <v>199</v>
      </c>
      <c r="AU97" s="7" t="s">
        <v>199</v>
      </c>
      <c r="AX97" s="7" t="s">
        <v>200</v>
      </c>
      <c r="AY97" s="7" t="s">
        <v>357</v>
      </c>
      <c r="AZ97" s="7" t="s">
        <v>104</v>
      </c>
      <c r="BA97" s="7" t="s">
        <v>197</v>
      </c>
      <c r="BB97" s="7" t="s">
        <v>356</v>
      </c>
      <c r="BC97" s="7" t="s">
        <v>199</v>
      </c>
      <c r="BD97" s="7" t="s">
        <v>199</v>
      </c>
      <c r="BF97" s="7" t="s">
        <v>203</v>
      </c>
      <c r="BG97" s="7">
        <v>20115</v>
      </c>
      <c r="BH97" s="7" t="s">
        <v>358</v>
      </c>
      <c r="BO97" s="7">
        <v>9</v>
      </c>
      <c r="BR97" s="7" t="s">
        <v>104</v>
      </c>
      <c r="BS97" s="7" t="s">
        <v>205</v>
      </c>
      <c r="BT97" s="7" t="s">
        <v>356</v>
      </c>
      <c r="BU97" s="7" t="s">
        <v>207</v>
      </c>
      <c r="BV97" s="7" t="s">
        <v>208</v>
      </c>
      <c r="BW97" s="7" t="s">
        <v>209</v>
      </c>
    </row>
    <row r="98" spans="1:75" s="7" customFormat="1" x14ac:dyDescent="0.35">
      <c r="A98" s="7" t="s">
        <v>666</v>
      </c>
      <c r="B98" s="8">
        <v>46008</v>
      </c>
      <c r="C98" s="9">
        <v>0.71339120370370368</v>
      </c>
      <c r="D98" s="7" t="s">
        <v>597</v>
      </c>
      <c r="E98" s="7" t="s">
        <v>598</v>
      </c>
      <c r="F98" s="11" t="s">
        <v>346</v>
      </c>
      <c r="G98" s="7">
        <f>COUNTIF($F$2:$F$278,F98)</f>
        <v>69</v>
      </c>
      <c r="H98" s="7" t="s">
        <v>347</v>
      </c>
      <c r="I98" s="7" t="s">
        <v>187</v>
      </c>
      <c r="J98" s="7" t="s">
        <v>83</v>
      </c>
      <c r="K98" s="7" t="s">
        <v>143</v>
      </c>
      <c r="L98" s="7">
        <v>50072</v>
      </c>
      <c r="M98" s="7" t="s">
        <v>85</v>
      </c>
      <c r="N98" s="7" t="s">
        <v>86</v>
      </c>
      <c r="O98" s="7" t="s">
        <v>119</v>
      </c>
      <c r="P98" s="7" t="s">
        <v>100</v>
      </c>
      <c r="Q98" s="7" t="s">
        <v>150</v>
      </c>
      <c r="R98" s="7" t="s">
        <v>151</v>
      </c>
      <c r="S98" s="7" t="s">
        <v>150</v>
      </c>
      <c r="T98" s="7" t="s">
        <v>151</v>
      </c>
      <c r="U98" s="7" t="s">
        <v>162</v>
      </c>
      <c r="V98" s="7" t="s">
        <v>22</v>
      </c>
      <c r="W98" s="7" t="s">
        <v>599</v>
      </c>
      <c r="X98" s="7" t="s">
        <v>131</v>
      </c>
      <c r="Y98" s="7" t="s">
        <v>132</v>
      </c>
      <c r="Z98" s="7" t="s">
        <v>304</v>
      </c>
      <c r="AA98" s="7" t="b">
        <v>0</v>
      </c>
      <c r="AB98" s="7" t="b">
        <v>0</v>
      </c>
      <c r="AC98" s="7" t="s">
        <v>525</v>
      </c>
      <c r="AD98" s="7">
        <v>124</v>
      </c>
      <c r="AE98" s="7" t="s">
        <v>163</v>
      </c>
      <c r="AH98" s="7" t="s">
        <v>598</v>
      </c>
      <c r="AI98" s="7" t="s">
        <v>667</v>
      </c>
      <c r="AJ98" s="7" t="s">
        <v>100</v>
      </c>
      <c r="AK98" s="7" t="s">
        <v>668</v>
      </c>
      <c r="AL98" s="7" t="s">
        <v>100</v>
      </c>
      <c r="AM98" s="7" t="s">
        <v>100</v>
      </c>
      <c r="AN98" s="7" t="s">
        <v>102</v>
      </c>
      <c r="AP98" s="7" t="s">
        <v>669</v>
      </c>
      <c r="AQ98" s="7" t="s">
        <v>104</v>
      </c>
      <c r="AR98" s="7" t="s">
        <v>197</v>
      </c>
      <c r="AS98" s="7" t="s">
        <v>356</v>
      </c>
      <c r="AT98" s="7" t="s">
        <v>199</v>
      </c>
      <c r="AU98" s="7" t="s">
        <v>199</v>
      </c>
      <c r="AX98" s="7" t="s">
        <v>200</v>
      </c>
      <c r="AY98" s="7" t="s">
        <v>357</v>
      </c>
      <c r="AZ98" s="7" t="s">
        <v>104</v>
      </c>
      <c r="BA98" s="7" t="s">
        <v>197</v>
      </c>
      <c r="BB98" s="7" t="s">
        <v>356</v>
      </c>
      <c r="BC98" s="7" t="s">
        <v>199</v>
      </c>
      <c r="BD98" s="7" t="s">
        <v>199</v>
      </c>
      <c r="BF98" s="7" t="s">
        <v>203</v>
      </c>
      <c r="BG98" s="7">
        <v>20115</v>
      </c>
      <c r="BH98" s="7" t="s">
        <v>358</v>
      </c>
      <c r="BO98" s="7">
        <v>9</v>
      </c>
      <c r="BR98" s="7" t="s">
        <v>104</v>
      </c>
      <c r="BS98" s="7" t="s">
        <v>205</v>
      </c>
      <c r="BT98" s="7" t="s">
        <v>356</v>
      </c>
      <c r="BU98" s="7" t="s">
        <v>207</v>
      </c>
      <c r="BV98" s="7" t="s">
        <v>208</v>
      </c>
      <c r="BW98" s="7" t="s">
        <v>209</v>
      </c>
    </row>
    <row r="99" spans="1:75" s="7" customFormat="1" x14ac:dyDescent="0.35">
      <c r="A99" s="7" t="s">
        <v>670</v>
      </c>
      <c r="B99" s="8">
        <v>46008</v>
      </c>
      <c r="C99" s="9">
        <v>0.71320601851851861</v>
      </c>
      <c r="D99" s="7" t="s">
        <v>597</v>
      </c>
      <c r="E99" s="7" t="s">
        <v>598</v>
      </c>
      <c r="F99" s="11" t="s">
        <v>346</v>
      </c>
      <c r="G99" s="7">
        <f>COUNTIF($F$2:$F$278,F99)</f>
        <v>69</v>
      </c>
      <c r="H99" s="7" t="s">
        <v>347</v>
      </c>
      <c r="I99" s="7" t="s">
        <v>187</v>
      </c>
      <c r="J99" s="7" t="s">
        <v>83</v>
      </c>
      <c r="K99" s="7" t="s">
        <v>119</v>
      </c>
      <c r="L99" s="7">
        <v>50079</v>
      </c>
      <c r="M99" s="7" t="s">
        <v>85</v>
      </c>
      <c r="N99" s="7" t="s">
        <v>86</v>
      </c>
      <c r="O99" s="7" t="s">
        <v>119</v>
      </c>
      <c r="P99" s="7" t="s">
        <v>100</v>
      </c>
      <c r="Q99" s="7" t="s">
        <v>150</v>
      </c>
      <c r="R99" s="7" t="s">
        <v>151</v>
      </c>
      <c r="S99" s="7" t="s">
        <v>150</v>
      </c>
      <c r="T99" s="7" t="s">
        <v>151</v>
      </c>
      <c r="U99" s="7" t="s">
        <v>162</v>
      </c>
      <c r="V99" s="7" t="s">
        <v>22</v>
      </c>
      <c r="W99" s="7" t="s">
        <v>599</v>
      </c>
      <c r="X99" s="7" t="s">
        <v>131</v>
      </c>
      <c r="Y99" s="7" t="s">
        <v>132</v>
      </c>
      <c r="Z99" s="7" t="s">
        <v>304</v>
      </c>
      <c r="AA99" s="7" t="b">
        <v>0</v>
      </c>
      <c r="AB99" s="7" t="b">
        <v>0</v>
      </c>
      <c r="AC99" s="7" t="s">
        <v>525</v>
      </c>
      <c r="AD99" s="7">
        <v>84</v>
      </c>
      <c r="AE99" s="7" t="s">
        <v>671</v>
      </c>
      <c r="AI99" s="7" t="s">
        <v>672</v>
      </c>
      <c r="AJ99" s="7" t="s">
        <v>100</v>
      </c>
      <c r="AK99" s="7" t="s">
        <v>673</v>
      </c>
      <c r="AL99" s="7" t="s">
        <v>100</v>
      </c>
      <c r="AM99" s="7" t="s">
        <v>100</v>
      </c>
      <c r="AN99" s="7" t="s">
        <v>102</v>
      </c>
      <c r="AP99" s="7" t="s">
        <v>674</v>
      </c>
      <c r="AQ99" s="7" t="s">
        <v>104</v>
      </c>
      <c r="AR99" s="7" t="s">
        <v>197</v>
      </c>
      <c r="AS99" s="7" t="s">
        <v>356</v>
      </c>
      <c r="AT99" s="7" t="s">
        <v>199</v>
      </c>
      <c r="AU99" s="7" t="s">
        <v>199</v>
      </c>
      <c r="AX99" s="7" t="s">
        <v>200</v>
      </c>
      <c r="AY99" s="7" t="s">
        <v>357</v>
      </c>
      <c r="AZ99" s="7" t="s">
        <v>104</v>
      </c>
      <c r="BA99" s="7" t="s">
        <v>197</v>
      </c>
      <c r="BB99" s="7" t="s">
        <v>356</v>
      </c>
      <c r="BC99" s="7" t="s">
        <v>199</v>
      </c>
      <c r="BD99" s="7" t="s">
        <v>199</v>
      </c>
      <c r="BF99" s="7" t="s">
        <v>203</v>
      </c>
      <c r="BG99" s="7">
        <v>20115</v>
      </c>
      <c r="BH99" s="7" t="s">
        <v>358</v>
      </c>
      <c r="BO99" s="7">
        <v>9</v>
      </c>
      <c r="BR99" s="7" t="s">
        <v>104</v>
      </c>
      <c r="BS99" s="7" t="s">
        <v>205</v>
      </c>
      <c r="BT99" s="7" t="s">
        <v>356</v>
      </c>
      <c r="BU99" s="7" t="s">
        <v>207</v>
      </c>
      <c r="BV99" s="7" t="s">
        <v>208</v>
      </c>
      <c r="BW99" s="7" t="s">
        <v>209</v>
      </c>
    </row>
    <row r="100" spans="1:75" s="3" customFormat="1" x14ac:dyDescent="0.35">
      <c r="A100" s="3" t="s">
        <v>675</v>
      </c>
      <c r="B100" s="4">
        <v>46008</v>
      </c>
      <c r="C100" s="5">
        <v>0.70343750000000005</v>
      </c>
      <c r="D100" s="3" t="s">
        <v>676</v>
      </c>
      <c r="E100" s="3" t="s">
        <v>677</v>
      </c>
      <c r="F100" s="3" t="s">
        <v>396</v>
      </c>
      <c r="G100" s="3">
        <f>COUNTIF($F$2:$F$278,F100)</f>
        <v>7</v>
      </c>
      <c r="H100" s="3" t="s">
        <v>397</v>
      </c>
      <c r="I100" s="3" t="s">
        <v>398</v>
      </c>
      <c r="J100" s="3" t="s">
        <v>83</v>
      </c>
      <c r="K100" s="3" t="s">
        <v>119</v>
      </c>
      <c r="L100" s="3">
        <v>50126</v>
      </c>
      <c r="M100" s="3" t="s">
        <v>85</v>
      </c>
      <c r="N100" s="3" t="s">
        <v>120</v>
      </c>
      <c r="O100" s="3" t="s">
        <v>87</v>
      </c>
      <c r="P100" s="3" t="s">
        <v>100</v>
      </c>
      <c r="Q100" s="3" t="s">
        <v>150</v>
      </c>
      <c r="R100" s="3" t="s">
        <v>151</v>
      </c>
      <c r="S100" s="3" t="s">
        <v>150</v>
      </c>
      <c r="T100" s="3" t="s">
        <v>151</v>
      </c>
      <c r="U100" s="3" t="s">
        <v>121</v>
      </c>
      <c r="V100" s="3" t="s">
        <v>22</v>
      </c>
      <c r="Z100" s="3" t="s">
        <v>399</v>
      </c>
      <c r="AA100" s="3" t="b">
        <v>0</v>
      </c>
      <c r="AB100" s="3" t="b">
        <v>0</v>
      </c>
      <c r="AD100" s="3">
        <v>312</v>
      </c>
      <c r="AE100" s="3" t="s">
        <v>122</v>
      </c>
      <c r="AH100" s="3" t="s">
        <v>677</v>
      </c>
      <c r="AJ100" s="3" t="s">
        <v>100</v>
      </c>
      <c r="AK100" s="3" t="s">
        <v>678</v>
      </c>
      <c r="AL100" s="3" t="s">
        <v>100</v>
      </c>
      <c r="AM100" s="3" t="s">
        <v>100</v>
      </c>
      <c r="AN100" s="3" t="s">
        <v>124</v>
      </c>
      <c r="AP100" s="3" t="s">
        <v>679</v>
      </c>
      <c r="AQ100" s="3" t="s">
        <v>104</v>
      </c>
      <c r="AR100" s="3" t="s">
        <v>403</v>
      </c>
      <c r="AS100" s="3" t="s">
        <v>404</v>
      </c>
      <c r="AT100" s="3" t="s">
        <v>405</v>
      </c>
      <c r="AU100" s="3" t="s">
        <v>405</v>
      </c>
      <c r="AX100" s="3" t="s">
        <v>406</v>
      </c>
      <c r="AY100" s="3" t="s">
        <v>407</v>
      </c>
      <c r="AZ100" s="3" t="s">
        <v>104</v>
      </c>
      <c r="BA100" s="3" t="s">
        <v>403</v>
      </c>
      <c r="BB100" s="3" t="s">
        <v>404</v>
      </c>
      <c r="BC100" s="3" t="s">
        <v>408</v>
      </c>
      <c r="BD100" s="3" t="s">
        <v>408</v>
      </c>
      <c r="BE100" s="3" t="s">
        <v>409</v>
      </c>
      <c r="BF100" s="3" t="s">
        <v>410</v>
      </c>
      <c r="BG100" s="3">
        <v>215540</v>
      </c>
      <c r="BH100" s="3" t="s">
        <v>411</v>
      </c>
      <c r="BO100" s="3">
        <v>20</v>
      </c>
      <c r="BR100" s="3" t="s">
        <v>104</v>
      </c>
      <c r="BS100" s="3" t="s">
        <v>412</v>
      </c>
      <c r="BT100" s="3" t="s">
        <v>404</v>
      </c>
      <c r="BU100" s="3" t="s">
        <v>413</v>
      </c>
      <c r="BV100" s="6" t="s">
        <v>413</v>
      </c>
      <c r="BW100" s="3" t="s">
        <v>209</v>
      </c>
    </row>
    <row r="101" spans="1:75" s="3" customFormat="1" x14ac:dyDescent="0.35">
      <c r="A101" s="3" t="s">
        <v>680</v>
      </c>
      <c r="B101" s="4">
        <v>46008</v>
      </c>
      <c r="C101" s="5">
        <v>0.702662037037037</v>
      </c>
      <c r="D101" s="3" t="s">
        <v>676</v>
      </c>
      <c r="E101" s="3" t="s">
        <v>677</v>
      </c>
      <c r="F101" s="3" t="s">
        <v>396</v>
      </c>
      <c r="G101" s="3">
        <f>COUNTIF($F$2:$F$278,F101)</f>
        <v>7</v>
      </c>
      <c r="H101" s="3" t="s">
        <v>397</v>
      </c>
      <c r="I101" s="3" t="s">
        <v>398</v>
      </c>
      <c r="J101" s="3" t="s">
        <v>83</v>
      </c>
      <c r="K101" s="3" t="s">
        <v>119</v>
      </c>
      <c r="L101" s="3">
        <v>50126</v>
      </c>
      <c r="M101" s="3" t="s">
        <v>85</v>
      </c>
      <c r="N101" s="3" t="s">
        <v>120</v>
      </c>
      <c r="O101" s="3" t="s">
        <v>87</v>
      </c>
      <c r="P101" s="3" t="s">
        <v>100</v>
      </c>
      <c r="Q101" s="3" t="s">
        <v>150</v>
      </c>
      <c r="R101" s="3" t="s">
        <v>151</v>
      </c>
      <c r="S101" s="3" t="s">
        <v>150</v>
      </c>
      <c r="T101" s="3" t="s">
        <v>151</v>
      </c>
      <c r="U101" s="3" t="s">
        <v>121</v>
      </c>
      <c r="V101" s="3" t="s">
        <v>22</v>
      </c>
      <c r="Z101" s="3" t="s">
        <v>399</v>
      </c>
      <c r="AA101" s="3" t="b">
        <v>0</v>
      </c>
      <c r="AB101" s="3" t="b">
        <v>0</v>
      </c>
      <c r="AD101" s="3">
        <v>239</v>
      </c>
      <c r="AE101" s="3" t="s">
        <v>122</v>
      </c>
      <c r="AH101" s="3" t="s">
        <v>677</v>
      </c>
      <c r="AJ101" s="3" t="s">
        <v>100</v>
      </c>
      <c r="AK101" s="3" t="s">
        <v>681</v>
      </c>
      <c r="AL101" s="3" t="s">
        <v>100</v>
      </c>
      <c r="AM101" s="3" t="s">
        <v>100</v>
      </c>
      <c r="AN101" s="3" t="s">
        <v>124</v>
      </c>
      <c r="AP101" s="3" t="s">
        <v>679</v>
      </c>
      <c r="AQ101" s="3" t="s">
        <v>104</v>
      </c>
      <c r="AR101" s="3" t="s">
        <v>403</v>
      </c>
      <c r="AS101" s="3" t="s">
        <v>404</v>
      </c>
      <c r="AT101" s="3" t="s">
        <v>405</v>
      </c>
      <c r="AU101" s="3" t="s">
        <v>405</v>
      </c>
      <c r="AX101" s="3" t="s">
        <v>406</v>
      </c>
      <c r="AY101" s="3" t="s">
        <v>407</v>
      </c>
      <c r="AZ101" s="3" t="s">
        <v>104</v>
      </c>
      <c r="BA101" s="3" t="s">
        <v>403</v>
      </c>
      <c r="BB101" s="3" t="s">
        <v>404</v>
      </c>
      <c r="BC101" s="3" t="s">
        <v>408</v>
      </c>
      <c r="BD101" s="3" t="s">
        <v>408</v>
      </c>
      <c r="BE101" s="3" t="s">
        <v>409</v>
      </c>
      <c r="BF101" s="3" t="s">
        <v>410</v>
      </c>
      <c r="BG101" s="3">
        <v>215540</v>
      </c>
      <c r="BH101" s="3" t="s">
        <v>411</v>
      </c>
      <c r="BO101" s="3">
        <v>20</v>
      </c>
      <c r="BR101" s="3" t="s">
        <v>104</v>
      </c>
      <c r="BS101" s="3" t="s">
        <v>412</v>
      </c>
      <c r="BT101" s="3" t="s">
        <v>404</v>
      </c>
      <c r="BU101" s="3" t="s">
        <v>413</v>
      </c>
      <c r="BV101" s="6" t="s">
        <v>413</v>
      </c>
      <c r="BW101" s="3" t="s">
        <v>209</v>
      </c>
    </row>
    <row r="102" spans="1:75" s="3" customFormat="1" x14ac:dyDescent="0.35">
      <c r="A102" s="3" t="s">
        <v>682</v>
      </c>
      <c r="B102" s="4">
        <v>46008</v>
      </c>
      <c r="C102" s="5">
        <v>0.70231481481481473</v>
      </c>
      <c r="D102" s="3" t="s">
        <v>676</v>
      </c>
      <c r="E102" s="3" t="s">
        <v>677</v>
      </c>
      <c r="F102" s="3" t="s">
        <v>683</v>
      </c>
      <c r="G102" s="3">
        <f>COUNTIF($F$2:$F$278,F102)</f>
        <v>1</v>
      </c>
      <c r="H102" s="3" t="s">
        <v>397</v>
      </c>
      <c r="I102" s="3" t="s">
        <v>398</v>
      </c>
      <c r="J102" s="3" t="s">
        <v>83</v>
      </c>
      <c r="K102" s="3" t="s">
        <v>119</v>
      </c>
      <c r="L102" s="3">
        <v>50126</v>
      </c>
      <c r="M102" s="3" t="s">
        <v>85</v>
      </c>
      <c r="N102" s="3" t="s">
        <v>120</v>
      </c>
      <c r="O102" s="3" t="s">
        <v>87</v>
      </c>
      <c r="P102" s="3" t="s">
        <v>100</v>
      </c>
      <c r="Q102" s="3" t="s">
        <v>150</v>
      </c>
      <c r="R102" s="3" t="s">
        <v>151</v>
      </c>
      <c r="S102" s="3" t="s">
        <v>150</v>
      </c>
      <c r="T102" s="3" t="s">
        <v>151</v>
      </c>
      <c r="U102" s="3" t="s">
        <v>121</v>
      </c>
      <c r="V102" s="3" t="s">
        <v>22</v>
      </c>
      <c r="Z102" s="3" t="s">
        <v>399</v>
      </c>
      <c r="AA102" s="3" t="b">
        <v>0</v>
      </c>
      <c r="AB102" s="3" t="b">
        <v>0</v>
      </c>
      <c r="AD102" s="3">
        <v>249</v>
      </c>
      <c r="AE102" s="3" t="s">
        <v>122</v>
      </c>
      <c r="AH102" s="3" t="s">
        <v>677</v>
      </c>
      <c r="AJ102" s="3" t="s">
        <v>100</v>
      </c>
      <c r="AK102" s="3" t="s">
        <v>684</v>
      </c>
      <c r="AL102" s="3" t="s">
        <v>100</v>
      </c>
      <c r="AM102" s="3" t="s">
        <v>100</v>
      </c>
      <c r="AN102" s="3" t="s">
        <v>124</v>
      </c>
      <c r="AP102" s="3" t="s">
        <v>679</v>
      </c>
      <c r="AQ102" s="3" t="s">
        <v>104</v>
      </c>
      <c r="AR102" s="3" t="s">
        <v>403</v>
      </c>
      <c r="AS102" s="3" t="s">
        <v>404</v>
      </c>
      <c r="AT102" s="3" t="s">
        <v>405</v>
      </c>
      <c r="AU102" s="3" t="s">
        <v>405</v>
      </c>
      <c r="AX102" s="3" t="s">
        <v>406</v>
      </c>
      <c r="AY102" s="3" t="s">
        <v>685</v>
      </c>
      <c r="AZ102" s="3" t="s">
        <v>104</v>
      </c>
      <c r="BA102" s="3" t="s">
        <v>403</v>
      </c>
      <c r="BB102" s="3" t="s">
        <v>404</v>
      </c>
      <c r="BC102" s="3" t="s">
        <v>408</v>
      </c>
      <c r="BD102" s="3" t="s">
        <v>408</v>
      </c>
      <c r="BE102" s="3" t="s">
        <v>686</v>
      </c>
      <c r="BF102" s="3" t="s">
        <v>410</v>
      </c>
      <c r="BG102" s="3">
        <v>215540</v>
      </c>
      <c r="BH102" s="3" t="s">
        <v>687</v>
      </c>
      <c r="BO102" s="3">
        <v>20</v>
      </c>
      <c r="BR102" s="3" t="s">
        <v>104</v>
      </c>
      <c r="BS102" s="3" t="s">
        <v>412</v>
      </c>
      <c r="BT102" s="3" t="s">
        <v>404</v>
      </c>
      <c r="BU102" s="3" t="s">
        <v>413</v>
      </c>
      <c r="BV102" s="6" t="s">
        <v>413</v>
      </c>
      <c r="BW102" s="3" t="s">
        <v>209</v>
      </c>
    </row>
    <row r="103" spans="1:75" s="7" customFormat="1" x14ac:dyDescent="0.35">
      <c r="A103" s="7" t="s">
        <v>688</v>
      </c>
      <c r="B103" s="8">
        <v>46008</v>
      </c>
      <c r="C103" s="9">
        <v>0.70050925925925922</v>
      </c>
      <c r="D103" s="7" t="s">
        <v>183</v>
      </c>
      <c r="E103" s="7" t="s">
        <v>184</v>
      </c>
      <c r="F103" s="11" t="s">
        <v>290</v>
      </c>
      <c r="G103" s="7">
        <f>COUNTIF($F$2:$F$278,F103)</f>
        <v>35</v>
      </c>
      <c r="H103" s="7" t="s">
        <v>291</v>
      </c>
      <c r="I103" s="7" t="s">
        <v>292</v>
      </c>
      <c r="J103" s="7" t="s">
        <v>83</v>
      </c>
      <c r="K103" s="7" t="s">
        <v>84</v>
      </c>
      <c r="M103" s="7" t="s">
        <v>85</v>
      </c>
      <c r="N103" s="7" t="s">
        <v>86</v>
      </c>
      <c r="O103" s="7" t="s">
        <v>84</v>
      </c>
      <c r="P103" s="7" t="s">
        <v>88</v>
      </c>
      <c r="Q103" s="7" t="s">
        <v>689</v>
      </c>
      <c r="R103" s="7" t="s">
        <v>690</v>
      </c>
      <c r="S103" s="7" t="s">
        <v>224</v>
      </c>
      <c r="T103" s="7" t="s">
        <v>225</v>
      </c>
      <c r="U103" s="7" t="s">
        <v>93</v>
      </c>
      <c r="V103" s="7" t="s">
        <v>94</v>
      </c>
      <c r="X103" s="7" t="s">
        <v>691</v>
      </c>
      <c r="Y103" s="7" t="s">
        <v>132</v>
      </c>
      <c r="Z103" s="7" t="s">
        <v>692</v>
      </c>
      <c r="AA103" s="7" t="b">
        <v>0</v>
      </c>
      <c r="AB103" s="7" t="b">
        <v>0</v>
      </c>
      <c r="AD103" s="7">
        <v>203</v>
      </c>
      <c r="AE103" s="7" t="s">
        <v>153</v>
      </c>
      <c r="AI103" s="7" t="s">
        <v>693</v>
      </c>
      <c r="AJ103" s="7" t="s">
        <v>100</v>
      </c>
      <c r="AK103" s="7" t="s">
        <v>694</v>
      </c>
      <c r="AL103" s="7" t="s">
        <v>100</v>
      </c>
      <c r="AM103" s="7" t="s">
        <v>100</v>
      </c>
      <c r="AN103" s="7" t="s">
        <v>124</v>
      </c>
      <c r="AO103" s="7">
        <v>1002</v>
      </c>
      <c r="AP103" s="7" t="s">
        <v>695</v>
      </c>
      <c r="AQ103" s="7" t="s">
        <v>104</v>
      </c>
      <c r="AR103" s="7" t="s">
        <v>296</v>
      </c>
      <c r="AS103" s="7" t="s">
        <v>297</v>
      </c>
      <c r="AT103" s="7" t="s">
        <v>248</v>
      </c>
      <c r="AU103" s="7" t="s">
        <v>248</v>
      </c>
      <c r="AX103" s="7" t="s">
        <v>249</v>
      </c>
      <c r="AY103" s="7" t="s">
        <v>298</v>
      </c>
      <c r="AZ103" s="7" t="s">
        <v>104</v>
      </c>
      <c r="BA103" s="7" t="s">
        <v>296</v>
      </c>
      <c r="BB103" s="7" t="s">
        <v>297</v>
      </c>
      <c r="BC103" s="7" t="s">
        <v>251</v>
      </c>
      <c r="BD103" s="7" t="s">
        <v>251</v>
      </c>
      <c r="BF103" s="7" t="s">
        <v>252</v>
      </c>
      <c r="BG103" s="7">
        <v>7018</v>
      </c>
      <c r="BH103" s="7" t="s">
        <v>253</v>
      </c>
      <c r="BO103" s="7">
        <v>5</v>
      </c>
      <c r="BR103" s="7" t="s">
        <v>104</v>
      </c>
      <c r="BS103" s="7" t="s">
        <v>299</v>
      </c>
      <c r="BT103" s="7" t="s">
        <v>300</v>
      </c>
      <c r="BU103" s="7" t="s">
        <v>251</v>
      </c>
      <c r="BV103" s="7" t="s">
        <v>301</v>
      </c>
      <c r="BW103" s="7" t="s">
        <v>209</v>
      </c>
    </row>
    <row r="104" spans="1:75" s="7" customFormat="1" x14ac:dyDescent="0.35">
      <c r="A104" s="7" t="s">
        <v>696</v>
      </c>
      <c r="B104" s="8">
        <v>46008</v>
      </c>
      <c r="C104" s="9">
        <v>0.70038194444444446</v>
      </c>
      <c r="D104" s="7" t="s">
        <v>183</v>
      </c>
      <c r="E104" s="7" t="s">
        <v>184</v>
      </c>
      <c r="F104" s="11" t="s">
        <v>290</v>
      </c>
      <c r="G104" s="7">
        <f>COUNTIF($F$2:$F$278,F104)</f>
        <v>35</v>
      </c>
      <c r="H104" s="7" t="s">
        <v>291</v>
      </c>
      <c r="I104" s="7" t="s">
        <v>292</v>
      </c>
      <c r="J104" s="7" t="s">
        <v>83</v>
      </c>
      <c r="K104" s="7" t="s">
        <v>84</v>
      </c>
      <c r="M104" s="7" t="s">
        <v>85</v>
      </c>
      <c r="N104" s="7" t="s">
        <v>86</v>
      </c>
      <c r="O104" s="7" t="s">
        <v>84</v>
      </c>
      <c r="P104" s="7" t="s">
        <v>88</v>
      </c>
      <c r="Q104" s="7" t="s">
        <v>689</v>
      </c>
      <c r="R104" s="7" t="s">
        <v>690</v>
      </c>
      <c r="S104" s="7" t="s">
        <v>224</v>
      </c>
      <c r="T104" s="7" t="s">
        <v>225</v>
      </c>
      <c r="U104" s="7" t="s">
        <v>93</v>
      </c>
      <c r="V104" s="7" t="s">
        <v>94</v>
      </c>
      <c r="X104" s="7" t="s">
        <v>691</v>
      </c>
      <c r="Y104" s="7" t="s">
        <v>132</v>
      </c>
      <c r="Z104" s="7" t="s">
        <v>692</v>
      </c>
      <c r="AA104" s="7" t="b">
        <v>0</v>
      </c>
      <c r="AB104" s="7" t="b">
        <v>0</v>
      </c>
      <c r="AD104" s="7">
        <v>160</v>
      </c>
      <c r="AE104" s="7" t="s">
        <v>153</v>
      </c>
      <c r="AI104" s="7" t="s">
        <v>693</v>
      </c>
      <c r="AJ104" s="7" t="s">
        <v>100</v>
      </c>
      <c r="AK104" s="7" t="s">
        <v>697</v>
      </c>
      <c r="AL104" s="7" t="s">
        <v>100</v>
      </c>
      <c r="AM104" s="7" t="s">
        <v>100</v>
      </c>
      <c r="AN104" s="7" t="s">
        <v>124</v>
      </c>
      <c r="AO104" s="7">
        <v>1002</v>
      </c>
      <c r="AP104" s="7" t="s">
        <v>698</v>
      </c>
      <c r="AQ104" s="7" t="s">
        <v>104</v>
      </c>
      <c r="AR104" s="7" t="s">
        <v>296</v>
      </c>
      <c r="AS104" s="7" t="s">
        <v>297</v>
      </c>
      <c r="AT104" s="7" t="s">
        <v>248</v>
      </c>
      <c r="AU104" s="7" t="s">
        <v>248</v>
      </c>
      <c r="AX104" s="7" t="s">
        <v>249</v>
      </c>
      <c r="AY104" s="7" t="s">
        <v>298</v>
      </c>
      <c r="AZ104" s="7" t="s">
        <v>104</v>
      </c>
      <c r="BA104" s="7" t="s">
        <v>296</v>
      </c>
      <c r="BB104" s="7" t="s">
        <v>297</v>
      </c>
      <c r="BC104" s="7" t="s">
        <v>251</v>
      </c>
      <c r="BD104" s="7" t="s">
        <v>251</v>
      </c>
      <c r="BF104" s="7" t="s">
        <v>252</v>
      </c>
      <c r="BG104" s="7">
        <v>7018</v>
      </c>
      <c r="BH104" s="7" t="s">
        <v>253</v>
      </c>
      <c r="BO104" s="7">
        <v>5</v>
      </c>
      <c r="BR104" s="7" t="s">
        <v>104</v>
      </c>
      <c r="BS104" s="7" t="s">
        <v>299</v>
      </c>
      <c r="BT104" s="7" t="s">
        <v>300</v>
      </c>
      <c r="BU104" s="7" t="s">
        <v>251</v>
      </c>
      <c r="BV104" s="7" t="s">
        <v>301</v>
      </c>
      <c r="BW104" s="7" t="s">
        <v>209</v>
      </c>
    </row>
    <row r="105" spans="1:75" s="3" customFormat="1" x14ac:dyDescent="0.35">
      <c r="A105" s="3" t="s">
        <v>699</v>
      </c>
      <c r="B105" s="4">
        <v>46008</v>
      </c>
      <c r="C105" s="5">
        <v>0.69488425925925934</v>
      </c>
      <c r="D105" s="3" t="s">
        <v>597</v>
      </c>
      <c r="E105" s="3" t="s">
        <v>598</v>
      </c>
      <c r="F105" s="6" t="s">
        <v>700</v>
      </c>
      <c r="G105" s="3">
        <f>COUNTIF($F$2:$F$278,F105)</f>
        <v>25</v>
      </c>
      <c r="H105" s="3" t="s">
        <v>701</v>
      </c>
      <c r="I105" s="3" t="s">
        <v>487</v>
      </c>
      <c r="J105" s="3" t="s">
        <v>83</v>
      </c>
      <c r="K105" s="3" t="s">
        <v>119</v>
      </c>
      <c r="L105" s="3">
        <v>50057</v>
      </c>
      <c r="M105" s="3" t="s">
        <v>85</v>
      </c>
      <c r="N105" s="3" t="s">
        <v>86</v>
      </c>
      <c r="O105" s="3" t="s">
        <v>84</v>
      </c>
      <c r="P105" s="3" t="s">
        <v>100</v>
      </c>
      <c r="Q105" s="3" t="s">
        <v>417</v>
      </c>
      <c r="R105" s="3" t="s">
        <v>418</v>
      </c>
      <c r="S105" s="3" t="s">
        <v>224</v>
      </c>
      <c r="T105" s="3" t="s">
        <v>225</v>
      </c>
      <c r="U105" s="3" t="s">
        <v>276</v>
      </c>
      <c r="V105" s="3" t="s">
        <v>22</v>
      </c>
      <c r="X105" s="3" t="s">
        <v>192</v>
      </c>
      <c r="Y105" s="3" t="s">
        <v>132</v>
      </c>
      <c r="Z105" s="3" t="s">
        <v>193</v>
      </c>
      <c r="AA105" s="3" t="b">
        <v>0</v>
      </c>
      <c r="AB105" s="3" t="b">
        <v>0</v>
      </c>
      <c r="AD105" s="3">
        <v>497</v>
      </c>
      <c r="AE105" s="3" t="s">
        <v>278</v>
      </c>
      <c r="AI105" s="3" t="s">
        <v>702</v>
      </c>
      <c r="AJ105" s="3" t="s">
        <v>100</v>
      </c>
      <c r="AK105" s="3" t="s">
        <v>703</v>
      </c>
      <c r="AL105" s="3" t="s">
        <v>100</v>
      </c>
      <c r="AM105" s="3" t="s">
        <v>100</v>
      </c>
      <c r="AN105" s="3" t="s">
        <v>124</v>
      </c>
      <c r="AO105" s="3">
        <v>1002</v>
      </c>
      <c r="AP105" s="3" t="s">
        <v>704</v>
      </c>
      <c r="AQ105" s="3" t="s">
        <v>104</v>
      </c>
      <c r="AR105" s="3" t="s">
        <v>491</v>
      </c>
      <c r="AS105" s="3" t="s">
        <v>705</v>
      </c>
      <c r="AT105" s="3" t="s">
        <v>706</v>
      </c>
      <c r="AU105" s="3" t="s">
        <v>706</v>
      </c>
      <c r="AX105" s="3" t="s">
        <v>707</v>
      </c>
      <c r="AY105" s="3" t="s">
        <v>708</v>
      </c>
      <c r="AZ105" s="3" t="s">
        <v>104</v>
      </c>
      <c r="BA105" s="3" t="s">
        <v>491</v>
      </c>
      <c r="BB105" s="3" t="s">
        <v>705</v>
      </c>
      <c r="BC105" s="3" t="s">
        <v>709</v>
      </c>
      <c r="BD105" s="3" t="s">
        <v>709</v>
      </c>
      <c r="BE105" s="3" t="s">
        <v>409</v>
      </c>
      <c r="BF105" s="3" t="s">
        <v>710</v>
      </c>
      <c r="BG105" s="3">
        <v>14618</v>
      </c>
      <c r="BH105" s="3" t="s">
        <v>711</v>
      </c>
      <c r="BO105" s="3">
        <v>3</v>
      </c>
      <c r="BR105" s="3" t="s">
        <v>104</v>
      </c>
      <c r="BS105" s="3" t="s">
        <v>712</v>
      </c>
      <c r="BT105" s="3" t="s">
        <v>705</v>
      </c>
      <c r="BU105" s="3" t="s">
        <v>709</v>
      </c>
      <c r="BV105" s="3" t="s">
        <v>713</v>
      </c>
      <c r="BW105" s="3" t="s">
        <v>499</v>
      </c>
    </row>
    <row r="106" spans="1:75" s="3" customFormat="1" x14ac:dyDescent="0.35">
      <c r="A106" s="3" t="s">
        <v>714</v>
      </c>
      <c r="B106" s="4">
        <v>46008</v>
      </c>
      <c r="C106" s="5">
        <v>0.69358796296296299</v>
      </c>
      <c r="D106" s="3" t="s">
        <v>597</v>
      </c>
      <c r="E106" s="3" t="s">
        <v>598</v>
      </c>
      <c r="F106" s="6" t="s">
        <v>700</v>
      </c>
      <c r="G106" s="3">
        <f>COUNTIF($F$2:$F$278,F106)</f>
        <v>25</v>
      </c>
      <c r="H106" s="3" t="s">
        <v>701</v>
      </c>
      <c r="I106" s="3" t="s">
        <v>487</v>
      </c>
      <c r="J106" s="3" t="s">
        <v>83</v>
      </c>
      <c r="K106" s="3" t="s">
        <v>119</v>
      </c>
      <c r="L106" s="3">
        <v>50057</v>
      </c>
      <c r="M106" s="3" t="s">
        <v>85</v>
      </c>
      <c r="N106" s="3" t="s">
        <v>86</v>
      </c>
      <c r="O106" s="3" t="s">
        <v>84</v>
      </c>
      <c r="P106" s="3" t="s">
        <v>100</v>
      </c>
      <c r="Q106" s="3" t="s">
        <v>417</v>
      </c>
      <c r="R106" s="3" t="s">
        <v>418</v>
      </c>
      <c r="S106" s="3" t="s">
        <v>224</v>
      </c>
      <c r="T106" s="3" t="s">
        <v>225</v>
      </c>
      <c r="U106" s="3" t="s">
        <v>276</v>
      </c>
      <c r="V106" s="3" t="s">
        <v>22</v>
      </c>
      <c r="X106" s="3" t="s">
        <v>192</v>
      </c>
      <c r="Y106" s="3" t="s">
        <v>132</v>
      </c>
      <c r="Z106" s="3" t="s">
        <v>193</v>
      </c>
      <c r="AA106" s="3" t="b">
        <v>0</v>
      </c>
      <c r="AB106" s="3" t="b">
        <v>0</v>
      </c>
      <c r="AD106" s="3">
        <v>263</v>
      </c>
      <c r="AE106" s="3" t="s">
        <v>278</v>
      </c>
      <c r="AI106" s="3" t="s">
        <v>702</v>
      </c>
      <c r="AJ106" s="3" t="s">
        <v>100</v>
      </c>
      <c r="AK106" s="3" t="s">
        <v>715</v>
      </c>
      <c r="AL106" s="3" t="s">
        <v>100</v>
      </c>
      <c r="AM106" s="3" t="s">
        <v>100</v>
      </c>
      <c r="AN106" s="3" t="s">
        <v>124</v>
      </c>
      <c r="AO106" s="3">
        <v>1002</v>
      </c>
      <c r="AP106" s="3" t="s">
        <v>716</v>
      </c>
      <c r="AQ106" s="3" t="s">
        <v>104</v>
      </c>
      <c r="AR106" s="3" t="s">
        <v>491</v>
      </c>
      <c r="AS106" s="3" t="s">
        <v>705</v>
      </c>
      <c r="AT106" s="3" t="s">
        <v>706</v>
      </c>
      <c r="AU106" s="3" t="s">
        <v>706</v>
      </c>
      <c r="AX106" s="3" t="s">
        <v>707</v>
      </c>
      <c r="AY106" s="3" t="s">
        <v>708</v>
      </c>
      <c r="AZ106" s="3" t="s">
        <v>104</v>
      </c>
      <c r="BA106" s="3" t="s">
        <v>491</v>
      </c>
      <c r="BB106" s="3" t="s">
        <v>705</v>
      </c>
      <c r="BC106" s="3" t="s">
        <v>709</v>
      </c>
      <c r="BD106" s="3" t="s">
        <v>709</v>
      </c>
      <c r="BE106" s="3" t="s">
        <v>409</v>
      </c>
      <c r="BF106" s="3" t="s">
        <v>710</v>
      </c>
      <c r="BG106" s="3">
        <v>14618</v>
      </c>
      <c r="BH106" s="3" t="s">
        <v>711</v>
      </c>
      <c r="BO106" s="3">
        <v>3</v>
      </c>
      <c r="BR106" s="3" t="s">
        <v>104</v>
      </c>
      <c r="BS106" s="3" t="s">
        <v>712</v>
      </c>
      <c r="BT106" s="3" t="s">
        <v>705</v>
      </c>
      <c r="BU106" s="3" t="s">
        <v>709</v>
      </c>
      <c r="BV106" s="3" t="s">
        <v>713</v>
      </c>
      <c r="BW106" s="3" t="s">
        <v>499</v>
      </c>
    </row>
    <row r="107" spans="1:75" s="7" customFormat="1" x14ac:dyDescent="0.35">
      <c r="A107" s="7" t="s">
        <v>717</v>
      </c>
      <c r="B107" s="8">
        <v>46008</v>
      </c>
      <c r="C107" s="9">
        <v>0.69240740740740747</v>
      </c>
      <c r="D107" s="7" t="s">
        <v>183</v>
      </c>
      <c r="E107" s="7" t="s">
        <v>184</v>
      </c>
      <c r="F107" s="11" t="s">
        <v>290</v>
      </c>
      <c r="G107" s="7">
        <f>COUNTIF($F$2:$F$278,F107)</f>
        <v>35</v>
      </c>
      <c r="H107" s="7" t="s">
        <v>291</v>
      </c>
      <c r="I107" s="7" t="s">
        <v>292</v>
      </c>
      <c r="J107" s="7" t="s">
        <v>83</v>
      </c>
      <c r="K107" s="7" t="s">
        <v>84</v>
      </c>
      <c r="M107" s="7" t="s">
        <v>85</v>
      </c>
      <c r="N107" s="7" t="s">
        <v>86</v>
      </c>
      <c r="O107" s="7" t="s">
        <v>84</v>
      </c>
      <c r="P107" s="7" t="s">
        <v>100</v>
      </c>
      <c r="Q107" s="7" t="s">
        <v>312</v>
      </c>
      <c r="R107" s="7" t="s">
        <v>313</v>
      </c>
      <c r="S107" s="7" t="s">
        <v>314</v>
      </c>
      <c r="T107" s="7" t="s">
        <v>315</v>
      </c>
      <c r="U107" s="7" t="s">
        <v>93</v>
      </c>
      <c r="V107" s="7" t="s">
        <v>22</v>
      </c>
      <c r="X107" s="7" t="s">
        <v>192</v>
      </c>
      <c r="Y107" s="7" t="s">
        <v>132</v>
      </c>
      <c r="Z107" s="7" t="s">
        <v>193</v>
      </c>
      <c r="AA107" s="7" t="b">
        <v>0</v>
      </c>
      <c r="AB107" s="7" t="b">
        <v>0</v>
      </c>
      <c r="AD107" s="7">
        <v>66</v>
      </c>
      <c r="AE107" s="7" t="s">
        <v>153</v>
      </c>
      <c r="AI107" s="7" t="s">
        <v>718</v>
      </c>
      <c r="AJ107" s="7" t="s">
        <v>100</v>
      </c>
      <c r="AK107" s="7" t="s">
        <v>719</v>
      </c>
      <c r="AL107" s="7" t="s">
        <v>100</v>
      </c>
      <c r="AM107" s="7" t="s">
        <v>100</v>
      </c>
      <c r="AN107" s="7" t="s">
        <v>124</v>
      </c>
      <c r="AO107" s="7">
        <v>1002</v>
      </c>
      <c r="AP107" s="7" t="s">
        <v>720</v>
      </c>
      <c r="AQ107" s="7" t="s">
        <v>104</v>
      </c>
      <c r="AR107" s="7" t="s">
        <v>296</v>
      </c>
      <c r="AS107" s="7" t="s">
        <v>297</v>
      </c>
      <c r="AT107" s="7" t="s">
        <v>248</v>
      </c>
      <c r="AU107" s="7" t="s">
        <v>248</v>
      </c>
      <c r="AX107" s="7" t="s">
        <v>249</v>
      </c>
      <c r="AY107" s="7" t="s">
        <v>298</v>
      </c>
      <c r="AZ107" s="7" t="s">
        <v>104</v>
      </c>
      <c r="BA107" s="7" t="s">
        <v>296</v>
      </c>
      <c r="BB107" s="7" t="s">
        <v>297</v>
      </c>
      <c r="BC107" s="7" t="s">
        <v>251</v>
      </c>
      <c r="BD107" s="7" t="s">
        <v>251</v>
      </c>
      <c r="BF107" s="7" t="s">
        <v>252</v>
      </c>
      <c r="BG107" s="7">
        <v>7018</v>
      </c>
      <c r="BH107" s="7" t="s">
        <v>253</v>
      </c>
      <c r="BO107" s="7">
        <v>5</v>
      </c>
      <c r="BR107" s="7" t="s">
        <v>104</v>
      </c>
      <c r="BS107" s="7" t="s">
        <v>299</v>
      </c>
      <c r="BT107" s="7" t="s">
        <v>300</v>
      </c>
      <c r="BU107" s="7" t="s">
        <v>251</v>
      </c>
      <c r="BV107" s="7" t="s">
        <v>301</v>
      </c>
      <c r="BW107" s="7" t="s">
        <v>209</v>
      </c>
    </row>
    <row r="108" spans="1:75" s="7" customFormat="1" x14ac:dyDescent="0.35">
      <c r="A108" s="7" t="s">
        <v>721</v>
      </c>
      <c r="B108" s="8">
        <v>46008</v>
      </c>
      <c r="C108" s="9">
        <v>0.69224537037037026</v>
      </c>
      <c r="D108" s="7" t="s">
        <v>183</v>
      </c>
      <c r="E108" s="7" t="s">
        <v>184</v>
      </c>
      <c r="F108" s="11" t="s">
        <v>290</v>
      </c>
      <c r="G108" s="7">
        <f>COUNTIF($F$2:$F$278,F108)</f>
        <v>35</v>
      </c>
      <c r="H108" s="7" t="s">
        <v>291</v>
      </c>
      <c r="I108" s="7" t="s">
        <v>292</v>
      </c>
      <c r="J108" s="7" t="s">
        <v>83</v>
      </c>
      <c r="K108" s="7" t="s">
        <v>84</v>
      </c>
      <c r="M108" s="7" t="s">
        <v>85</v>
      </c>
      <c r="N108" s="7" t="s">
        <v>86</v>
      </c>
      <c r="O108" s="7" t="s">
        <v>84</v>
      </c>
      <c r="P108" s="7" t="s">
        <v>100</v>
      </c>
      <c r="Q108" s="7" t="s">
        <v>188</v>
      </c>
      <c r="R108" s="7" t="s">
        <v>189</v>
      </c>
      <c r="S108" s="7" t="s">
        <v>190</v>
      </c>
      <c r="T108" s="7" t="s">
        <v>191</v>
      </c>
      <c r="U108" s="7" t="s">
        <v>93</v>
      </c>
      <c r="V108" s="7" t="s">
        <v>22</v>
      </c>
      <c r="X108" s="7" t="s">
        <v>192</v>
      </c>
      <c r="Y108" s="7" t="s">
        <v>132</v>
      </c>
      <c r="Z108" s="7" t="s">
        <v>193</v>
      </c>
      <c r="AA108" s="7" t="b">
        <v>0</v>
      </c>
      <c r="AB108" s="7" t="b">
        <v>0</v>
      </c>
      <c r="AD108" s="7">
        <v>202</v>
      </c>
      <c r="AE108" s="7" t="s">
        <v>153</v>
      </c>
      <c r="AI108" s="7" t="s">
        <v>718</v>
      </c>
      <c r="AJ108" s="7" t="s">
        <v>100</v>
      </c>
      <c r="AK108" s="7" t="s">
        <v>722</v>
      </c>
      <c r="AL108" s="7" t="s">
        <v>100</v>
      </c>
      <c r="AM108" s="7" t="s">
        <v>100</v>
      </c>
      <c r="AN108" s="7" t="s">
        <v>124</v>
      </c>
      <c r="AO108" s="7">
        <v>1002</v>
      </c>
      <c r="AP108" s="7" t="s">
        <v>723</v>
      </c>
      <c r="AQ108" s="7" t="s">
        <v>104</v>
      </c>
      <c r="AR108" s="7" t="s">
        <v>296</v>
      </c>
      <c r="AS108" s="7" t="s">
        <v>297</v>
      </c>
      <c r="AT108" s="7" t="s">
        <v>248</v>
      </c>
      <c r="AU108" s="7" t="s">
        <v>248</v>
      </c>
      <c r="AX108" s="7" t="s">
        <v>249</v>
      </c>
      <c r="AY108" s="7" t="s">
        <v>298</v>
      </c>
      <c r="AZ108" s="7" t="s">
        <v>104</v>
      </c>
      <c r="BA108" s="7" t="s">
        <v>296</v>
      </c>
      <c r="BB108" s="7" t="s">
        <v>297</v>
      </c>
      <c r="BC108" s="7" t="s">
        <v>251</v>
      </c>
      <c r="BD108" s="7" t="s">
        <v>251</v>
      </c>
      <c r="BF108" s="7" t="s">
        <v>252</v>
      </c>
      <c r="BG108" s="7">
        <v>7018</v>
      </c>
      <c r="BH108" s="7" t="s">
        <v>253</v>
      </c>
      <c r="BO108" s="7">
        <v>5</v>
      </c>
      <c r="BR108" s="7" t="s">
        <v>104</v>
      </c>
      <c r="BS108" s="7" t="s">
        <v>299</v>
      </c>
      <c r="BT108" s="7" t="s">
        <v>300</v>
      </c>
      <c r="BU108" s="7" t="s">
        <v>251</v>
      </c>
      <c r="BV108" s="7" t="s">
        <v>301</v>
      </c>
      <c r="BW108" s="7" t="s">
        <v>209</v>
      </c>
    </row>
    <row r="109" spans="1:75" s="7" customFormat="1" x14ac:dyDescent="0.35">
      <c r="A109" s="7" t="s">
        <v>724</v>
      </c>
      <c r="B109" s="8">
        <v>46008</v>
      </c>
      <c r="C109" s="9">
        <v>0.69134259259259256</v>
      </c>
      <c r="D109" s="7" t="s">
        <v>183</v>
      </c>
      <c r="E109" s="7" t="s">
        <v>184</v>
      </c>
      <c r="F109" s="11" t="s">
        <v>290</v>
      </c>
      <c r="G109" s="7">
        <f>COUNTIF($F$2:$F$278,F109)</f>
        <v>35</v>
      </c>
      <c r="H109" s="7" t="s">
        <v>291</v>
      </c>
      <c r="I109" s="7" t="s">
        <v>292</v>
      </c>
      <c r="J109" s="7" t="s">
        <v>83</v>
      </c>
      <c r="K109" s="7" t="s">
        <v>84</v>
      </c>
      <c r="M109" s="7" t="s">
        <v>85</v>
      </c>
      <c r="N109" s="7" t="s">
        <v>86</v>
      </c>
      <c r="O109" s="7" t="s">
        <v>84</v>
      </c>
      <c r="P109" s="7" t="s">
        <v>100</v>
      </c>
      <c r="Q109" s="7" t="s">
        <v>188</v>
      </c>
      <c r="R109" s="7" t="s">
        <v>189</v>
      </c>
      <c r="S109" s="7" t="s">
        <v>190</v>
      </c>
      <c r="T109" s="7" t="s">
        <v>191</v>
      </c>
      <c r="U109" s="7" t="s">
        <v>93</v>
      </c>
      <c r="V109" s="7" t="s">
        <v>22</v>
      </c>
      <c r="X109" s="7" t="s">
        <v>192</v>
      </c>
      <c r="Y109" s="7" t="s">
        <v>132</v>
      </c>
      <c r="Z109" s="7" t="s">
        <v>193</v>
      </c>
      <c r="AA109" s="7" t="b">
        <v>0</v>
      </c>
      <c r="AB109" s="7" t="b">
        <v>0</v>
      </c>
      <c r="AD109" s="7">
        <v>178</v>
      </c>
      <c r="AE109" s="7" t="s">
        <v>134</v>
      </c>
      <c r="AI109" s="7" t="s">
        <v>718</v>
      </c>
      <c r="AJ109" s="7" t="s">
        <v>100</v>
      </c>
      <c r="AK109" s="7" t="s">
        <v>725</v>
      </c>
      <c r="AL109" s="7" t="s">
        <v>100</v>
      </c>
      <c r="AM109" s="7" t="s">
        <v>100</v>
      </c>
      <c r="AN109" s="7" t="s">
        <v>124</v>
      </c>
      <c r="AO109" s="7">
        <v>1002</v>
      </c>
      <c r="AP109" s="7" t="s">
        <v>723</v>
      </c>
      <c r="AQ109" s="7" t="s">
        <v>104</v>
      </c>
      <c r="AR109" s="7" t="s">
        <v>296</v>
      </c>
      <c r="AS109" s="7" t="s">
        <v>297</v>
      </c>
      <c r="AT109" s="7" t="s">
        <v>248</v>
      </c>
      <c r="AU109" s="7" t="s">
        <v>248</v>
      </c>
      <c r="AX109" s="7" t="s">
        <v>249</v>
      </c>
      <c r="AY109" s="7" t="s">
        <v>298</v>
      </c>
      <c r="AZ109" s="7" t="s">
        <v>104</v>
      </c>
      <c r="BA109" s="7" t="s">
        <v>296</v>
      </c>
      <c r="BB109" s="7" t="s">
        <v>297</v>
      </c>
      <c r="BC109" s="7" t="s">
        <v>251</v>
      </c>
      <c r="BD109" s="7" t="s">
        <v>251</v>
      </c>
      <c r="BF109" s="7" t="s">
        <v>252</v>
      </c>
      <c r="BG109" s="7">
        <v>7018</v>
      </c>
      <c r="BH109" s="7" t="s">
        <v>253</v>
      </c>
      <c r="BO109" s="7">
        <v>5</v>
      </c>
      <c r="BR109" s="7" t="s">
        <v>104</v>
      </c>
      <c r="BS109" s="7" t="s">
        <v>299</v>
      </c>
      <c r="BT109" s="7" t="s">
        <v>300</v>
      </c>
      <c r="BU109" s="7" t="s">
        <v>251</v>
      </c>
      <c r="BV109" s="7" t="s">
        <v>301</v>
      </c>
      <c r="BW109" s="7" t="s">
        <v>209</v>
      </c>
    </row>
    <row r="110" spans="1:75" s="7" customFormat="1" x14ac:dyDescent="0.35">
      <c r="A110" s="7" t="s">
        <v>726</v>
      </c>
      <c r="B110" s="8">
        <v>46008</v>
      </c>
      <c r="C110" s="9">
        <v>0.69119212962962961</v>
      </c>
      <c r="D110" s="7" t="s">
        <v>183</v>
      </c>
      <c r="E110" s="7" t="s">
        <v>184</v>
      </c>
      <c r="F110" s="11" t="s">
        <v>290</v>
      </c>
      <c r="G110" s="7">
        <f>COUNTIF($F$2:$F$278,F110)</f>
        <v>35</v>
      </c>
      <c r="H110" s="7" t="s">
        <v>291</v>
      </c>
      <c r="I110" s="7" t="s">
        <v>292</v>
      </c>
      <c r="J110" s="7" t="s">
        <v>83</v>
      </c>
      <c r="K110" s="7" t="s">
        <v>143</v>
      </c>
      <c r="L110" s="7">
        <v>50140</v>
      </c>
      <c r="M110" s="7" t="s">
        <v>85</v>
      </c>
      <c r="N110" s="7" t="s">
        <v>86</v>
      </c>
      <c r="O110" s="7" t="s">
        <v>84</v>
      </c>
      <c r="P110" s="7" t="s">
        <v>100</v>
      </c>
      <c r="Q110" s="7" t="s">
        <v>188</v>
      </c>
      <c r="R110" s="7" t="s">
        <v>189</v>
      </c>
      <c r="S110" s="7" t="s">
        <v>190</v>
      </c>
      <c r="T110" s="7" t="s">
        <v>191</v>
      </c>
      <c r="U110" s="7" t="s">
        <v>144</v>
      </c>
      <c r="V110" s="7" t="s">
        <v>22</v>
      </c>
      <c r="X110" s="7" t="s">
        <v>192</v>
      </c>
      <c r="Y110" s="7" t="s">
        <v>132</v>
      </c>
      <c r="Z110" s="7" t="s">
        <v>193</v>
      </c>
      <c r="AA110" s="7" t="b">
        <v>0</v>
      </c>
      <c r="AB110" s="7" t="b">
        <v>0</v>
      </c>
      <c r="AD110" s="7">
        <v>204</v>
      </c>
      <c r="AE110" s="7" t="s">
        <v>145</v>
      </c>
      <c r="AI110" s="7" t="s">
        <v>718</v>
      </c>
      <c r="AJ110" s="7" t="s">
        <v>100</v>
      </c>
      <c r="AK110" s="7" t="s">
        <v>727</v>
      </c>
      <c r="AL110" s="7" t="s">
        <v>100</v>
      </c>
      <c r="AM110" s="7" t="s">
        <v>100</v>
      </c>
      <c r="AN110" s="7" t="s">
        <v>124</v>
      </c>
      <c r="AO110" s="7">
        <v>1002</v>
      </c>
      <c r="AP110" s="7" t="s">
        <v>723</v>
      </c>
      <c r="AQ110" s="7" t="s">
        <v>104</v>
      </c>
      <c r="AR110" s="7" t="s">
        <v>296</v>
      </c>
      <c r="AS110" s="7" t="s">
        <v>297</v>
      </c>
      <c r="AT110" s="7" t="s">
        <v>248</v>
      </c>
      <c r="AU110" s="7" t="s">
        <v>248</v>
      </c>
      <c r="AX110" s="7" t="s">
        <v>249</v>
      </c>
      <c r="AY110" s="7" t="s">
        <v>298</v>
      </c>
      <c r="AZ110" s="7" t="s">
        <v>104</v>
      </c>
      <c r="BA110" s="7" t="s">
        <v>296</v>
      </c>
      <c r="BB110" s="7" t="s">
        <v>297</v>
      </c>
      <c r="BC110" s="7" t="s">
        <v>251</v>
      </c>
      <c r="BD110" s="7" t="s">
        <v>251</v>
      </c>
      <c r="BF110" s="7" t="s">
        <v>252</v>
      </c>
      <c r="BG110" s="7">
        <v>7018</v>
      </c>
      <c r="BH110" s="7" t="s">
        <v>253</v>
      </c>
      <c r="BO110" s="7">
        <v>5</v>
      </c>
      <c r="BR110" s="7" t="s">
        <v>104</v>
      </c>
      <c r="BS110" s="7" t="s">
        <v>299</v>
      </c>
      <c r="BT110" s="7" t="s">
        <v>300</v>
      </c>
      <c r="BU110" s="7" t="s">
        <v>251</v>
      </c>
      <c r="BV110" s="7" t="s">
        <v>301</v>
      </c>
      <c r="BW110" s="7" t="s">
        <v>209</v>
      </c>
    </row>
    <row r="111" spans="1:75" s="7" customFormat="1" x14ac:dyDescent="0.35">
      <c r="A111" s="7" t="s">
        <v>726</v>
      </c>
      <c r="B111" s="8">
        <v>46008</v>
      </c>
      <c r="C111" s="9">
        <v>0.69119212962962961</v>
      </c>
      <c r="D111" s="7" t="s">
        <v>183</v>
      </c>
      <c r="E111" s="7" t="s">
        <v>184</v>
      </c>
      <c r="F111" s="11" t="s">
        <v>290</v>
      </c>
      <c r="G111" s="7">
        <f>COUNTIF($F$2:$F$278,F111)</f>
        <v>35</v>
      </c>
      <c r="H111" s="7" t="s">
        <v>291</v>
      </c>
      <c r="I111" s="7" t="s">
        <v>292</v>
      </c>
      <c r="J111" s="7" t="s">
        <v>83</v>
      </c>
      <c r="K111" s="7" t="s">
        <v>119</v>
      </c>
      <c r="L111" s="7">
        <v>50207</v>
      </c>
      <c r="M111" s="7" t="s">
        <v>85</v>
      </c>
      <c r="N111" s="7" t="s">
        <v>120</v>
      </c>
      <c r="O111" s="7" t="s">
        <v>87</v>
      </c>
      <c r="P111" s="7" t="s">
        <v>100</v>
      </c>
      <c r="Q111" s="7" t="s">
        <v>188</v>
      </c>
      <c r="R111" s="7" t="s">
        <v>189</v>
      </c>
      <c r="S111" s="7" t="s">
        <v>190</v>
      </c>
      <c r="T111" s="7" t="s">
        <v>191</v>
      </c>
      <c r="U111" s="7" t="s">
        <v>322</v>
      </c>
      <c r="V111" s="7" t="s">
        <v>22</v>
      </c>
      <c r="X111" s="7" t="s">
        <v>192</v>
      </c>
      <c r="Y111" s="7" t="s">
        <v>132</v>
      </c>
      <c r="Z111" s="7" t="s">
        <v>193</v>
      </c>
      <c r="AA111" s="7" t="b">
        <v>0</v>
      </c>
      <c r="AB111" s="7" t="b">
        <v>0</v>
      </c>
      <c r="AD111" s="7">
        <v>170</v>
      </c>
      <c r="AE111" s="7" t="s">
        <v>153</v>
      </c>
      <c r="AI111" s="7" t="s">
        <v>718</v>
      </c>
      <c r="AJ111" s="7" t="s">
        <v>100</v>
      </c>
      <c r="AK111" s="7" t="s">
        <v>728</v>
      </c>
      <c r="AL111" s="7" t="s">
        <v>100</v>
      </c>
      <c r="AM111" s="7" t="s">
        <v>100</v>
      </c>
      <c r="AN111" s="7" t="s">
        <v>124</v>
      </c>
      <c r="AP111" s="7" t="s">
        <v>723</v>
      </c>
      <c r="AQ111" s="7" t="s">
        <v>104</v>
      </c>
      <c r="AR111" s="7" t="s">
        <v>296</v>
      </c>
      <c r="AS111" s="7" t="s">
        <v>297</v>
      </c>
      <c r="AT111" s="7" t="s">
        <v>248</v>
      </c>
      <c r="AU111" s="7" t="s">
        <v>248</v>
      </c>
      <c r="AX111" s="7" t="s">
        <v>249</v>
      </c>
      <c r="AY111" s="7" t="s">
        <v>298</v>
      </c>
      <c r="AZ111" s="7" t="s">
        <v>104</v>
      </c>
      <c r="BA111" s="7" t="s">
        <v>296</v>
      </c>
      <c r="BB111" s="7" t="s">
        <v>297</v>
      </c>
      <c r="BC111" s="7" t="s">
        <v>251</v>
      </c>
      <c r="BD111" s="7" t="s">
        <v>251</v>
      </c>
      <c r="BF111" s="7" t="s">
        <v>252</v>
      </c>
      <c r="BG111" s="7">
        <v>7018</v>
      </c>
      <c r="BH111" s="7" t="s">
        <v>253</v>
      </c>
      <c r="BO111" s="7">
        <v>5</v>
      </c>
      <c r="BR111" s="7" t="s">
        <v>104</v>
      </c>
      <c r="BS111" s="7" t="s">
        <v>299</v>
      </c>
      <c r="BT111" s="7" t="s">
        <v>300</v>
      </c>
      <c r="BU111" s="7" t="s">
        <v>251</v>
      </c>
      <c r="BV111" s="7" t="s">
        <v>301</v>
      </c>
      <c r="BW111" s="7" t="s">
        <v>209</v>
      </c>
    </row>
    <row r="112" spans="1:75" s="3" customFormat="1" x14ac:dyDescent="0.35">
      <c r="A112" s="3" t="s">
        <v>729</v>
      </c>
      <c r="B112" s="4">
        <v>46008</v>
      </c>
      <c r="C112" s="5">
        <v>0.6909143518518519</v>
      </c>
      <c r="D112" s="3" t="s">
        <v>597</v>
      </c>
      <c r="E112" s="3" t="s">
        <v>598</v>
      </c>
      <c r="F112" s="6" t="s">
        <v>700</v>
      </c>
      <c r="G112" s="3">
        <f>COUNTIF($F$2:$F$278,F112)</f>
        <v>25</v>
      </c>
      <c r="H112" s="3" t="s">
        <v>701</v>
      </c>
      <c r="I112" s="3" t="s">
        <v>487</v>
      </c>
      <c r="J112" s="3" t="s">
        <v>83</v>
      </c>
      <c r="K112" s="3" t="s">
        <v>119</v>
      </c>
      <c r="L112" s="3">
        <v>50057</v>
      </c>
      <c r="M112" s="3" t="s">
        <v>85</v>
      </c>
      <c r="N112" s="3" t="s">
        <v>86</v>
      </c>
      <c r="O112" s="3" t="s">
        <v>84</v>
      </c>
      <c r="P112" s="3" t="s">
        <v>100</v>
      </c>
      <c r="Q112" s="3" t="s">
        <v>417</v>
      </c>
      <c r="R112" s="3" t="s">
        <v>418</v>
      </c>
      <c r="S112" s="3" t="s">
        <v>224</v>
      </c>
      <c r="T112" s="3" t="s">
        <v>225</v>
      </c>
      <c r="U112" s="3" t="s">
        <v>276</v>
      </c>
      <c r="V112" s="3" t="s">
        <v>22</v>
      </c>
      <c r="X112" s="3" t="s">
        <v>192</v>
      </c>
      <c r="Y112" s="3" t="s">
        <v>132</v>
      </c>
      <c r="Z112" s="3" t="s">
        <v>193</v>
      </c>
      <c r="AA112" s="3" t="b">
        <v>0</v>
      </c>
      <c r="AB112" s="3" t="b">
        <v>0</v>
      </c>
      <c r="AD112" s="3">
        <v>172</v>
      </c>
      <c r="AE112" s="3" t="s">
        <v>278</v>
      </c>
      <c r="AI112" s="3" t="s">
        <v>702</v>
      </c>
      <c r="AJ112" s="3" t="s">
        <v>100</v>
      </c>
      <c r="AK112" s="3" t="s">
        <v>730</v>
      </c>
      <c r="AL112" s="3" t="s">
        <v>100</v>
      </c>
      <c r="AM112" s="3" t="s">
        <v>100</v>
      </c>
      <c r="AN112" s="3" t="s">
        <v>124</v>
      </c>
      <c r="AO112" s="3">
        <v>1002</v>
      </c>
      <c r="AP112" s="3" t="s">
        <v>731</v>
      </c>
      <c r="AQ112" s="3" t="s">
        <v>104</v>
      </c>
      <c r="AR112" s="3" t="s">
        <v>491</v>
      </c>
      <c r="AS112" s="3" t="s">
        <v>705</v>
      </c>
      <c r="AT112" s="3" t="s">
        <v>706</v>
      </c>
      <c r="AU112" s="3" t="s">
        <v>706</v>
      </c>
      <c r="AX112" s="3" t="s">
        <v>707</v>
      </c>
      <c r="AY112" s="3" t="s">
        <v>708</v>
      </c>
      <c r="AZ112" s="3" t="s">
        <v>104</v>
      </c>
      <c r="BA112" s="3" t="s">
        <v>491</v>
      </c>
      <c r="BB112" s="3" t="s">
        <v>705</v>
      </c>
      <c r="BC112" s="3" t="s">
        <v>709</v>
      </c>
      <c r="BD112" s="3" t="s">
        <v>709</v>
      </c>
      <c r="BE112" s="3" t="s">
        <v>409</v>
      </c>
      <c r="BF112" s="3" t="s">
        <v>710</v>
      </c>
      <c r="BG112" s="3">
        <v>14618</v>
      </c>
      <c r="BH112" s="3" t="s">
        <v>711</v>
      </c>
      <c r="BO112" s="3">
        <v>3</v>
      </c>
      <c r="BR112" s="3" t="s">
        <v>104</v>
      </c>
      <c r="BS112" s="3" t="s">
        <v>712</v>
      </c>
      <c r="BT112" s="3" t="s">
        <v>705</v>
      </c>
      <c r="BU112" s="3" t="s">
        <v>709</v>
      </c>
      <c r="BV112" s="3" t="s">
        <v>713</v>
      </c>
      <c r="BW112" s="3" t="s">
        <v>499</v>
      </c>
    </row>
    <row r="113" spans="1:75" s="7" customFormat="1" x14ac:dyDescent="0.35">
      <c r="A113" s="7" t="s">
        <v>732</v>
      </c>
      <c r="B113" s="8">
        <v>46008</v>
      </c>
      <c r="C113" s="9">
        <v>0.69072916666666673</v>
      </c>
      <c r="D113" s="7" t="s">
        <v>183</v>
      </c>
      <c r="E113" s="7" t="s">
        <v>184</v>
      </c>
      <c r="F113" s="11" t="s">
        <v>290</v>
      </c>
      <c r="G113" s="7">
        <f>COUNTIF($F$2:$F$278,F113)</f>
        <v>35</v>
      </c>
      <c r="H113" s="7" t="s">
        <v>291</v>
      </c>
      <c r="I113" s="7" t="s">
        <v>292</v>
      </c>
      <c r="J113" s="7" t="s">
        <v>83</v>
      </c>
      <c r="K113" s="7" t="s">
        <v>84</v>
      </c>
      <c r="M113" s="7" t="s">
        <v>85</v>
      </c>
      <c r="N113" s="7" t="s">
        <v>86</v>
      </c>
      <c r="O113" s="7" t="s">
        <v>84</v>
      </c>
      <c r="P113" s="7" t="s">
        <v>100</v>
      </c>
      <c r="Q113" s="7" t="s">
        <v>689</v>
      </c>
      <c r="R113" s="7" t="s">
        <v>690</v>
      </c>
      <c r="S113" s="7" t="s">
        <v>224</v>
      </c>
      <c r="T113" s="7" t="s">
        <v>225</v>
      </c>
      <c r="U113" s="7" t="s">
        <v>93</v>
      </c>
      <c r="V113" s="7" t="s">
        <v>94</v>
      </c>
      <c r="X113" s="7" t="s">
        <v>691</v>
      </c>
      <c r="Y113" s="7" t="s">
        <v>132</v>
      </c>
      <c r="Z113" s="7" t="s">
        <v>692</v>
      </c>
      <c r="AA113" s="7" t="b">
        <v>0</v>
      </c>
      <c r="AB113" s="7" t="b">
        <v>0</v>
      </c>
      <c r="AD113" s="7">
        <v>80</v>
      </c>
      <c r="AE113" s="7" t="s">
        <v>352</v>
      </c>
      <c r="AF113" s="7" t="s">
        <v>215</v>
      </c>
      <c r="AG113" s="7" t="s">
        <v>216</v>
      </c>
      <c r="AH113" s="7" t="s">
        <v>184</v>
      </c>
      <c r="AI113" s="7" t="s">
        <v>693</v>
      </c>
      <c r="AJ113" s="7" t="s">
        <v>100</v>
      </c>
      <c r="AK113" s="7" t="s">
        <v>733</v>
      </c>
      <c r="AL113" s="7" t="s">
        <v>100</v>
      </c>
      <c r="AM113" s="7" t="s">
        <v>100</v>
      </c>
      <c r="AN113" s="7" t="s">
        <v>124</v>
      </c>
      <c r="AO113" s="7">
        <v>1002</v>
      </c>
      <c r="AP113" s="7" t="s">
        <v>734</v>
      </c>
      <c r="AQ113" s="7" t="s">
        <v>104</v>
      </c>
      <c r="AR113" s="7" t="s">
        <v>296</v>
      </c>
      <c r="AS113" s="7" t="s">
        <v>297</v>
      </c>
      <c r="AT113" s="7" t="s">
        <v>248</v>
      </c>
      <c r="AU113" s="7" t="s">
        <v>248</v>
      </c>
      <c r="AX113" s="7" t="s">
        <v>249</v>
      </c>
      <c r="AY113" s="7" t="s">
        <v>298</v>
      </c>
      <c r="AZ113" s="7" t="s">
        <v>104</v>
      </c>
      <c r="BA113" s="7" t="s">
        <v>296</v>
      </c>
      <c r="BB113" s="7" t="s">
        <v>297</v>
      </c>
      <c r="BC113" s="7" t="s">
        <v>251</v>
      </c>
      <c r="BD113" s="7" t="s">
        <v>251</v>
      </c>
      <c r="BF113" s="7" t="s">
        <v>252</v>
      </c>
      <c r="BG113" s="7">
        <v>7018</v>
      </c>
      <c r="BH113" s="7" t="s">
        <v>253</v>
      </c>
      <c r="BO113" s="7">
        <v>5</v>
      </c>
      <c r="BR113" s="7" t="s">
        <v>104</v>
      </c>
      <c r="BS113" s="7" t="s">
        <v>299</v>
      </c>
      <c r="BT113" s="7" t="s">
        <v>300</v>
      </c>
      <c r="BU113" s="7" t="s">
        <v>251</v>
      </c>
      <c r="BV113" s="7" t="s">
        <v>301</v>
      </c>
      <c r="BW113" s="7" t="s">
        <v>209</v>
      </c>
    </row>
    <row r="114" spans="1:75" s="7" customFormat="1" x14ac:dyDescent="0.35">
      <c r="A114" s="7" t="s">
        <v>735</v>
      </c>
      <c r="B114" s="8">
        <v>46008</v>
      </c>
      <c r="C114" s="9">
        <v>0.69045138888888891</v>
      </c>
      <c r="D114" s="7" t="s">
        <v>183</v>
      </c>
      <c r="E114" s="7" t="s">
        <v>184</v>
      </c>
      <c r="F114" s="11" t="s">
        <v>290</v>
      </c>
      <c r="G114" s="7">
        <f>COUNTIF($F$2:$F$278,F114)</f>
        <v>35</v>
      </c>
      <c r="H114" s="7" t="s">
        <v>291</v>
      </c>
      <c r="I114" s="7" t="s">
        <v>292</v>
      </c>
      <c r="J114" s="7" t="s">
        <v>83</v>
      </c>
      <c r="K114" s="7" t="s">
        <v>84</v>
      </c>
      <c r="M114" s="7" t="s">
        <v>85</v>
      </c>
      <c r="N114" s="7" t="s">
        <v>86</v>
      </c>
      <c r="O114" s="7" t="s">
        <v>84</v>
      </c>
      <c r="P114" s="7" t="s">
        <v>100</v>
      </c>
      <c r="Q114" s="7" t="s">
        <v>325</v>
      </c>
      <c r="R114" s="7" t="s">
        <v>326</v>
      </c>
      <c r="S114" s="7" t="s">
        <v>314</v>
      </c>
      <c r="T114" s="7" t="s">
        <v>315</v>
      </c>
      <c r="U114" s="7" t="s">
        <v>93</v>
      </c>
      <c r="V114" s="7" t="s">
        <v>22</v>
      </c>
      <c r="X114" s="7" t="s">
        <v>192</v>
      </c>
      <c r="Y114" s="7" t="s">
        <v>132</v>
      </c>
      <c r="Z114" s="7" t="s">
        <v>193</v>
      </c>
      <c r="AA114" s="7" t="b">
        <v>0</v>
      </c>
      <c r="AB114" s="7" t="b">
        <v>0</v>
      </c>
      <c r="AD114" s="7">
        <v>91</v>
      </c>
      <c r="AE114" s="7" t="s">
        <v>153</v>
      </c>
      <c r="AI114" s="7" t="s">
        <v>718</v>
      </c>
      <c r="AJ114" s="7" t="s">
        <v>100</v>
      </c>
      <c r="AK114" s="7" t="s">
        <v>736</v>
      </c>
      <c r="AL114" s="7" t="s">
        <v>100</v>
      </c>
      <c r="AM114" s="7" t="s">
        <v>100</v>
      </c>
      <c r="AN114" s="7" t="s">
        <v>124</v>
      </c>
      <c r="AO114" s="7">
        <v>1002</v>
      </c>
      <c r="AP114" s="7" t="s">
        <v>737</v>
      </c>
      <c r="AQ114" s="7" t="s">
        <v>104</v>
      </c>
      <c r="AR114" s="7" t="s">
        <v>296</v>
      </c>
      <c r="AS114" s="7" t="s">
        <v>297</v>
      </c>
      <c r="AT114" s="7" t="s">
        <v>248</v>
      </c>
      <c r="AU114" s="7" t="s">
        <v>248</v>
      </c>
      <c r="AX114" s="7" t="s">
        <v>249</v>
      </c>
      <c r="AY114" s="7" t="s">
        <v>298</v>
      </c>
      <c r="AZ114" s="7" t="s">
        <v>104</v>
      </c>
      <c r="BA114" s="7" t="s">
        <v>296</v>
      </c>
      <c r="BB114" s="7" t="s">
        <v>297</v>
      </c>
      <c r="BC114" s="7" t="s">
        <v>251</v>
      </c>
      <c r="BD114" s="7" t="s">
        <v>251</v>
      </c>
      <c r="BF114" s="7" t="s">
        <v>252</v>
      </c>
      <c r="BG114" s="7">
        <v>7018</v>
      </c>
      <c r="BH114" s="7" t="s">
        <v>253</v>
      </c>
      <c r="BO114" s="7">
        <v>5</v>
      </c>
      <c r="BR114" s="7" t="s">
        <v>104</v>
      </c>
      <c r="BS114" s="7" t="s">
        <v>299</v>
      </c>
      <c r="BT114" s="7" t="s">
        <v>300</v>
      </c>
      <c r="BU114" s="7" t="s">
        <v>251</v>
      </c>
      <c r="BV114" s="7" t="s">
        <v>301</v>
      </c>
      <c r="BW114" s="7" t="s">
        <v>209</v>
      </c>
    </row>
    <row r="115" spans="1:75" s="7" customFormat="1" x14ac:dyDescent="0.35">
      <c r="A115" s="7" t="s">
        <v>738</v>
      </c>
      <c r="B115" s="8">
        <v>46008</v>
      </c>
      <c r="C115" s="9">
        <v>0.69041666666666668</v>
      </c>
      <c r="D115" s="7" t="s">
        <v>183</v>
      </c>
      <c r="E115" s="7" t="s">
        <v>184</v>
      </c>
      <c r="F115" s="11" t="s">
        <v>290</v>
      </c>
      <c r="G115" s="7">
        <f>COUNTIF($F$2:$F$278,F115)</f>
        <v>35</v>
      </c>
      <c r="H115" s="7" t="s">
        <v>291</v>
      </c>
      <c r="I115" s="7" t="s">
        <v>292</v>
      </c>
      <c r="J115" s="7" t="s">
        <v>83</v>
      </c>
      <c r="K115" s="7" t="s">
        <v>84</v>
      </c>
      <c r="M115" s="7" t="s">
        <v>85</v>
      </c>
      <c r="N115" s="7" t="s">
        <v>86</v>
      </c>
      <c r="O115" s="7" t="s">
        <v>84</v>
      </c>
      <c r="P115" s="7" t="s">
        <v>100</v>
      </c>
      <c r="Q115" s="7" t="s">
        <v>330</v>
      </c>
      <c r="R115" s="7" t="s">
        <v>331</v>
      </c>
      <c r="S115" s="7" t="s">
        <v>91</v>
      </c>
      <c r="T115" s="7" t="s">
        <v>92</v>
      </c>
      <c r="U115" s="7" t="s">
        <v>93</v>
      </c>
      <c r="V115" s="7" t="s">
        <v>22</v>
      </c>
      <c r="X115" s="7" t="s">
        <v>192</v>
      </c>
      <c r="Y115" s="7" t="s">
        <v>132</v>
      </c>
      <c r="Z115" s="7" t="s">
        <v>193</v>
      </c>
      <c r="AA115" s="7" t="b">
        <v>0</v>
      </c>
      <c r="AB115" s="7" t="b">
        <v>0</v>
      </c>
      <c r="AD115" s="7">
        <v>53</v>
      </c>
      <c r="AE115" s="7" t="s">
        <v>153</v>
      </c>
      <c r="AI115" s="7" t="s">
        <v>718</v>
      </c>
      <c r="AJ115" s="7" t="s">
        <v>100</v>
      </c>
      <c r="AK115" s="7" t="s">
        <v>739</v>
      </c>
      <c r="AL115" s="7" t="s">
        <v>100</v>
      </c>
      <c r="AM115" s="7" t="s">
        <v>100</v>
      </c>
      <c r="AN115" s="7" t="s">
        <v>124</v>
      </c>
      <c r="AO115" s="7">
        <v>1002</v>
      </c>
      <c r="AP115" s="7" t="s">
        <v>740</v>
      </c>
      <c r="AQ115" s="7" t="s">
        <v>104</v>
      </c>
      <c r="AR115" s="7" t="s">
        <v>296</v>
      </c>
      <c r="AS115" s="7" t="s">
        <v>297</v>
      </c>
      <c r="AT115" s="7" t="s">
        <v>248</v>
      </c>
      <c r="AU115" s="7" t="s">
        <v>248</v>
      </c>
      <c r="AX115" s="7" t="s">
        <v>249</v>
      </c>
      <c r="AY115" s="7" t="s">
        <v>298</v>
      </c>
      <c r="AZ115" s="7" t="s">
        <v>104</v>
      </c>
      <c r="BA115" s="7" t="s">
        <v>296</v>
      </c>
      <c r="BB115" s="7" t="s">
        <v>297</v>
      </c>
      <c r="BC115" s="7" t="s">
        <v>251</v>
      </c>
      <c r="BD115" s="7" t="s">
        <v>251</v>
      </c>
      <c r="BF115" s="7" t="s">
        <v>252</v>
      </c>
      <c r="BG115" s="7">
        <v>7018</v>
      </c>
      <c r="BH115" s="7" t="s">
        <v>253</v>
      </c>
      <c r="BO115" s="7">
        <v>5</v>
      </c>
      <c r="BR115" s="7" t="s">
        <v>104</v>
      </c>
      <c r="BS115" s="7" t="s">
        <v>299</v>
      </c>
      <c r="BT115" s="7" t="s">
        <v>300</v>
      </c>
      <c r="BU115" s="7" t="s">
        <v>251</v>
      </c>
      <c r="BV115" s="7" t="s">
        <v>301</v>
      </c>
      <c r="BW115" s="7" t="s">
        <v>209</v>
      </c>
    </row>
    <row r="116" spans="1:75" s="7" customFormat="1" x14ac:dyDescent="0.35">
      <c r="A116" s="7" t="s">
        <v>741</v>
      </c>
      <c r="B116" s="8">
        <v>46008</v>
      </c>
      <c r="C116" s="9">
        <v>0.69034722222222233</v>
      </c>
      <c r="D116" s="7" t="s">
        <v>183</v>
      </c>
      <c r="E116" s="7" t="s">
        <v>184</v>
      </c>
      <c r="F116" s="11" t="s">
        <v>290</v>
      </c>
      <c r="G116" s="7">
        <f>COUNTIF($F$2:$F$278,F116)</f>
        <v>35</v>
      </c>
      <c r="H116" s="7" t="s">
        <v>291</v>
      </c>
      <c r="I116" s="7" t="s">
        <v>292</v>
      </c>
      <c r="J116" s="7" t="s">
        <v>83</v>
      </c>
      <c r="K116" s="7" t="s">
        <v>84</v>
      </c>
      <c r="M116" s="7" t="s">
        <v>85</v>
      </c>
      <c r="N116" s="7" t="s">
        <v>86</v>
      </c>
      <c r="O116" s="7" t="s">
        <v>84</v>
      </c>
      <c r="P116" s="7" t="s">
        <v>100</v>
      </c>
      <c r="Q116" s="7" t="s">
        <v>150</v>
      </c>
      <c r="R116" s="7" t="s">
        <v>151</v>
      </c>
      <c r="S116" s="7" t="s">
        <v>150</v>
      </c>
      <c r="T116" s="7" t="s">
        <v>151</v>
      </c>
      <c r="U116" s="7" t="s">
        <v>93</v>
      </c>
      <c r="V116" s="7" t="s">
        <v>22</v>
      </c>
      <c r="X116" s="7" t="s">
        <v>192</v>
      </c>
      <c r="Y116" s="7" t="s">
        <v>132</v>
      </c>
      <c r="Z116" s="7" t="s">
        <v>193</v>
      </c>
      <c r="AA116" s="7" t="b">
        <v>0</v>
      </c>
      <c r="AB116" s="7" t="b">
        <v>0</v>
      </c>
      <c r="AD116" s="7">
        <v>91</v>
      </c>
      <c r="AE116" s="7" t="s">
        <v>153</v>
      </c>
      <c r="AI116" s="7" t="s">
        <v>718</v>
      </c>
      <c r="AJ116" s="7" t="s">
        <v>100</v>
      </c>
      <c r="AK116" s="7" t="s">
        <v>742</v>
      </c>
      <c r="AL116" s="7" t="s">
        <v>100</v>
      </c>
      <c r="AM116" s="7" t="s">
        <v>100</v>
      </c>
      <c r="AN116" s="7" t="s">
        <v>124</v>
      </c>
      <c r="AO116" s="7">
        <v>1002</v>
      </c>
      <c r="AP116" s="7" t="s">
        <v>743</v>
      </c>
      <c r="AQ116" s="7" t="s">
        <v>104</v>
      </c>
      <c r="AR116" s="7" t="s">
        <v>296</v>
      </c>
      <c r="AS116" s="7" t="s">
        <v>297</v>
      </c>
      <c r="AT116" s="7" t="s">
        <v>248</v>
      </c>
      <c r="AU116" s="7" t="s">
        <v>248</v>
      </c>
      <c r="AX116" s="7" t="s">
        <v>249</v>
      </c>
      <c r="AY116" s="7" t="s">
        <v>298</v>
      </c>
      <c r="AZ116" s="7" t="s">
        <v>104</v>
      </c>
      <c r="BA116" s="7" t="s">
        <v>296</v>
      </c>
      <c r="BB116" s="7" t="s">
        <v>297</v>
      </c>
      <c r="BC116" s="7" t="s">
        <v>251</v>
      </c>
      <c r="BD116" s="7" t="s">
        <v>251</v>
      </c>
      <c r="BF116" s="7" t="s">
        <v>252</v>
      </c>
      <c r="BG116" s="7">
        <v>7018</v>
      </c>
      <c r="BH116" s="7" t="s">
        <v>253</v>
      </c>
      <c r="BO116" s="7">
        <v>5</v>
      </c>
      <c r="BR116" s="7" t="s">
        <v>104</v>
      </c>
      <c r="BS116" s="7" t="s">
        <v>299</v>
      </c>
      <c r="BT116" s="7" t="s">
        <v>300</v>
      </c>
      <c r="BU116" s="7" t="s">
        <v>251</v>
      </c>
      <c r="BV116" s="7" t="s">
        <v>301</v>
      </c>
      <c r="BW116" s="7" t="s">
        <v>209</v>
      </c>
    </row>
    <row r="117" spans="1:75" s="7" customFormat="1" x14ac:dyDescent="0.35">
      <c r="A117" s="7" t="s">
        <v>741</v>
      </c>
      <c r="B117" s="8">
        <v>46008</v>
      </c>
      <c r="C117" s="9">
        <v>0.69034722222222233</v>
      </c>
      <c r="D117" s="7" t="s">
        <v>183</v>
      </c>
      <c r="E117" s="7" t="s">
        <v>184</v>
      </c>
      <c r="F117" s="11" t="s">
        <v>290</v>
      </c>
      <c r="G117" s="7">
        <f>COUNTIF($F$2:$F$278,F117)</f>
        <v>35</v>
      </c>
      <c r="H117" s="7" t="s">
        <v>291</v>
      </c>
      <c r="I117" s="7" t="s">
        <v>292</v>
      </c>
      <c r="J117" s="7" t="s">
        <v>83</v>
      </c>
      <c r="K117" s="7" t="s">
        <v>84</v>
      </c>
      <c r="M117" s="7" t="s">
        <v>85</v>
      </c>
      <c r="N117" s="7" t="s">
        <v>86</v>
      </c>
      <c r="O117" s="7" t="s">
        <v>84</v>
      </c>
      <c r="P117" s="7" t="s">
        <v>100</v>
      </c>
      <c r="Q117" s="7" t="s">
        <v>150</v>
      </c>
      <c r="R117" s="7" t="s">
        <v>151</v>
      </c>
      <c r="S117" s="7" t="s">
        <v>150</v>
      </c>
      <c r="T117" s="7" t="s">
        <v>151</v>
      </c>
      <c r="U117" s="7" t="s">
        <v>93</v>
      </c>
      <c r="V117" s="7" t="s">
        <v>22</v>
      </c>
      <c r="X117" s="7" t="s">
        <v>192</v>
      </c>
      <c r="Y117" s="7" t="s">
        <v>132</v>
      </c>
      <c r="Z117" s="7" t="s">
        <v>193</v>
      </c>
      <c r="AA117" s="7" t="b">
        <v>0</v>
      </c>
      <c r="AB117" s="7" t="b">
        <v>0</v>
      </c>
      <c r="AD117" s="7">
        <v>133</v>
      </c>
      <c r="AE117" s="7" t="s">
        <v>134</v>
      </c>
      <c r="AH117" s="7" t="s">
        <v>184</v>
      </c>
      <c r="AI117" s="7" t="s">
        <v>718</v>
      </c>
      <c r="AJ117" s="7" t="s">
        <v>100</v>
      </c>
      <c r="AK117" s="7" t="s">
        <v>744</v>
      </c>
      <c r="AL117" s="7" t="s">
        <v>100</v>
      </c>
      <c r="AM117" s="7" t="s">
        <v>100</v>
      </c>
      <c r="AN117" s="7" t="s">
        <v>124</v>
      </c>
      <c r="AO117" s="7">
        <v>1002</v>
      </c>
      <c r="AP117" s="7" t="s">
        <v>743</v>
      </c>
      <c r="AQ117" s="7" t="s">
        <v>104</v>
      </c>
      <c r="AR117" s="7" t="s">
        <v>296</v>
      </c>
      <c r="AS117" s="7" t="s">
        <v>297</v>
      </c>
      <c r="AT117" s="7" t="s">
        <v>248</v>
      </c>
      <c r="AU117" s="7" t="s">
        <v>248</v>
      </c>
      <c r="AX117" s="7" t="s">
        <v>249</v>
      </c>
      <c r="AY117" s="7" t="s">
        <v>298</v>
      </c>
      <c r="AZ117" s="7" t="s">
        <v>104</v>
      </c>
      <c r="BA117" s="7" t="s">
        <v>296</v>
      </c>
      <c r="BB117" s="7" t="s">
        <v>297</v>
      </c>
      <c r="BC117" s="7" t="s">
        <v>251</v>
      </c>
      <c r="BD117" s="7" t="s">
        <v>251</v>
      </c>
      <c r="BF117" s="7" t="s">
        <v>252</v>
      </c>
      <c r="BG117" s="7">
        <v>7018</v>
      </c>
      <c r="BH117" s="7" t="s">
        <v>253</v>
      </c>
      <c r="BO117" s="7">
        <v>5</v>
      </c>
      <c r="BR117" s="7" t="s">
        <v>104</v>
      </c>
      <c r="BS117" s="7" t="s">
        <v>299</v>
      </c>
      <c r="BT117" s="7" t="s">
        <v>300</v>
      </c>
      <c r="BU117" s="7" t="s">
        <v>251</v>
      </c>
      <c r="BV117" s="7" t="s">
        <v>301</v>
      </c>
      <c r="BW117" s="7" t="s">
        <v>209</v>
      </c>
    </row>
    <row r="118" spans="1:75" s="7" customFormat="1" x14ac:dyDescent="0.35">
      <c r="A118" s="7" t="s">
        <v>745</v>
      </c>
      <c r="B118" s="8">
        <v>46008</v>
      </c>
      <c r="C118" s="9">
        <v>0.69028935185185192</v>
      </c>
      <c r="D118" s="7" t="s">
        <v>183</v>
      </c>
      <c r="E118" s="7" t="s">
        <v>184</v>
      </c>
      <c r="F118" s="11" t="s">
        <v>290</v>
      </c>
      <c r="G118" s="7">
        <f>COUNTIF($F$2:$F$278,F118)</f>
        <v>35</v>
      </c>
      <c r="H118" s="7" t="s">
        <v>291</v>
      </c>
      <c r="I118" s="7" t="s">
        <v>292</v>
      </c>
      <c r="J118" s="7" t="s">
        <v>83</v>
      </c>
      <c r="K118" s="7" t="s">
        <v>143</v>
      </c>
      <c r="L118" s="7">
        <v>50140</v>
      </c>
      <c r="M118" s="7" t="s">
        <v>85</v>
      </c>
      <c r="N118" s="7" t="s">
        <v>86</v>
      </c>
      <c r="O118" s="7" t="s">
        <v>84</v>
      </c>
      <c r="P118" s="7" t="s">
        <v>100</v>
      </c>
      <c r="Q118" s="7" t="s">
        <v>150</v>
      </c>
      <c r="R118" s="7" t="s">
        <v>151</v>
      </c>
      <c r="S118" s="7" t="s">
        <v>150</v>
      </c>
      <c r="T118" s="7" t="s">
        <v>151</v>
      </c>
      <c r="U118" s="7" t="s">
        <v>144</v>
      </c>
      <c r="V118" s="7" t="s">
        <v>22</v>
      </c>
      <c r="X118" s="7" t="s">
        <v>192</v>
      </c>
      <c r="Y118" s="7" t="s">
        <v>132</v>
      </c>
      <c r="Z118" s="7" t="s">
        <v>193</v>
      </c>
      <c r="AA118" s="7" t="b">
        <v>0</v>
      </c>
      <c r="AB118" s="7" t="b">
        <v>0</v>
      </c>
      <c r="AD118" s="7">
        <v>95</v>
      </c>
      <c r="AE118" s="7" t="s">
        <v>145</v>
      </c>
      <c r="AF118" s="7" t="s">
        <v>215</v>
      </c>
      <c r="AG118" s="7" t="s">
        <v>216</v>
      </c>
      <c r="AH118" s="7" t="s">
        <v>184</v>
      </c>
      <c r="AI118" s="7" t="s">
        <v>718</v>
      </c>
      <c r="AJ118" s="7" t="s">
        <v>100</v>
      </c>
      <c r="AK118" s="7" t="s">
        <v>746</v>
      </c>
      <c r="AL118" s="7" t="s">
        <v>100</v>
      </c>
      <c r="AM118" s="7" t="s">
        <v>100</v>
      </c>
      <c r="AN118" s="7" t="s">
        <v>124</v>
      </c>
      <c r="AO118" s="7">
        <v>1002</v>
      </c>
      <c r="AP118" s="7" t="s">
        <v>743</v>
      </c>
      <c r="AQ118" s="7" t="s">
        <v>104</v>
      </c>
      <c r="AR118" s="7" t="s">
        <v>296</v>
      </c>
      <c r="AS118" s="7" t="s">
        <v>297</v>
      </c>
      <c r="AT118" s="7" t="s">
        <v>248</v>
      </c>
      <c r="AU118" s="7" t="s">
        <v>248</v>
      </c>
      <c r="AX118" s="7" t="s">
        <v>249</v>
      </c>
      <c r="AY118" s="7" t="s">
        <v>298</v>
      </c>
      <c r="AZ118" s="7" t="s">
        <v>104</v>
      </c>
      <c r="BA118" s="7" t="s">
        <v>296</v>
      </c>
      <c r="BB118" s="7" t="s">
        <v>297</v>
      </c>
      <c r="BC118" s="7" t="s">
        <v>251</v>
      </c>
      <c r="BD118" s="7" t="s">
        <v>251</v>
      </c>
      <c r="BF118" s="7" t="s">
        <v>252</v>
      </c>
      <c r="BG118" s="7">
        <v>7018</v>
      </c>
      <c r="BH118" s="7" t="s">
        <v>253</v>
      </c>
      <c r="BO118" s="7">
        <v>5</v>
      </c>
      <c r="BR118" s="7" t="s">
        <v>104</v>
      </c>
      <c r="BS118" s="7" t="s">
        <v>299</v>
      </c>
      <c r="BT118" s="7" t="s">
        <v>300</v>
      </c>
      <c r="BU118" s="7" t="s">
        <v>251</v>
      </c>
      <c r="BV118" s="7" t="s">
        <v>301</v>
      </c>
      <c r="BW118" s="7" t="s">
        <v>209</v>
      </c>
    </row>
    <row r="119" spans="1:75" s="7" customFormat="1" x14ac:dyDescent="0.35">
      <c r="A119" s="7" t="s">
        <v>747</v>
      </c>
      <c r="B119" s="8">
        <v>46008</v>
      </c>
      <c r="C119" s="9">
        <v>0.69017361111111108</v>
      </c>
      <c r="D119" s="7" t="s">
        <v>183</v>
      </c>
      <c r="E119" s="7" t="s">
        <v>184</v>
      </c>
      <c r="F119" s="11" t="s">
        <v>290</v>
      </c>
      <c r="G119" s="7">
        <f>COUNTIF($F$2:$F$278,F119)</f>
        <v>35</v>
      </c>
      <c r="H119" s="7" t="s">
        <v>291</v>
      </c>
      <c r="I119" s="7" t="s">
        <v>292</v>
      </c>
      <c r="J119" s="7" t="s">
        <v>83</v>
      </c>
      <c r="K119" s="7" t="s">
        <v>119</v>
      </c>
      <c r="L119" s="7">
        <v>50126</v>
      </c>
      <c r="M119" s="7" t="s">
        <v>85</v>
      </c>
      <c r="N119" s="7" t="s">
        <v>120</v>
      </c>
      <c r="O119" s="7" t="s">
        <v>87</v>
      </c>
      <c r="P119" s="7" t="s">
        <v>100</v>
      </c>
      <c r="Q119" s="7" t="s">
        <v>150</v>
      </c>
      <c r="R119" s="7" t="s">
        <v>151</v>
      </c>
      <c r="S119" s="7" t="s">
        <v>150</v>
      </c>
      <c r="T119" s="7" t="s">
        <v>151</v>
      </c>
      <c r="U119" s="7" t="s">
        <v>121</v>
      </c>
      <c r="V119" s="7" t="s">
        <v>22</v>
      </c>
      <c r="X119" s="7" t="s">
        <v>192</v>
      </c>
      <c r="Y119" s="7" t="s">
        <v>132</v>
      </c>
      <c r="Z119" s="7" t="s">
        <v>193</v>
      </c>
      <c r="AA119" s="7" t="b">
        <v>0</v>
      </c>
      <c r="AB119" s="7" t="b">
        <v>0</v>
      </c>
      <c r="AD119" s="7">
        <v>257</v>
      </c>
      <c r="AE119" s="7" t="s">
        <v>122</v>
      </c>
      <c r="AH119" s="7" t="s">
        <v>184</v>
      </c>
      <c r="AJ119" s="7" t="s">
        <v>100</v>
      </c>
      <c r="AK119" s="7" t="s">
        <v>748</v>
      </c>
      <c r="AL119" s="7" t="s">
        <v>100</v>
      </c>
      <c r="AM119" s="7" t="s">
        <v>100</v>
      </c>
      <c r="AN119" s="7" t="s">
        <v>124</v>
      </c>
      <c r="AP119" s="7" t="s">
        <v>743</v>
      </c>
      <c r="AQ119" s="7" t="s">
        <v>104</v>
      </c>
      <c r="AR119" s="7" t="s">
        <v>296</v>
      </c>
      <c r="AS119" s="7" t="s">
        <v>297</v>
      </c>
      <c r="AT119" s="7" t="s">
        <v>248</v>
      </c>
      <c r="AU119" s="7" t="s">
        <v>248</v>
      </c>
      <c r="AX119" s="7" t="s">
        <v>249</v>
      </c>
      <c r="AY119" s="7" t="s">
        <v>298</v>
      </c>
      <c r="AZ119" s="7" t="s">
        <v>104</v>
      </c>
      <c r="BA119" s="7" t="s">
        <v>296</v>
      </c>
      <c r="BB119" s="7" t="s">
        <v>297</v>
      </c>
      <c r="BC119" s="7" t="s">
        <v>251</v>
      </c>
      <c r="BD119" s="7" t="s">
        <v>251</v>
      </c>
      <c r="BF119" s="7" t="s">
        <v>252</v>
      </c>
      <c r="BG119" s="7">
        <v>7018</v>
      </c>
      <c r="BH119" s="7" t="s">
        <v>253</v>
      </c>
      <c r="BO119" s="7">
        <v>5</v>
      </c>
      <c r="BR119" s="7" t="s">
        <v>104</v>
      </c>
      <c r="BS119" s="7" t="s">
        <v>299</v>
      </c>
      <c r="BT119" s="7" t="s">
        <v>300</v>
      </c>
      <c r="BU119" s="7" t="s">
        <v>251</v>
      </c>
      <c r="BV119" s="7" t="s">
        <v>301</v>
      </c>
      <c r="BW119" s="7" t="s">
        <v>209</v>
      </c>
    </row>
    <row r="120" spans="1:75" s="3" customFormat="1" x14ac:dyDescent="0.35">
      <c r="A120" s="3" t="s">
        <v>749</v>
      </c>
      <c r="B120" s="4">
        <v>46008</v>
      </c>
      <c r="C120" s="5">
        <v>0.69002314814814814</v>
      </c>
      <c r="D120" s="3" t="s">
        <v>597</v>
      </c>
      <c r="E120" s="3" t="s">
        <v>598</v>
      </c>
      <c r="F120" s="6" t="s">
        <v>700</v>
      </c>
      <c r="G120" s="3">
        <f>COUNTIF($F$2:$F$278,F120)</f>
        <v>25</v>
      </c>
      <c r="H120" s="3" t="s">
        <v>701</v>
      </c>
      <c r="I120" s="3" t="s">
        <v>487</v>
      </c>
      <c r="J120" s="3" t="s">
        <v>83</v>
      </c>
      <c r="K120" s="3" t="s">
        <v>119</v>
      </c>
      <c r="L120" s="3">
        <v>50057</v>
      </c>
      <c r="M120" s="3" t="s">
        <v>85</v>
      </c>
      <c r="N120" s="3" t="s">
        <v>86</v>
      </c>
      <c r="O120" s="3" t="s">
        <v>84</v>
      </c>
      <c r="P120" s="3" t="s">
        <v>100</v>
      </c>
      <c r="Q120" s="3" t="s">
        <v>417</v>
      </c>
      <c r="R120" s="3" t="s">
        <v>418</v>
      </c>
      <c r="S120" s="3" t="s">
        <v>224</v>
      </c>
      <c r="T120" s="3" t="s">
        <v>225</v>
      </c>
      <c r="U120" s="3" t="s">
        <v>276</v>
      </c>
      <c r="V120" s="3" t="s">
        <v>22</v>
      </c>
      <c r="X120" s="3" t="s">
        <v>192</v>
      </c>
      <c r="Y120" s="3" t="s">
        <v>132</v>
      </c>
      <c r="Z120" s="3" t="s">
        <v>193</v>
      </c>
      <c r="AA120" s="3" t="b">
        <v>0</v>
      </c>
      <c r="AB120" s="3" t="b">
        <v>0</v>
      </c>
      <c r="AD120" s="3">
        <v>105</v>
      </c>
      <c r="AE120" s="3" t="s">
        <v>278</v>
      </c>
      <c r="AI120" s="3" t="s">
        <v>702</v>
      </c>
      <c r="AJ120" s="3" t="s">
        <v>100</v>
      </c>
      <c r="AK120" s="3" t="s">
        <v>750</v>
      </c>
      <c r="AL120" s="3" t="s">
        <v>100</v>
      </c>
      <c r="AM120" s="3" t="s">
        <v>100</v>
      </c>
      <c r="AN120" s="3" t="s">
        <v>124</v>
      </c>
      <c r="AO120" s="3">
        <v>1002</v>
      </c>
      <c r="AP120" s="3" t="s">
        <v>751</v>
      </c>
      <c r="AQ120" s="3" t="s">
        <v>104</v>
      </c>
      <c r="AR120" s="3" t="s">
        <v>491</v>
      </c>
      <c r="AS120" s="3" t="s">
        <v>705</v>
      </c>
      <c r="AT120" s="3" t="s">
        <v>706</v>
      </c>
      <c r="AU120" s="3" t="s">
        <v>706</v>
      </c>
      <c r="AX120" s="3" t="s">
        <v>707</v>
      </c>
      <c r="AY120" s="3" t="s">
        <v>708</v>
      </c>
      <c r="AZ120" s="3" t="s">
        <v>104</v>
      </c>
      <c r="BA120" s="3" t="s">
        <v>491</v>
      </c>
      <c r="BB120" s="3" t="s">
        <v>705</v>
      </c>
      <c r="BC120" s="3" t="s">
        <v>709</v>
      </c>
      <c r="BD120" s="3" t="s">
        <v>709</v>
      </c>
      <c r="BE120" s="3" t="s">
        <v>409</v>
      </c>
      <c r="BF120" s="3" t="s">
        <v>710</v>
      </c>
      <c r="BG120" s="3">
        <v>14618</v>
      </c>
      <c r="BH120" s="3" t="s">
        <v>711</v>
      </c>
      <c r="BO120" s="3">
        <v>3</v>
      </c>
      <c r="BR120" s="3" t="s">
        <v>104</v>
      </c>
      <c r="BS120" s="3" t="s">
        <v>712</v>
      </c>
      <c r="BT120" s="3" t="s">
        <v>705</v>
      </c>
      <c r="BU120" s="3" t="s">
        <v>709</v>
      </c>
      <c r="BV120" s="3" t="s">
        <v>713</v>
      </c>
      <c r="BW120" s="3" t="s">
        <v>499</v>
      </c>
    </row>
    <row r="121" spans="1:75" s="3" customFormat="1" x14ac:dyDescent="0.35">
      <c r="A121" s="3" t="s">
        <v>752</v>
      </c>
      <c r="B121" s="4">
        <v>46008</v>
      </c>
      <c r="C121" s="5">
        <v>0.68989583333333337</v>
      </c>
      <c r="D121" s="3" t="s">
        <v>597</v>
      </c>
      <c r="E121" s="3" t="s">
        <v>598</v>
      </c>
      <c r="F121" s="6" t="s">
        <v>700</v>
      </c>
      <c r="G121" s="3">
        <f>COUNTIF($F$2:$F$278,F121)</f>
        <v>25</v>
      </c>
      <c r="H121" s="3" t="s">
        <v>701</v>
      </c>
      <c r="I121" s="3" t="s">
        <v>487</v>
      </c>
      <c r="J121" s="3" t="s">
        <v>83</v>
      </c>
      <c r="K121" s="3" t="s">
        <v>119</v>
      </c>
      <c r="L121" s="3">
        <v>50057</v>
      </c>
      <c r="M121" s="3" t="s">
        <v>85</v>
      </c>
      <c r="N121" s="3" t="s">
        <v>86</v>
      </c>
      <c r="O121" s="3" t="s">
        <v>84</v>
      </c>
      <c r="P121" s="3" t="s">
        <v>100</v>
      </c>
      <c r="Q121" s="3" t="s">
        <v>417</v>
      </c>
      <c r="R121" s="3" t="s">
        <v>418</v>
      </c>
      <c r="S121" s="3" t="s">
        <v>224</v>
      </c>
      <c r="T121" s="3" t="s">
        <v>225</v>
      </c>
      <c r="U121" s="3" t="s">
        <v>276</v>
      </c>
      <c r="V121" s="3" t="s">
        <v>22</v>
      </c>
      <c r="X121" s="3" t="s">
        <v>192</v>
      </c>
      <c r="Y121" s="3" t="s">
        <v>132</v>
      </c>
      <c r="Z121" s="3" t="s">
        <v>193</v>
      </c>
      <c r="AA121" s="3" t="b">
        <v>0</v>
      </c>
      <c r="AB121" s="3" t="b">
        <v>0</v>
      </c>
      <c r="AD121" s="3">
        <v>441</v>
      </c>
      <c r="AE121" s="3" t="s">
        <v>278</v>
      </c>
      <c r="AI121" s="3" t="s">
        <v>702</v>
      </c>
      <c r="AJ121" s="3" t="s">
        <v>100</v>
      </c>
      <c r="AK121" s="3" t="s">
        <v>753</v>
      </c>
      <c r="AL121" s="3" t="s">
        <v>100</v>
      </c>
      <c r="AM121" s="3" t="s">
        <v>100</v>
      </c>
      <c r="AN121" s="3" t="s">
        <v>124</v>
      </c>
      <c r="AO121" s="3">
        <v>1002</v>
      </c>
      <c r="AP121" s="3" t="s">
        <v>754</v>
      </c>
      <c r="AQ121" s="3" t="s">
        <v>104</v>
      </c>
      <c r="AR121" s="3" t="s">
        <v>491</v>
      </c>
      <c r="AS121" s="3" t="s">
        <v>705</v>
      </c>
      <c r="AT121" s="3" t="s">
        <v>706</v>
      </c>
      <c r="AU121" s="3" t="s">
        <v>706</v>
      </c>
      <c r="AX121" s="3" t="s">
        <v>707</v>
      </c>
      <c r="AY121" s="3" t="s">
        <v>708</v>
      </c>
      <c r="AZ121" s="3" t="s">
        <v>104</v>
      </c>
      <c r="BA121" s="3" t="s">
        <v>491</v>
      </c>
      <c r="BB121" s="3" t="s">
        <v>705</v>
      </c>
      <c r="BC121" s="3" t="s">
        <v>709</v>
      </c>
      <c r="BD121" s="3" t="s">
        <v>709</v>
      </c>
      <c r="BE121" s="3" t="s">
        <v>409</v>
      </c>
      <c r="BF121" s="3" t="s">
        <v>710</v>
      </c>
      <c r="BG121" s="3">
        <v>14618</v>
      </c>
      <c r="BH121" s="3" t="s">
        <v>711</v>
      </c>
      <c r="BO121" s="3">
        <v>3</v>
      </c>
      <c r="BR121" s="3" t="s">
        <v>104</v>
      </c>
      <c r="BS121" s="3" t="s">
        <v>712</v>
      </c>
      <c r="BT121" s="3" t="s">
        <v>705</v>
      </c>
      <c r="BU121" s="3" t="s">
        <v>709</v>
      </c>
      <c r="BV121" s="3" t="s">
        <v>713</v>
      </c>
      <c r="BW121" s="3" t="s">
        <v>499</v>
      </c>
    </row>
    <row r="122" spans="1:75" s="3" customFormat="1" x14ac:dyDescent="0.35">
      <c r="A122" s="3" t="s">
        <v>752</v>
      </c>
      <c r="B122" s="4">
        <v>46008</v>
      </c>
      <c r="C122" s="5">
        <v>0.68989583333333337</v>
      </c>
      <c r="D122" s="3" t="s">
        <v>597</v>
      </c>
      <c r="E122" s="3" t="s">
        <v>598</v>
      </c>
      <c r="F122" s="6" t="s">
        <v>700</v>
      </c>
      <c r="G122" s="3">
        <f>COUNTIF($F$2:$F$278,F122)</f>
        <v>25</v>
      </c>
      <c r="H122" s="3" t="s">
        <v>701</v>
      </c>
      <c r="I122" s="3" t="s">
        <v>487</v>
      </c>
      <c r="J122" s="3" t="s">
        <v>83</v>
      </c>
      <c r="K122" s="3" t="s">
        <v>119</v>
      </c>
      <c r="L122" s="3">
        <v>50057</v>
      </c>
      <c r="M122" s="3" t="s">
        <v>85</v>
      </c>
      <c r="N122" s="3" t="s">
        <v>86</v>
      </c>
      <c r="O122" s="3" t="s">
        <v>84</v>
      </c>
      <c r="P122" s="3" t="s">
        <v>100</v>
      </c>
      <c r="Q122" s="3" t="s">
        <v>417</v>
      </c>
      <c r="R122" s="3" t="s">
        <v>418</v>
      </c>
      <c r="S122" s="3" t="s">
        <v>224</v>
      </c>
      <c r="T122" s="3" t="s">
        <v>225</v>
      </c>
      <c r="U122" s="3" t="s">
        <v>276</v>
      </c>
      <c r="V122" s="3" t="s">
        <v>22</v>
      </c>
      <c r="X122" s="3" t="s">
        <v>192</v>
      </c>
      <c r="Y122" s="3" t="s">
        <v>132</v>
      </c>
      <c r="Z122" s="3" t="s">
        <v>193</v>
      </c>
      <c r="AA122" s="3" t="b">
        <v>0</v>
      </c>
      <c r="AB122" s="3" t="b">
        <v>0</v>
      </c>
      <c r="AD122" s="3">
        <v>225</v>
      </c>
      <c r="AE122" s="3" t="s">
        <v>278</v>
      </c>
      <c r="AI122" s="3" t="s">
        <v>702</v>
      </c>
      <c r="AJ122" s="3" t="s">
        <v>100</v>
      </c>
      <c r="AK122" s="3" t="s">
        <v>755</v>
      </c>
      <c r="AL122" s="3" t="s">
        <v>100</v>
      </c>
      <c r="AM122" s="3" t="s">
        <v>100</v>
      </c>
      <c r="AN122" s="3" t="s">
        <v>124</v>
      </c>
      <c r="AO122" s="3">
        <v>1002</v>
      </c>
      <c r="AP122" s="3" t="s">
        <v>756</v>
      </c>
      <c r="AQ122" s="3" t="s">
        <v>104</v>
      </c>
      <c r="AR122" s="3" t="s">
        <v>491</v>
      </c>
      <c r="AS122" s="3" t="s">
        <v>705</v>
      </c>
      <c r="AT122" s="3" t="s">
        <v>706</v>
      </c>
      <c r="AU122" s="3" t="s">
        <v>706</v>
      </c>
      <c r="AX122" s="3" t="s">
        <v>707</v>
      </c>
      <c r="AY122" s="3" t="s">
        <v>708</v>
      </c>
      <c r="AZ122" s="3" t="s">
        <v>104</v>
      </c>
      <c r="BA122" s="3" t="s">
        <v>491</v>
      </c>
      <c r="BB122" s="3" t="s">
        <v>705</v>
      </c>
      <c r="BC122" s="3" t="s">
        <v>709</v>
      </c>
      <c r="BD122" s="3" t="s">
        <v>709</v>
      </c>
      <c r="BE122" s="3" t="s">
        <v>409</v>
      </c>
      <c r="BF122" s="3" t="s">
        <v>710</v>
      </c>
      <c r="BG122" s="3">
        <v>14618</v>
      </c>
      <c r="BH122" s="3" t="s">
        <v>711</v>
      </c>
      <c r="BO122" s="3">
        <v>3</v>
      </c>
      <c r="BR122" s="3" t="s">
        <v>104</v>
      </c>
      <c r="BS122" s="3" t="s">
        <v>712</v>
      </c>
      <c r="BT122" s="3" t="s">
        <v>705</v>
      </c>
      <c r="BU122" s="3" t="s">
        <v>709</v>
      </c>
      <c r="BV122" s="3" t="s">
        <v>713</v>
      </c>
      <c r="BW122" s="3" t="s">
        <v>499</v>
      </c>
    </row>
    <row r="123" spans="1:75" s="3" customFormat="1" x14ac:dyDescent="0.35">
      <c r="A123" s="3" t="s">
        <v>752</v>
      </c>
      <c r="B123" s="4">
        <v>46008</v>
      </c>
      <c r="C123" s="5">
        <v>0.68989583333333337</v>
      </c>
      <c r="D123" s="3" t="s">
        <v>597</v>
      </c>
      <c r="E123" s="3" t="s">
        <v>598</v>
      </c>
      <c r="F123" s="6" t="s">
        <v>700</v>
      </c>
      <c r="G123" s="3">
        <f>COUNTIF($F$2:$F$278,F123)</f>
        <v>25</v>
      </c>
      <c r="H123" s="3" t="s">
        <v>701</v>
      </c>
      <c r="I123" s="3" t="s">
        <v>487</v>
      </c>
      <c r="J123" s="3" t="s">
        <v>83</v>
      </c>
      <c r="K123" s="3" t="s">
        <v>119</v>
      </c>
      <c r="L123" s="3">
        <v>50057</v>
      </c>
      <c r="M123" s="3" t="s">
        <v>85</v>
      </c>
      <c r="N123" s="3" t="s">
        <v>86</v>
      </c>
      <c r="O123" s="3" t="s">
        <v>84</v>
      </c>
      <c r="P123" s="3" t="s">
        <v>100</v>
      </c>
      <c r="Q123" s="3" t="s">
        <v>417</v>
      </c>
      <c r="R123" s="3" t="s">
        <v>418</v>
      </c>
      <c r="S123" s="3" t="s">
        <v>224</v>
      </c>
      <c r="T123" s="3" t="s">
        <v>225</v>
      </c>
      <c r="U123" s="3" t="s">
        <v>276</v>
      </c>
      <c r="V123" s="3" t="s">
        <v>22</v>
      </c>
      <c r="X123" s="3" t="s">
        <v>192</v>
      </c>
      <c r="Y123" s="3" t="s">
        <v>132</v>
      </c>
      <c r="Z123" s="3" t="s">
        <v>193</v>
      </c>
      <c r="AA123" s="3" t="b">
        <v>0</v>
      </c>
      <c r="AB123" s="3" t="b">
        <v>0</v>
      </c>
      <c r="AD123" s="3">
        <v>171</v>
      </c>
      <c r="AE123" s="3" t="s">
        <v>278</v>
      </c>
      <c r="AI123" s="3" t="s">
        <v>702</v>
      </c>
      <c r="AJ123" s="3" t="s">
        <v>100</v>
      </c>
      <c r="AK123" s="3" t="s">
        <v>757</v>
      </c>
      <c r="AL123" s="3" t="s">
        <v>100</v>
      </c>
      <c r="AM123" s="3" t="s">
        <v>100</v>
      </c>
      <c r="AN123" s="3" t="s">
        <v>124</v>
      </c>
      <c r="AO123" s="3">
        <v>1002</v>
      </c>
      <c r="AP123" s="3" t="s">
        <v>758</v>
      </c>
      <c r="AQ123" s="3" t="s">
        <v>104</v>
      </c>
      <c r="AR123" s="3" t="s">
        <v>491</v>
      </c>
      <c r="AS123" s="3" t="s">
        <v>705</v>
      </c>
      <c r="AT123" s="3" t="s">
        <v>706</v>
      </c>
      <c r="AU123" s="3" t="s">
        <v>706</v>
      </c>
      <c r="AX123" s="3" t="s">
        <v>707</v>
      </c>
      <c r="AY123" s="3" t="s">
        <v>708</v>
      </c>
      <c r="AZ123" s="3" t="s">
        <v>104</v>
      </c>
      <c r="BA123" s="3" t="s">
        <v>491</v>
      </c>
      <c r="BB123" s="3" t="s">
        <v>705</v>
      </c>
      <c r="BC123" s="3" t="s">
        <v>709</v>
      </c>
      <c r="BD123" s="3" t="s">
        <v>709</v>
      </c>
      <c r="BE123" s="3" t="s">
        <v>409</v>
      </c>
      <c r="BF123" s="3" t="s">
        <v>710</v>
      </c>
      <c r="BG123" s="3">
        <v>14618</v>
      </c>
      <c r="BH123" s="3" t="s">
        <v>711</v>
      </c>
      <c r="BO123" s="3">
        <v>3</v>
      </c>
      <c r="BR123" s="3" t="s">
        <v>104</v>
      </c>
      <c r="BS123" s="3" t="s">
        <v>712</v>
      </c>
      <c r="BT123" s="3" t="s">
        <v>705</v>
      </c>
      <c r="BU123" s="3" t="s">
        <v>709</v>
      </c>
      <c r="BV123" s="3" t="s">
        <v>713</v>
      </c>
      <c r="BW123" s="3" t="s">
        <v>499</v>
      </c>
    </row>
    <row r="124" spans="1:75" s="3" customFormat="1" x14ac:dyDescent="0.35">
      <c r="A124" s="3" t="s">
        <v>752</v>
      </c>
      <c r="B124" s="4">
        <v>46008</v>
      </c>
      <c r="C124" s="5">
        <v>0.68989583333333337</v>
      </c>
      <c r="D124" s="3" t="s">
        <v>597</v>
      </c>
      <c r="E124" s="3" t="s">
        <v>598</v>
      </c>
      <c r="F124" s="6" t="s">
        <v>700</v>
      </c>
      <c r="G124" s="3">
        <f>COUNTIF($F$2:$F$278,F124)</f>
        <v>25</v>
      </c>
      <c r="H124" s="3" t="s">
        <v>701</v>
      </c>
      <c r="I124" s="3" t="s">
        <v>487</v>
      </c>
      <c r="J124" s="3" t="s">
        <v>83</v>
      </c>
      <c r="K124" s="3" t="s">
        <v>119</v>
      </c>
      <c r="L124" s="3">
        <v>50057</v>
      </c>
      <c r="M124" s="3" t="s">
        <v>85</v>
      </c>
      <c r="N124" s="3" t="s">
        <v>86</v>
      </c>
      <c r="O124" s="3" t="s">
        <v>84</v>
      </c>
      <c r="P124" s="3" t="s">
        <v>100</v>
      </c>
      <c r="Q124" s="3" t="s">
        <v>417</v>
      </c>
      <c r="R124" s="3" t="s">
        <v>418</v>
      </c>
      <c r="S124" s="3" t="s">
        <v>224</v>
      </c>
      <c r="T124" s="3" t="s">
        <v>225</v>
      </c>
      <c r="U124" s="3" t="s">
        <v>276</v>
      </c>
      <c r="V124" s="3" t="s">
        <v>22</v>
      </c>
      <c r="X124" s="3" t="s">
        <v>192</v>
      </c>
      <c r="Y124" s="3" t="s">
        <v>132</v>
      </c>
      <c r="Z124" s="3" t="s">
        <v>193</v>
      </c>
      <c r="AA124" s="3" t="b">
        <v>0</v>
      </c>
      <c r="AB124" s="3" t="b">
        <v>0</v>
      </c>
      <c r="AD124" s="3">
        <v>168</v>
      </c>
      <c r="AE124" s="3" t="s">
        <v>278</v>
      </c>
      <c r="AI124" s="3" t="s">
        <v>702</v>
      </c>
      <c r="AJ124" s="3" t="s">
        <v>100</v>
      </c>
      <c r="AK124" s="3" t="s">
        <v>759</v>
      </c>
      <c r="AL124" s="3" t="s">
        <v>100</v>
      </c>
      <c r="AM124" s="3" t="s">
        <v>100</v>
      </c>
      <c r="AN124" s="3" t="s">
        <v>124</v>
      </c>
      <c r="AO124" s="3">
        <v>1002</v>
      </c>
      <c r="AP124" s="3" t="s">
        <v>760</v>
      </c>
      <c r="AQ124" s="3" t="s">
        <v>104</v>
      </c>
      <c r="AR124" s="3" t="s">
        <v>491</v>
      </c>
      <c r="AS124" s="3" t="s">
        <v>705</v>
      </c>
      <c r="AT124" s="3" t="s">
        <v>706</v>
      </c>
      <c r="AU124" s="3" t="s">
        <v>706</v>
      </c>
      <c r="AX124" s="3" t="s">
        <v>707</v>
      </c>
      <c r="AY124" s="3" t="s">
        <v>708</v>
      </c>
      <c r="AZ124" s="3" t="s">
        <v>104</v>
      </c>
      <c r="BA124" s="3" t="s">
        <v>491</v>
      </c>
      <c r="BB124" s="3" t="s">
        <v>705</v>
      </c>
      <c r="BC124" s="3" t="s">
        <v>709</v>
      </c>
      <c r="BD124" s="3" t="s">
        <v>709</v>
      </c>
      <c r="BE124" s="3" t="s">
        <v>409</v>
      </c>
      <c r="BF124" s="3" t="s">
        <v>710</v>
      </c>
      <c r="BG124" s="3">
        <v>14618</v>
      </c>
      <c r="BH124" s="3" t="s">
        <v>711</v>
      </c>
      <c r="BO124" s="3">
        <v>3</v>
      </c>
      <c r="BR124" s="3" t="s">
        <v>104</v>
      </c>
      <c r="BS124" s="3" t="s">
        <v>712</v>
      </c>
      <c r="BT124" s="3" t="s">
        <v>705</v>
      </c>
      <c r="BU124" s="3" t="s">
        <v>709</v>
      </c>
      <c r="BV124" s="3" t="s">
        <v>713</v>
      </c>
      <c r="BW124" s="3" t="s">
        <v>499</v>
      </c>
    </row>
    <row r="125" spans="1:75" s="3" customFormat="1" x14ac:dyDescent="0.35">
      <c r="A125" s="3" t="s">
        <v>761</v>
      </c>
      <c r="B125" s="4">
        <v>46008</v>
      </c>
      <c r="C125" s="5">
        <v>0.68988425925925922</v>
      </c>
      <c r="D125" s="3" t="s">
        <v>597</v>
      </c>
      <c r="E125" s="3" t="s">
        <v>598</v>
      </c>
      <c r="F125" s="6" t="s">
        <v>700</v>
      </c>
      <c r="G125" s="3">
        <f>COUNTIF($F$2:$F$278,F125)</f>
        <v>25</v>
      </c>
      <c r="H125" s="3" t="s">
        <v>701</v>
      </c>
      <c r="I125" s="3" t="s">
        <v>487</v>
      </c>
      <c r="J125" s="3" t="s">
        <v>83</v>
      </c>
      <c r="K125" s="3" t="s">
        <v>119</v>
      </c>
      <c r="L125" s="3">
        <v>50057</v>
      </c>
      <c r="M125" s="3" t="s">
        <v>85</v>
      </c>
      <c r="N125" s="3" t="s">
        <v>86</v>
      </c>
      <c r="O125" s="3" t="s">
        <v>84</v>
      </c>
      <c r="P125" s="3" t="s">
        <v>100</v>
      </c>
      <c r="Q125" s="3" t="s">
        <v>417</v>
      </c>
      <c r="R125" s="3" t="s">
        <v>418</v>
      </c>
      <c r="S125" s="3" t="s">
        <v>224</v>
      </c>
      <c r="T125" s="3" t="s">
        <v>225</v>
      </c>
      <c r="U125" s="3" t="s">
        <v>276</v>
      </c>
      <c r="V125" s="3" t="s">
        <v>22</v>
      </c>
      <c r="X125" s="3" t="s">
        <v>192</v>
      </c>
      <c r="Y125" s="3" t="s">
        <v>132</v>
      </c>
      <c r="Z125" s="3" t="s">
        <v>193</v>
      </c>
      <c r="AA125" s="3" t="b">
        <v>0</v>
      </c>
      <c r="AB125" s="3" t="b">
        <v>0</v>
      </c>
      <c r="AD125" s="3">
        <v>206</v>
      </c>
      <c r="AE125" s="3" t="s">
        <v>278</v>
      </c>
      <c r="AI125" s="3" t="s">
        <v>702</v>
      </c>
      <c r="AJ125" s="3" t="s">
        <v>100</v>
      </c>
      <c r="AK125" s="3" t="s">
        <v>762</v>
      </c>
      <c r="AL125" s="3" t="s">
        <v>100</v>
      </c>
      <c r="AM125" s="3" t="s">
        <v>100</v>
      </c>
      <c r="AN125" s="3" t="s">
        <v>124</v>
      </c>
      <c r="AO125" s="3">
        <v>1002</v>
      </c>
      <c r="AP125" s="3" t="s">
        <v>763</v>
      </c>
      <c r="AQ125" s="3" t="s">
        <v>104</v>
      </c>
      <c r="AR125" s="3" t="s">
        <v>491</v>
      </c>
      <c r="AS125" s="3" t="s">
        <v>705</v>
      </c>
      <c r="AT125" s="3" t="s">
        <v>706</v>
      </c>
      <c r="AU125" s="3" t="s">
        <v>706</v>
      </c>
      <c r="AX125" s="3" t="s">
        <v>707</v>
      </c>
      <c r="AY125" s="3" t="s">
        <v>708</v>
      </c>
      <c r="AZ125" s="3" t="s">
        <v>104</v>
      </c>
      <c r="BA125" s="3" t="s">
        <v>491</v>
      </c>
      <c r="BB125" s="3" t="s">
        <v>705</v>
      </c>
      <c r="BC125" s="3" t="s">
        <v>709</v>
      </c>
      <c r="BD125" s="3" t="s">
        <v>709</v>
      </c>
      <c r="BE125" s="3" t="s">
        <v>409</v>
      </c>
      <c r="BF125" s="3" t="s">
        <v>710</v>
      </c>
      <c r="BG125" s="3">
        <v>14618</v>
      </c>
      <c r="BH125" s="3" t="s">
        <v>711</v>
      </c>
      <c r="BO125" s="3">
        <v>3</v>
      </c>
      <c r="BR125" s="3" t="s">
        <v>104</v>
      </c>
      <c r="BS125" s="3" t="s">
        <v>712</v>
      </c>
      <c r="BT125" s="3" t="s">
        <v>705</v>
      </c>
      <c r="BU125" s="3" t="s">
        <v>709</v>
      </c>
      <c r="BV125" s="3" t="s">
        <v>713</v>
      </c>
      <c r="BW125" s="3" t="s">
        <v>499</v>
      </c>
    </row>
    <row r="126" spans="1:75" s="3" customFormat="1" x14ac:dyDescent="0.35">
      <c r="A126" s="3" t="s">
        <v>761</v>
      </c>
      <c r="B126" s="4">
        <v>46008</v>
      </c>
      <c r="C126" s="5">
        <v>0.68988425925925922</v>
      </c>
      <c r="D126" s="3" t="s">
        <v>597</v>
      </c>
      <c r="E126" s="3" t="s">
        <v>598</v>
      </c>
      <c r="F126" s="6" t="s">
        <v>700</v>
      </c>
      <c r="G126" s="3">
        <f>COUNTIF($F$2:$F$278,F126)</f>
        <v>25</v>
      </c>
      <c r="H126" s="3" t="s">
        <v>701</v>
      </c>
      <c r="I126" s="3" t="s">
        <v>487</v>
      </c>
      <c r="J126" s="3" t="s">
        <v>83</v>
      </c>
      <c r="K126" s="3" t="s">
        <v>119</v>
      </c>
      <c r="L126" s="3">
        <v>50057</v>
      </c>
      <c r="M126" s="3" t="s">
        <v>85</v>
      </c>
      <c r="N126" s="3" t="s">
        <v>86</v>
      </c>
      <c r="O126" s="3" t="s">
        <v>84</v>
      </c>
      <c r="P126" s="3" t="s">
        <v>100</v>
      </c>
      <c r="Q126" s="3" t="s">
        <v>417</v>
      </c>
      <c r="R126" s="3" t="s">
        <v>418</v>
      </c>
      <c r="S126" s="3" t="s">
        <v>224</v>
      </c>
      <c r="T126" s="3" t="s">
        <v>225</v>
      </c>
      <c r="U126" s="3" t="s">
        <v>276</v>
      </c>
      <c r="V126" s="3" t="s">
        <v>22</v>
      </c>
      <c r="X126" s="3" t="s">
        <v>192</v>
      </c>
      <c r="Y126" s="3" t="s">
        <v>132</v>
      </c>
      <c r="Z126" s="3" t="s">
        <v>193</v>
      </c>
      <c r="AA126" s="3" t="b">
        <v>0</v>
      </c>
      <c r="AB126" s="3" t="b">
        <v>0</v>
      </c>
      <c r="AD126" s="3">
        <v>281</v>
      </c>
      <c r="AE126" s="3" t="s">
        <v>278</v>
      </c>
      <c r="AI126" s="3" t="s">
        <v>702</v>
      </c>
      <c r="AJ126" s="3" t="s">
        <v>100</v>
      </c>
      <c r="AK126" s="3" t="s">
        <v>764</v>
      </c>
      <c r="AL126" s="3" t="s">
        <v>100</v>
      </c>
      <c r="AM126" s="3" t="s">
        <v>100</v>
      </c>
      <c r="AN126" s="3" t="s">
        <v>124</v>
      </c>
      <c r="AO126" s="3">
        <v>1002</v>
      </c>
      <c r="AP126" s="3" t="s">
        <v>765</v>
      </c>
      <c r="AQ126" s="3" t="s">
        <v>104</v>
      </c>
      <c r="AR126" s="3" t="s">
        <v>491</v>
      </c>
      <c r="AS126" s="3" t="s">
        <v>705</v>
      </c>
      <c r="AT126" s="3" t="s">
        <v>706</v>
      </c>
      <c r="AU126" s="3" t="s">
        <v>706</v>
      </c>
      <c r="AX126" s="3" t="s">
        <v>707</v>
      </c>
      <c r="AY126" s="3" t="s">
        <v>708</v>
      </c>
      <c r="AZ126" s="3" t="s">
        <v>104</v>
      </c>
      <c r="BA126" s="3" t="s">
        <v>491</v>
      </c>
      <c r="BB126" s="3" t="s">
        <v>705</v>
      </c>
      <c r="BC126" s="3" t="s">
        <v>709</v>
      </c>
      <c r="BD126" s="3" t="s">
        <v>709</v>
      </c>
      <c r="BE126" s="3" t="s">
        <v>409</v>
      </c>
      <c r="BF126" s="3" t="s">
        <v>710</v>
      </c>
      <c r="BG126" s="3">
        <v>14618</v>
      </c>
      <c r="BH126" s="3" t="s">
        <v>711</v>
      </c>
      <c r="BO126" s="3">
        <v>3</v>
      </c>
      <c r="BR126" s="3" t="s">
        <v>104</v>
      </c>
      <c r="BS126" s="3" t="s">
        <v>712</v>
      </c>
      <c r="BT126" s="3" t="s">
        <v>705</v>
      </c>
      <c r="BU126" s="3" t="s">
        <v>709</v>
      </c>
      <c r="BV126" s="3" t="s">
        <v>713</v>
      </c>
      <c r="BW126" s="3" t="s">
        <v>499</v>
      </c>
    </row>
    <row r="127" spans="1:75" s="3" customFormat="1" x14ac:dyDescent="0.35">
      <c r="A127" s="3" t="s">
        <v>766</v>
      </c>
      <c r="B127" s="4">
        <v>46008</v>
      </c>
      <c r="C127" s="5">
        <v>0.68987268518518519</v>
      </c>
      <c r="D127" s="3" t="s">
        <v>597</v>
      </c>
      <c r="E127" s="3" t="s">
        <v>598</v>
      </c>
      <c r="F127" s="6" t="s">
        <v>700</v>
      </c>
      <c r="G127" s="3">
        <f>COUNTIF($F$2:$F$278,F127)</f>
        <v>25</v>
      </c>
      <c r="H127" s="3" t="s">
        <v>701</v>
      </c>
      <c r="I127" s="3" t="s">
        <v>487</v>
      </c>
      <c r="J127" s="3" t="s">
        <v>83</v>
      </c>
      <c r="K127" s="3" t="s">
        <v>119</v>
      </c>
      <c r="L127" s="3">
        <v>50057</v>
      </c>
      <c r="M127" s="3" t="s">
        <v>85</v>
      </c>
      <c r="N127" s="3" t="s">
        <v>86</v>
      </c>
      <c r="O127" s="3" t="s">
        <v>84</v>
      </c>
      <c r="P127" s="3" t="s">
        <v>100</v>
      </c>
      <c r="Q127" s="3" t="s">
        <v>417</v>
      </c>
      <c r="R127" s="3" t="s">
        <v>418</v>
      </c>
      <c r="S127" s="3" t="s">
        <v>224</v>
      </c>
      <c r="T127" s="3" t="s">
        <v>225</v>
      </c>
      <c r="U127" s="3" t="s">
        <v>276</v>
      </c>
      <c r="V127" s="3" t="s">
        <v>22</v>
      </c>
      <c r="X127" s="3" t="s">
        <v>192</v>
      </c>
      <c r="Y127" s="3" t="s">
        <v>132</v>
      </c>
      <c r="Z127" s="3" t="s">
        <v>193</v>
      </c>
      <c r="AA127" s="3" t="b">
        <v>0</v>
      </c>
      <c r="AB127" s="3" t="b">
        <v>0</v>
      </c>
      <c r="AD127" s="3">
        <v>162</v>
      </c>
      <c r="AE127" s="3" t="s">
        <v>278</v>
      </c>
      <c r="AI127" s="3" t="s">
        <v>702</v>
      </c>
      <c r="AJ127" s="3" t="s">
        <v>100</v>
      </c>
      <c r="AK127" s="3" t="s">
        <v>767</v>
      </c>
      <c r="AL127" s="3" t="s">
        <v>100</v>
      </c>
      <c r="AM127" s="3" t="s">
        <v>100</v>
      </c>
      <c r="AN127" s="3" t="s">
        <v>124</v>
      </c>
      <c r="AO127" s="3">
        <v>1002</v>
      </c>
      <c r="AP127" s="3" t="s">
        <v>768</v>
      </c>
      <c r="AQ127" s="3" t="s">
        <v>104</v>
      </c>
      <c r="AR127" s="3" t="s">
        <v>491</v>
      </c>
      <c r="AS127" s="3" t="s">
        <v>705</v>
      </c>
      <c r="AT127" s="3" t="s">
        <v>706</v>
      </c>
      <c r="AU127" s="3" t="s">
        <v>706</v>
      </c>
      <c r="AX127" s="3" t="s">
        <v>707</v>
      </c>
      <c r="AY127" s="3" t="s">
        <v>708</v>
      </c>
      <c r="AZ127" s="3" t="s">
        <v>104</v>
      </c>
      <c r="BA127" s="3" t="s">
        <v>491</v>
      </c>
      <c r="BB127" s="3" t="s">
        <v>705</v>
      </c>
      <c r="BC127" s="3" t="s">
        <v>709</v>
      </c>
      <c r="BD127" s="3" t="s">
        <v>709</v>
      </c>
      <c r="BE127" s="3" t="s">
        <v>409</v>
      </c>
      <c r="BF127" s="3" t="s">
        <v>710</v>
      </c>
      <c r="BG127" s="3">
        <v>14618</v>
      </c>
      <c r="BH127" s="3" t="s">
        <v>711</v>
      </c>
      <c r="BO127" s="3">
        <v>3</v>
      </c>
      <c r="BR127" s="3" t="s">
        <v>104</v>
      </c>
      <c r="BS127" s="3" t="s">
        <v>712</v>
      </c>
      <c r="BT127" s="3" t="s">
        <v>705</v>
      </c>
      <c r="BU127" s="3" t="s">
        <v>709</v>
      </c>
      <c r="BV127" s="3" t="s">
        <v>713</v>
      </c>
      <c r="BW127" s="3" t="s">
        <v>499</v>
      </c>
    </row>
    <row r="128" spans="1:75" s="3" customFormat="1" x14ac:dyDescent="0.35">
      <c r="A128" s="3" t="s">
        <v>766</v>
      </c>
      <c r="B128" s="4">
        <v>46008</v>
      </c>
      <c r="C128" s="5">
        <v>0.68987268518518519</v>
      </c>
      <c r="D128" s="3" t="s">
        <v>597</v>
      </c>
      <c r="E128" s="3" t="s">
        <v>598</v>
      </c>
      <c r="F128" s="6" t="s">
        <v>700</v>
      </c>
      <c r="G128" s="3">
        <f>COUNTIF($F$2:$F$278,F128)</f>
        <v>25</v>
      </c>
      <c r="H128" s="3" t="s">
        <v>701</v>
      </c>
      <c r="I128" s="3" t="s">
        <v>487</v>
      </c>
      <c r="J128" s="3" t="s">
        <v>83</v>
      </c>
      <c r="K128" s="3" t="s">
        <v>119</v>
      </c>
      <c r="L128" s="3">
        <v>50057</v>
      </c>
      <c r="M128" s="3" t="s">
        <v>85</v>
      </c>
      <c r="N128" s="3" t="s">
        <v>86</v>
      </c>
      <c r="O128" s="3" t="s">
        <v>84</v>
      </c>
      <c r="P128" s="3" t="s">
        <v>100</v>
      </c>
      <c r="Q128" s="3" t="s">
        <v>417</v>
      </c>
      <c r="R128" s="3" t="s">
        <v>418</v>
      </c>
      <c r="S128" s="3" t="s">
        <v>224</v>
      </c>
      <c r="T128" s="3" t="s">
        <v>225</v>
      </c>
      <c r="U128" s="3" t="s">
        <v>276</v>
      </c>
      <c r="V128" s="3" t="s">
        <v>22</v>
      </c>
      <c r="X128" s="3" t="s">
        <v>192</v>
      </c>
      <c r="Y128" s="3" t="s">
        <v>132</v>
      </c>
      <c r="Z128" s="3" t="s">
        <v>193</v>
      </c>
      <c r="AA128" s="3" t="b">
        <v>0</v>
      </c>
      <c r="AB128" s="3" t="b">
        <v>0</v>
      </c>
      <c r="AD128" s="3">
        <v>174</v>
      </c>
      <c r="AE128" s="3" t="s">
        <v>278</v>
      </c>
      <c r="AI128" s="3" t="s">
        <v>702</v>
      </c>
      <c r="AJ128" s="3" t="s">
        <v>100</v>
      </c>
      <c r="AK128" s="3" t="s">
        <v>769</v>
      </c>
      <c r="AL128" s="3" t="s">
        <v>100</v>
      </c>
      <c r="AM128" s="3" t="s">
        <v>100</v>
      </c>
      <c r="AN128" s="3" t="s">
        <v>124</v>
      </c>
      <c r="AO128" s="3">
        <v>1002</v>
      </c>
      <c r="AP128" s="3" t="s">
        <v>770</v>
      </c>
      <c r="AQ128" s="3" t="s">
        <v>104</v>
      </c>
      <c r="AR128" s="3" t="s">
        <v>491</v>
      </c>
      <c r="AS128" s="3" t="s">
        <v>705</v>
      </c>
      <c r="AT128" s="3" t="s">
        <v>706</v>
      </c>
      <c r="AU128" s="3" t="s">
        <v>706</v>
      </c>
      <c r="AX128" s="3" t="s">
        <v>707</v>
      </c>
      <c r="AY128" s="3" t="s">
        <v>708</v>
      </c>
      <c r="AZ128" s="3" t="s">
        <v>104</v>
      </c>
      <c r="BA128" s="3" t="s">
        <v>491</v>
      </c>
      <c r="BB128" s="3" t="s">
        <v>705</v>
      </c>
      <c r="BC128" s="3" t="s">
        <v>709</v>
      </c>
      <c r="BD128" s="3" t="s">
        <v>709</v>
      </c>
      <c r="BE128" s="3" t="s">
        <v>409</v>
      </c>
      <c r="BF128" s="3" t="s">
        <v>710</v>
      </c>
      <c r="BG128" s="3">
        <v>14618</v>
      </c>
      <c r="BH128" s="3" t="s">
        <v>711</v>
      </c>
      <c r="BO128" s="3">
        <v>3</v>
      </c>
      <c r="BR128" s="3" t="s">
        <v>104</v>
      </c>
      <c r="BS128" s="3" t="s">
        <v>712</v>
      </c>
      <c r="BT128" s="3" t="s">
        <v>705</v>
      </c>
      <c r="BU128" s="3" t="s">
        <v>709</v>
      </c>
      <c r="BV128" s="3" t="s">
        <v>713</v>
      </c>
      <c r="BW128" s="3" t="s">
        <v>499</v>
      </c>
    </row>
    <row r="129" spans="1:75" s="3" customFormat="1" x14ac:dyDescent="0.35">
      <c r="A129" s="3" t="s">
        <v>766</v>
      </c>
      <c r="B129" s="4">
        <v>46008</v>
      </c>
      <c r="C129" s="5">
        <v>0.68987268518518519</v>
      </c>
      <c r="D129" s="3" t="s">
        <v>597</v>
      </c>
      <c r="E129" s="3" t="s">
        <v>598</v>
      </c>
      <c r="F129" s="6" t="s">
        <v>700</v>
      </c>
      <c r="G129" s="3">
        <f>COUNTIF($F$2:$F$278,F129)</f>
        <v>25</v>
      </c>
      <c r="H129" s="3" t="s">
        <v>701</v>
      </c>
      <c r="I129" s="3" t="s">
        <v>487</v>
      </c>
      <c r="J129" s="3" t="s">
        <v>83</v>
      </c>
      <c r="K129" s="3" t="s">
        <v>119</v>
      </c>
      <c r="L129" s="3">
        <v>50057</v>
      </c>
      <c r="M129" s="3" t="s">
        <v>85</v>
      </c>
      <c r="N129" s="3" t="s">
        <v>86</v>
      </c>
      <c r="O129" s="3" t="s">
        <v>84</v>
      </c>
      <c r="P129" s="3" t="s">
        <v>100</v>
      </c>
      <c r="Q129" s="3" t="s">
        <v>417</v>
      </c>
      <c r="R129" s="3" t="s">
        <v>418</v>
      </c>
      <c r="S129" s="3" t="s">
        <v>224</v>
      </c>
      <c r="T129" s="3" t="s">
        <v>225</v>
      </c>
      <c r="U129" s="3" t="s">
        <v>276</v>
      </c>
      <c r="V129" s="3" t="s">
        <v>22</v>
      </c>
      <c r="X129" s="3" t="s">
        <v>192</v>
      </c>
      <c r="Y129" s="3" t="s">
        <v>132</v>
      </c>
      <c r="Z129" s="3" t="s">
        <v>193</v>
      </c>
      <c r="AA129" s="3" t="b">
        <v>0</v>
      </c>
      <c r="AB129" s="3" t="b">
        <v>0</v>
      </c>
      <c r="AD129" s="3">
        <v>190</v>
      </c>
      <c r="AE129" s="3" t="s">
        <v>278</v>
      </c>
      <c r="AI129" s="3" t="s">
        <v>702</v>
      </c>
      <c r="AJ129" s="3" t="s">
        <v>100</v>
      </c>
      <c r="AK129" s="3" t="s">
        <v>771</v>
      </c>
      <c r="AL129" s="3" t="s">
        <v>100</v>
      </c>
      <c r="AM129" s="3" t="s">
        <v>100</v>
      </c>
      <c r="AN129" s="3" t="s">
        <v>124</v>
      </c>
      <c r="AO129" s="3">
        <v>1002</v>
      </c>
      <c r="AP129" s="3" t="s">
        <v>772</v>
      </c>
      <c r="AQ129" s="3" t="s">
        <v>104</v>
      </c>
      <c r="AR129" s="3" t="s">
        <v>491</v>
      </c>
      <c r="AS129" s="3" t="s">
        <v>705</v>
      </c>
      <c r="AT129" s="3" t="s">
        <v>706</v>
      </c>
      <c r="AU129" s="3" t="s">
        <v>706</v>
      </c>
      <c r="AX129" s="3" t="s">
        <v>707</v>
      </c>
      <c r="AY129" s="3" t="s">
        <v>708</v>
      </c>
      <c r="AZ129" s="3" t="s">
        <v>104</v>
      </c>
      <c r="BA129" s="3" t="s">
        <v>491</v>
      </c>
      <c r="BB129" s="3" t="s">
        <v>705</v>
      </c>
      <c r="BC129" s="3" t="s">
        <v>709</v>
      </c>
      <c r="BD129" s="3" t="s">
        <v>709</v>
      </c>
      <c r="BE129" s="3" t="s">
        <v>409</v>
      </c>
      <c r="BF129" s="3" t="s">
        <v>710</v>
      </c>
      <c r="BG129" s="3">
        <v>14618</v>
      </c>
      <c r="BH129" s="3" t="s">
        <v>711</v>
      </c>
      <c r="BO129" s="3">
        <v>3</v>
      </c>
      <c r="BR129" s="3" t="s">
        <v>104</v>
      </c>
      <c r="BS129" s="3" t="s">
        <v>712</v>
      </c>
      <c r="BT129" s="3" t="s">
        <v>705</v>
      </c>
      <c r="BU129" s="3" t="s">
        <v>709</v>
      </c>
      <c r="BV129" s="3" t="s">
        <v>713</v>
      </c>
      <c r="BW129" s="3" t="s">
        <v>499</v>
      </c>
    </row>
    <row r="130" spans="1:75" s="3" customFormat="1" x14ac:dyDescent="0.35">
      <c r="A130" s="3" t="s">
        <v>773</v>
      </c>
      <c r="B130" s="4">
        <v>46008</v>
      </c>
      <c r="C130" s="5">
        <v>0.68983796296296296</v>
      </c>
      <c r="D130" s="3" t="s">
        <v>597</v>
      </c>
      <c r="E130" s="3" t="s">
        <v>598</v>
      </c>
      <c r="F130" s="6" t="s">
        <v>700</v>
      </c>
      <c r="G130" s="3">
        <f>COUNTIF($F$2:$F$278,F130)</f>
        <v>25</v>
      </c>
      <c r="H130" s="3" t="s">
        <v>701</v>
      </c>
      <c r="I130" s="3" t="s">
        <v>487</v>
      </c>
      <c r="J130" s="3" t="s">
        <v>83</v>
      </c>
      <c r="K130" s="3" t="s">
        <v>119</v>
      </c>
      <c r="L130" s="3">
        <v>50057</v>
      </c>
      <c r="M130" s="3" t="s">
        <v>85</v>
      </c>
      <c r="N130" s="3" t="s">
        <v>86</v>
      </c>
      <c r="O130" s="3" t="s">
        <v>84</v>
      </c>
      <c r="P130" s="3" t="s">
        <v>100</v>
      </c>
      <c r="Q130" s="3" t="s">
        <v>417</v>
      </c>
      <c r="R130" s="3" t="s">
        <v>418</v>
      </c>
      <c r="S130" s="3" t="s">
        <v>224</v>
      </c>
      <c r="T130" s="3" t="s">
        <v>225</v>
      </c>
      <c r="U130" s="3" t="s">
        <v>276</v>
      </c>
      <c r="V130" s="3" t="s">
        <v>22</v>
      </c>
      <c r="X130" s="3" t="s">
        <v>192</v>
      </c>
      <c r="Y130" s="3" t="s">
        <v>132</v>
      </c>
      <c r="Z130" s="3" t="s">
        <v>193</v>
      </c>
      <c r="AA130" s="3" t="b">
        <v>0</v>
      </c>
      <c r="AB130" s="3" t="b">
        <v>0</v>
      </c>
      <c r="AD130" s="3">
        <v>198</v>
      </c>
      <c r="AE130" s="3" t="s">
        <v>278</v>
      </c>
      <c r="AI130" s="3" t="s">
        <v>702</v>
      </c>
      <c r="AJ130" s="3" t="s">
        <v>100</v>
      </c>
      <c r="AK130" s="3" t="s">
        <v>774</v>
      </c>
      <c r="AL130" s="3" t="s">
        <v>100</v>
      </c>
      <c r="AM130" s="3" t="s">
        <v>100</v>
      </c>
      <c r="AN130" s="3" t="s">
        <v>124</v>
      </c>
      <c r="AO130" s="3">
        <v>1002</v>
      </c>
      <c r="AP130" s="3" t="s">
        <v>775</v>
      </c>
      <c r="AQ130" s="3" t="s">
        <v>104</v>
      </c>
      <c r="AR130" s="3" t="s">
        <v>491</v>
      </c>
      <c r="AS130" s="3" t="s">
        <v>705</v>
      </c>
      <c r="AT130" s="3" t="s">
        <v>706</v>
      </c>
      <c r="AU130" s="3" t="s">
        <v>706</v>
      </c>
      <c r="AX130" s="3" t="s">
        <v>707</v>
      </c>
      <c r="AY130" s="3" t="s">
        <v>708</v>
      </c>
      <c r="AZ130" s="3" t="s">
        <v>104</v>
      </c>
      <c r="BA130" s="3" t="s">
        <v>491</v>
      </c>
      <c r="BB130" s="3" t="s">
        <v>705</v>
      </c>
      <c r="BC130" s="3" t="s">
        <v>709</v>
      </c>
      <c r="BD130" s="3" t="s">
        <v>709</v>
      </c>
      <c r="BE130" s="3" t="s">
        <v>409</v>
      </c>
      <c r="BF130" s="3" t="s">
        <v>710</v>
      </c>
      <c r="BG130" s="3">
        <v>14618</v>
      </c>
      <c r="BH130" s="3" t="s">
        <v>711</v>
      </c>
      <c r="BO130" s="3">
        <v>3</v>
      </c>
      <c r="BR130" s="3" t="s">
        <v>104</v>
      </c>
      <c r="BS130" s="3" t="s">
        <v>712</v>
      </c>
      <c r="BT130" s="3" t="s">
        <v>705</v>
      </c>
      <c r="BU130" s="3" t="s">
        <v>709</v>
      </c>
      <c r="BV130" s="3" t="s">
        <v>713</v>
      </c>
      <c r="BW130" s="3" t="s">
        <v>499</v>
      </c>
    </row>
    <row r="131" spans="1:75" s="3" customFormat="1" x14ac:dyDescent="0.35">
      <c r="A131" s="3" t="s">
        <v>776</v>
      </c>
      <c r="B131" s="4">
        <v>46008</v>
      </c>
      <c r="C131" s="5">
        <v>0.68954861111111121</v>
      </c>
      <c r="D131" s="3" t="s">
        <v>597</v>
      </c>
      <c r="E131" s="3" t="s">
        <v>598</v>
      </c>
      <c r="F131" s="6" t="s">
        <v>700</v>
      </c>
      <c r="G131" s="3">
        <f>COUNTIF($F$2:$F$278,F131)</f>
        <v>25</v>
      </c>
      <c r="H131" s="3" t="s">
        <v>701</v>
      </c>
      <c r="I131" s="3" t="s">
        <v>487</v>
      </c>
      <c r="J131" s="3" t="s">
        <v>83</v>
      </c>
      <c r="K131" s="3" t="s">
        <v>119</v>
      </c>
      <c r="L131" s="3">
        <v>50057</v>
      </c>
      <c r="M131" s="3" t="s">
        <v>85</v>
      </c>
      <c r="N131" s="3" t="s">
        <v>86</v>
      </c>
      <c r="O131" s="3" t="s">
        <v>84</v>
      </c>
      <c r="P131" s="3" t="s">
        <v>100</v>
      </c>
      <c r="Q131" s="3" t="s">
        <v>417</v>
      </c>
      <c r="R131" s="3" t="s">
        <v>418</v>
      </c>
      <c r="S131" s="3" t="s">
        <v>224</v>
      </c>
      <c r="T131" s="3" t="s">
        <v>225</v>
      </c>
      <c r="U131" s="3" t="s">
        <v>276</v>
      </c>
      <c r="V131" s="3" t="s">
        <v>22</v>
      </c>
      <c r="X131" s="3" t="s">
        <v>192</v>
      </c>
      <c r="Y131" s="3" t="s">
        <v>132</v>
      </c>
      <c r="Z131" s="3" t="s">
        <v>193</v>
      </c>
      <c r="AA131" s="3" t="b">
        <v>0</v>
      </c>
      <c r="AB131" s="3" t="b">
        <v>0</v>
      </c>
      <c r="AD131" s="3">
        <v>138</v>
      </c>
      <c r="AE131" s="3" t="s">
        <v>278</v>
      </c>
      <c r="AI131" s="3" t="s">
        <v>702</v>
      </c>
      <c r="AJ131" s="3" t="s">
        <v>100</v>
      </c>
      <c r="AK131" s="3" t="s">
        <v>777</v>
      </c>
      <c r="AL131" s="3" t="s">
        <v>100</v>
      </c>
      <c r="AM131" s="3" t="s">
        <v>100</v>
      </c>
      <c r="AN131" s="3" t="s">
        <v>124</v>
      </c>
      <c r="AO131" s="3">
        <v>1002</v>
      </c>
      <c r="AP131" s="3" t="s">
        <v>778</v>
      </c>
      <c r="AQ131" s="3" t="s">
        <v>104</v>
      </c>
      <c r="AR131" s="3" t="s">
        <v>491</v>
      </c>
      <c r="AS131" s="3" t="s">
        <v>705</v>
      </c>
      <c r="AT131" s="3" t="s">
        <v>706</v>
      </c>
      <c r="AU131" s="3" t="s">
        <v>706</v>
      </c>
      <c r="AX131" s="3" t="s">
        <v>707</v>
      </c>
      <c r="AY131" s="3" t="s">
        <v>708</v>
      </c>
      <c r="AZ131" s="3" t="s">
        <v>104</v>
      </c>
      <c r="BA131" s="3" t="s">
        <v>491</v>
      </c>
      <c r="BB131" s="3" t="s">
        <v>705</v>
      </c>
      <c r="BC131" s="3" t="s">
        <v>709</v>
      </c>
      <c r="BD131" s="3" t="s">
        <v>709</v>
      </c>
      <c r="BE131" s="3" t="s">
        <v>409</v>
      </c>
      <c r="BF131" s="3" t="s">
        <v>710</v>
      </c>
      <c r="BG131" s="3">
        <v>14618</v>
      </c>
      <c r="BH131" s="3" t="s">
        <v>711</v>
      </c>
      <c r="BO131" s="3">
        <v>3</v>
      </c>
      <c r="BR131" s="3" t="s">
        <v>104</v>
      </c>
      <c r="BS131" s="3" t="s">
        <v>712</v>
      </c>
      <c r="BT131" s="3" t="s">
        <v>705</v>
      </c>
      <c r="BU131" s="3" t="s">
        <v>709</v>
      </c>
      <c r="BV131" s="3" t="s">
        <v>713</v>
      </c>
      <c r="BW131" s="3" t="s">
        <v>499</v>
      </c>
    </row>
    <row r="132" spans="1:75" s="3" customFormat="1" x14ac:dyDescent="0.35">
      <c r="A132" s="3" t="s">
        <v>779</v>
      </c>
      <c r="B132" s="4">
        <v>46008</v>
      </c>
      <c r="C132" s="5">
        <v>0.68937500000000007</v>
      </c>
      <c r="D132" s="3" t="s">
        <v>597</v>
      </c>
      <c r="E132" s="3" t="s">
        <v>598</v>
      </c>
      <c r="F132" s="6" t="s">
        <v>700</v>
      </c>
      <c r="G132" s="3">
        <f>COUNTIF($F$2:$F$278,F132)</f>
        <v>25</v>
      </c>
      <c r="H132" s="3" t="s">
        <v>701</v>
      </c>
      <c r="I132" s="3" t="s">
        <v>487</v>
      </c>
      <c r="J132" s="3" t="s">
        <v>83</v>
      </c>
      <c r="K132" s="3" t="s">
        <v>119</v>
      </c>
      <c r="L132" s="3">
        <v>50057</v>
      </c>
      <c r="M132" s="3" t="s">
        <v>85</v>
      </c>
      <c r="N132" s="3" t="s">
        <v>86</v>
      </c>
      <c r="O132" s="3" t="s">
        <v>84</v>
      </c>
      <c r="P132" s="3" t="s">
        <v>100</v>
      </c>
      <c r="Q132" s="3" t="s">
        <v>417</v>
      </c>
      <c r="R132" s="3" t="s">
        <v>418</v>
      </c>
      <c r="S132" s="3" t="s">
        <v>224</v>
      </c>
      <c r="T132" s="3" t="s">
        <v>225</v>
      </c>
      <c r="U132" s="3" t="s">
        <v>276</v>
      </c>
      <c r="V132" s="3" t="s">
        <v>22</v>
      </c>
      <c r="X132" s="3" t="s">
        <v>192</v>
      </c>
      <c r="Y132" s="3" t="s">
        <v>132</v>
      </c>
      <c r="Z132" s="3" t="s">
        <v>193</v>
      </c>
      <c r="AA132" s="3" t="b">
        <v>0</v>
      </c>
      <c r="AB132" s="3" t="b">
        <v>0</v>
      </c>
      <c r="AD132" s="3">
        <v>265</v>
      </c>
      <c r="AE132" s="3" t="s">
        <v>278</v>
      </c>
      <c r="AI132" s="3" t="s">
        <v>702</v>
      </c>
      <c r="AJ132" s="3" t="s">
        <v>100</v>
      </c>
      <c r="AK132" s="3" t="s">
        <v>780</v>
      </c>
      <c r="AL132" s="3" t="s">
        <v>100</v>
      </c>
      <c r="AM132" s="3" t="s">
        <v>100</v>
      </c>
      <c r="AN132" s="3" t="s">
        <v>124</v>
      </c>
      <c r="AO132" s="3">
        <v>1002</v>
      </c>
      <c r="AP132" s="3" t="s">
        <v>781</v>
      </c>
      <c r="AQ132" s="3" t="s">
        <v>104</v>
      </c>
      <c r="AR132" s="3" t="s">
        <v>491</v>
      </c>
      <c r="AS132" s="3" t="s">
        <v>705</v>
      </c>
      <c r="AT132" s="3" t="s">
        <v>706</v>
      </c>
      <c r="AU132" s="3" t="s">
        <v>706</v>
      </c>
      <c r="AX132" s="3" t="s">
        <v>707</v>
      </c>
      <c r="AY132" s="3" t="s">
        <v>708</v>
      </c>
      <c r="AZ132" s="3" t="s">
        <v>104</v>
      </c>
      <c r="BA132" s="3" t="s">
        <v>491</v>
      </c>
      <c r="BB132" s="3" t="s">
        <v>705</v>
      </c>
      <c r="BC132" s="3" t="s">
        <v>709</v>
      </c>
      <c r="BD132" s="3" t="s">
        <v>709</v>
      </c>
      <c r="BE132" s="3" t="s">
        <v>409</v>
      </c>
      <c r="BF132" s="3" t="s">
        <v>710</v>
      </c>
      <c r="BG132" s="3">
        <v>14618</v>
      </c>
      <c r="BH132" s="3" t="s">
        <v>711</v>
      </c>
      <c r="BO132" s="3">
        <v>3</v>
      </c>
      <c r="BR132" s="3" t="s">
        <v>104</v>
      </c>
      <c r="BS132" s="3" t="s">
        <v>712</v>
      </c>
      <c r="BT132" s="3" t="s">
        <v>705</v>
      </c>
      <c r="BU132" s="3" t="s">
        <v>709</v>
      </c>
      <c r="BV132" s="3" t="s">
        <v>713</v>
      </c>
      <c r="BW132" s="3" t="s">
        <v>499</v>
      </c>
    </row>
    <row r="133" spans="1:75" s="3" customFormat="1" x14ac:dyDescent="0.35">
      <c r="A133" s="3" t="s">
        <v>782</v>
      </c>
      <c r="B133" s="4">
        <v>46008</v>
      </c>
      <c r="C133" s="5">
        <v>0.68931712962962965</v>
      </c>
      <c r="D133" s="3" t="s">
        <v>597</v>
      </c>
      <c r="E133" s="3" t="s">
        <v>598</v>
      </c>
      <c r="F133" s="6" t="s">
        <v>700</v>
      </c>
      <c r="G133" s="3">
        <f>COUNTIF($F$2:$F$278,F133)</f>
        <v>25</v>
      </c>
      <c r="H133" s="3" t="s">
        <v>701</v>
      </c>
      <c r="I133" s="3" t="s">
        <v>487</v>
      </c>
      <c r="J133" s="3" t="s">
        <v>83</v>
      </c>
      <c r="K133" s="3" t="s">
        <v>119</v>
      </c>
      <c r="L133" s="3">
        <v>50057</v>
      </c>
      <c r="M133" s="3" t="s">
        <v>85</v>
      </c>
      <c r="N133" s="3" t="s">
        <v>86</v>
      </c>
      <c r="O133" s="3" t="s">
        <v>84</v>
      </c>
      <c r="P133" s="3" t="s">
        <v>100</v>
      </c>
      <c r="Q133" s="3" t="s">
        <v>417</v>
      </c>
      <c r="R133" s="3" t="s">
        <v>418</v>
      </c>
      <c r="S133" s="3" t="s">
        <v>224</v>
      </c>
      <c r="T133" s="3" t="s">
        <v>225</v>
      </c>
      <c r="U133" s="3" t="s">
        <v>276</v>
      </c>
      <c r="V133" s="3" t="s">
        <v>22</v>
      </c>
      <c r="X133" s="3" t="s">
        <v>192</v>
      </c>
      <c r="Y133" s="3" t="s">
        <v>132</v>
      </c>
      <c r="Z133" s="3" t="s">
        <v>193</v>
      </c>
      <c r="AA133" s="3" t="b">
        <v>0</v>
      </c>
      <c r="AB133" s="3" t="b">
        <v>0</v>
      </c>
      <c r="AD133" s="3">
        <v>190</v>
      </c>
      <c r="AE133" s="3" t="s">
        <v>278</v>
      </c>
      <c r="AI133" s="3" t="s">
        <v>702</v>
      </c>
      <c r="AJ133" s="3" t="s">
        <v>100</v>
      </c>
      <c r="AK133" s="3" t="s">
        <v>783</v>
      </c>
      <c r="AL133" s="3" t="s">
        <v>100</v>
      </c>
      <c r="AM133" s="3" t="s">
        <v>100</v>
      </c>
      <c r="AN133" s="3" t="s">
        <v>124</v>
      </c>
      <c r="AO133" s="3">
        <v>1002</v>
      </c>
      <c r="AP133" s="3" t="s">
        <v>784</v>
      </c>
      <c r="AQ133" s="3" t="s">
        <v>104</v>
      </c>
      <c r="AR133" s="3" t="s">
        <v>491</v>
      </c>
      <c r="AS133" s="3" t="s">
        <v>705</v>
      </c>
      <c r="AT133" s="3" t="s">
        <v>706</v>
      </c>
      <c r="AU133" s="3" t="s">
        <v>706</v>
      </c>
      <c r="AX133" s="3" t="s">
        <v>707</v>
      </c>
      <c r="AY133" s="3" t="s">
        <v>708</v>
      </c>
      <c r="AZ133" s="3" t="s">
        <v>104</v>
      </c>
      <c r="BA133" s="3" t="s">
        <v>491</v>
      </c>
      <c r="BB133" s="3" t="s">
        <v>705</v>
      </c>
      <c r="BC133" s="3" t="s">
        <v>709</v>
      </c>
      <c r="BD133" s="3" t="s">
        <v>709</v>
      </c>
      <c r="BE133" s="3" t="s">
        <v>409</v>
      </c>
      <c r="BF133" s="3" t="s">
        <v>710</v>
      </c>
      <c r="BG133" s="3">
        <v>14618</v>
      </c>
      <c r="BH133" s="3" t="s">
        <v>711</v>
      </c>
      <c r="BO133" s="3">
        <v>3</v>
      </c>
      <c r="BR133" s="3" t="s">
        <v>104</v>
      </c>
      <c r="BS133" s="3" t="s">
        <v>712</v>
      </c>
      <c r="BT133" s="3" t="s">
        <v>705</v>
      </c>
      <c r="BU133" s="3" t="s">
        <v>709</v>
      </c>
      <c r="BV133" s="3" t="s">
        <v>713</v>
      </c>
      <c r="BW133" s="3" t="s">
        <v>499</v>
      </c>
    </row>
    <row r="134" spans="1:75" s="3" customFormat="1" x14ac:dyDescent="0.35">
      <c r="A134" s="3" t="s">
        <v>785</v>
      </c>
      <c r="B134" s="4">
        <v>46008</v>
      </c>
      <c r="C134" s="5">
        <v>0.6893055555555555</v>
      </c>
      <c r="D134" s="3" t="s">
        <v>597</v>
      </c>
      <c r="E134" s="3" t="s">
        <v>598</v>
      </c>
      <c r="F134" s="6" t="s">
        <v>700</v>
      </c>
      <c r="G134" s="3">
        <f>COUNTIF($F$2:$F$278,F134)</f>
        <v>25</v>
      </c>
      <c r="H134" s="3" t="s">
        <v>701</v>
      </c>
      <c r="I134" s="3" t="s">
        <v>487</v>
      </c>
      <c r="J134" s="3" t="s">
        <v>83</v>
      </c>
      <c r="K134" s="3" t="s">
        <v>119</v>
      </c>
      <c r="L134" s="3">
        <v>50057</v>
      </c>
      <c r="M134" s="3" t="s">
        <v>85</v>
      </c>
      <c r="N134" s="3" t="s">
        <v>86</v>
      </c>
      <c r="O134" s="3" t="s">
        <v>84</v>
      </c>
      <c r="P134" s="3" t="s">
        <v>100</v>
      </c>
      <c r="Q134" s="3" t="s">
        <v>417</v>
      </c>
      <c r="R134" s="3" t="s">
        <v>418</v>
      </c>
      <c r="S134" s="3" t="s">
        <v>224</v>
      </c>
      <c r="T134" s="3" t="s">
        <v>225</v>
      </c>
      <c r="U134" s="3" t="s">
        <v>276</v>
      </c>
      <c r="V134" s="3" t="s">
        <v>22</v>
      </c>
      <c r="X134" s="3" t="s">
        <v>192</v>
      </c>
      <c r="Y134" s="3" t="s">
        <v>132</v>
      </c>
      <c r="Z134" s="3" t="s">
        <v>193</v>
      </c>
      <c r="AA134" s="3" t="b">
        <v>0</v>
      </c>
      <c r="AB134" s="3" t="b">
        <v>0</v>
      </c>
      <c r="AD134" s="3">
        <v>348</v>
      </c>
      <c r="AE134" s="3" t="s">
        <v>278</v>
      </c>
      <c r="AI134" s="3" t="s">
        <v>702</v>
      </c>
      <c r="AJ134" s="3" t="s">
        <v>100</v>
      </c>
      <c r="AK134" s="3" t="s">
        <v>786</v>
      </c>
      <c r="AL134" s="3" t="s">
        <v>100</v>
      </c>
      <c r="AM134" s="3" t="s">
        <v>100</v>
      </c>
      <c r="AN134" s="3" t="s">
        <v>124</v>
      </c>
      <c r="AO134" s="3">
        <v>1002</v>
      </c>
      <c r="AP134" s="3" t="s">
        <v>787</v>
      </c>
      <c r="AQ134" s="3" t="s">
        <v>104</v>
      </c>
      <c r="AR134" s="3" t="s">
        <v>491</v>
      </c>
      <c r="AS134" s="3" t="s">
        <v>705</v>
      </c>
      <c r="AT134" s="3" t="s">
        <v>706</v>
      </c>
      <c r="AU134" s="3" t="s">
        <v>706</v>
      </c>
      <c r="AX134" s="3" t="s">
        <v>707</v>
      </c>
      <c r="AY134" s="3" t="s">
        <v>708</v>
      </c>
      <c r="AZ134" s="3" t="s">
        <v>104</v>
      </c>
      <c r="BA134" s="3" t="s">
        <v>491</v>
      </c>
      <c r="BB134" s="3" t="s">
        <v>705</v>
      </c>
      <c r="BC134" s="3" t="s">
        <v>709</v>
      </c>
      <c r="BD134" s="3" t="s">
        <v>709</v>
      </c>
      <c r="BE134" s="3" t="s">
        <v>409</v>
      </c>
      <c r="BF134" s="3" t="s">
        <v>710</v>
      </c>
      <c r="BG134" s="3">
        <v>14618</v>
      </c>
      <c r="BH134" s="3" t="s">
        <v>711</v>
      </c>
      <c r="BO134" s="3">
        <v>3</v>
      </c>
      <c r="BR134" s="3" t="s">
        <v>104</v>
      </c>
      <c r="BS134" s="3" t="s">
        <v>712</v>
      </c>
      <c r="BT134" s="3" t="s">
        <v>705</v>
      </c>
      <c r="BU134" s="3" t="s">
        <v>709</v>
      </c>
      <c r="BV134" s="3" t="s">
        <v>713</v>
      </c>
      <c r="BW134" s="3" t="s">
        <v>499</v>
      </c>
    </row>
    <row r="135" spans="1:75" s="3" customFormat="1" x14ac:dyDescent="0.35">
      <c r="A135" s="3" t="s">
        <v>788</v>
      </c>
      <c r="B135" s="4">
        <v>46008</v>
      </c>
      <c r="C135" s="5">
        <v>0.68928240740740743</v>
      </c>
      <c r="D135" s="3" t="s">
        <v>597</v>
      </c>
      <c r="E135" s="3" t="s">
        <v>598</v>
      </c>
      <c r="F135" s="6" t="s">
        <v>700</v>
      </c>
      <c r="G135" s="3">
        <f>COUNTIF($F$2:$F$278,F135)</f>
        <v>25</v>
      </c>
      <c r="H135" s="3" t="s">
        <v>701</v>
      </c>
      <c r="I135" s="3" t="s">
        <v>487</v>
      </c>
      <c r="J135" s="3" t="s">
        <v>83</v>
      </c>
      <c r="K135" s="3" t="s">
        <v>119</v>
      </c>
      <c r="L135" s="3">
        <v>50057</v>
      </c>
      <c r="M135" s="3" t="s">
        <v>85</v>
      </c>
      <c r="N135" s="3" t="s">
        <v>86</v>
      </c>
      <c r="O135" s="3" t="s">
        <v>84</v>
      </c>
      <c r="P135" s="3" t="s">
        <v>100</v>
      </c>
      <c r="Q135" s="3" t="s">
        <v>417</v>
      </c>
      <c r="R135" s="3" t="s">
        <v>418</v>
      </c>
      <c r="S135" s="3" t="s">
        <v>224</v>
      </c>
      <c r="T135" s="3" t="s">
        <v>225</v>
      </c>
      <c r="U135" s="3" t="s">
        <v>276</v>
      </c>
      <c r="V135" s="3" t="s">
        <v>22</v>
      </c>
      <c r="X135" s="3" t="s">
        <v>192</v>
      </c>
      <c r="Y135" s="3" t="s">
        <v>132</v>
      </c>
      <c r="Z135" s="3" t="s">
        <v>193</v>
      </c>
      <c r="AA135" s="3" t="b">
        <v>0</v>
      </c>
      <c r="AB135" s="3" t="b">
        <v>0</v>
      </c>
      <c r="AD135" s="3">
        <v>350</v>
      </c>
      <c r="AE135" s="3" t="s">
        <v>278</v>
      </c>
      <c r="AI135" s="3" t="s">
        <v>702</v>
      </c>
      <c r="AJ135" s="3" t="s">
        <v>100</v>
      </c>
      <c r="AK135" s="3" t="s">
        <v>789</v>
      </c>
      <c r="AL135" s="3" t="s">
        <v>100</v>
      </c>
      <c r="AM135" s="3" t="s">
        <v>100</v>
      </c>
      <c r="AN135" s="3" t="s">
        <v>124</v>
      </c>
      <c r="AO135" s="3">
        <v>1002</v>
      </c>
      <c r="AP135" s="3" t="s">
        <v>790</v>
      </c>
      <c r="AQ135" s="3" t="s">
        <v>104</v>
      </c>
      <c r="AR135" s="3" t="s">
        <v>491</v>
      </c>
      <c r="AS135" s="3" t="s">
        <v>705</v>
      </c>
      <c r="AT135" s="3" t="s">
        <v>706</v>
      </c>
      <c r="AU135" s="3" t="s">
        <v>706</v>
      </c>
      <c r="AX135" s="3" t="s">
        <v>707</v>
      </c>
      <c r="AY135" s="3" t="s">
        <v>708</v>
      </c>
      <c r="AZ135" s="3" t="s">
        <v>104</v>
      </c>
      <c r="BA135" s="3" t="s">
        <v>491</v>
      </c>
      <c r="BB135" s="3" t="s">
        <v>705</v>
      </c>
      <c r="BC135" s="3" t="s">
        <v>709</v>
      </c>
      <c r="BD135" s="3" t="s">
        <v>709</v>
      </c>
      <c r="BE135" s="3" t="s">
        <v>409</v>
      </c>
      <c r="BF135" s="3" t="s">
        <v>710</v>
      </c>
      <c r="BG135" s="3">
        <v>14618</v>
      </c>
      <c r="BH135" s="3" t="s">
        <v>711</v>
      </c>
      <c r="BO135" s="3">
        <v>3</v>
      </c>
      <c r="BR135" s="3" t="s">
        <v>104</v>
      </c>
      <c r="BS135" s="3" t="s">
        <v>712</v>
      </c>
      <c r="BT135" s="3" t="s">
        <v>705</v>
      </c>
      <c r="BU135" s="3" t="s">
        <v>709</v>
      </c>
      <c r="BV135" s="3" t="s">
        <v>713</v>
      </c>
      <c r="BW135" s="3" t="s">
        <v>499</v>
      </c>
    </row>
    <row r="136" spans="1:75" s="3" customFormat="1" x14ac:dyDescent="0.35">
      <c r="A136" s="3" t="s">
        <v>791</v>
      </c>
      <c r="B136" s="4">
        <v>46008</v>
      </c>
      <c r="C136" s="5">
        <v>0.68927083333333339</v>
      </c>
      <c r="D136" s="3" t="s">
        <v>597</v>
      </c>
      <c r="E136" s="3" t="s">
        <v>598</v>
      </c>
      <c r="F136" s="6" t="s">
        <v>700</v>
      </c>
      <c r="G136" s="3">
        <f>COUNTIF($F$2:$F$278,F136)</f>
        <v>25</v>
      </c>
      <c r="H136" s="3" t="s">
        <v>701</v>
      </c>
      <c r="I136" s="3" t="s">
        <v>487</v>
      </c>
      <c r="J136" s="3" t="s">
        <v>83</v>
      </c>
      <c r="K136" s="3" t="s">
        <v>119</v>
      </c>
      <c r="L136" s="3">
        <v>50057</v>
      </c>
      <c r="M136" s="3" t="s">
        <v>85</v>
      </c>
      <c r="N136" s="3" t="s">
        <v>86</v>
      </c>
      <c r="O136" s="3" t="s">
        <v>84</v>
      </c>
      <c r="P136" s="3" t="s">
        <v>100</v>
      </c>
      <c r="Q136" s="3" t="s">
        <v>417</v>
      </c>
      <c r="R136" s="3" t="s">
        <v>418</v>
      </c>
      <c r="S136" s="3" t="s">
        <v>224</v>
      </c>
      <c r="T136" s="3" t="s">
        <v>225</v>
      </c>
      <c r="U136" s="3" t="s">
        <v>276</v>
      </c>
      <c r="V136" s="3" t="s">
        <v>22</v>
      </c>
      <c r="X136" s="3" t="s">
        <v>192</v>
      </c>
      <c r="Y136" s="3" t="s">
        <v>132</v>
      </c>
      <c r="Z136" s="3" t="s">
        <v>193</v>
      </c>
      <c r="AA136" s="3" t="b">
        <v>0</v>
      </c>
      <c r="AB136" s="3" t="b">
        <v>0</v>
      </c>
      <c r="AD136" s="3">
        <v>190</v>
      </c>
      <c r="AE136" s="3" t="s">
        <v>278</v>
      </c>
      <c r="AI136" s="3" t="s">
        <v>702</v>
      </c>
      <c r="AJ136" s="3" t="s">
        <v>100</v>
      </c>
      <c r="AK136" s="3" t="s">
        <v>792</v>
      </c>
      <c r="AL136" s="3" t="s">
        <v>100</v>
      </c>
      <c r="AM136" s="3" t="s">
        <v>100</v>
      </c>
      <c r="AN136" s="3" t="s">
        <v>124</v>
      </c>
      <c r="AO136" s="3">
        <v>1002</v>
      </c>
      <c r="AP136" s="3" t="s">
        <v>793</v>
      </c>
      <c r="AQ136" s="3" t="s">
        <v>104</v>
      </c>
      <c r="AR136" s="3" t="s">
        <v>491</v>
      </c>
      <c r="AS136" s="3" t="s">
        <v>705</v>
      </c>
      <c r="AT136" s="3" t="s">
        <v>706</v>
      </c>
      <c r="AU136" s="3" t="s">
        <v>706</v>
      </c>
      <c r="AX136" s="3" t="s">
        <v>707</v>
      </c>
      <c r="AY136" s="3" t="s">
        <v>708</v>
      </c>
      <c r="AZ136" s="3" t="s">
        <v>104</v>
      </c>
      <c r="BA136" s="3" t="s">
        <v>491</v>
      </c>
      <c r="BB136" s="3" t="s">
        <v>705</v>
      </c>
      <c r="BC136" s="3" t="s">
        <v>709</v>
      </c>
      <c r="BD136" s="3" t="s">
        <v>709</v>
      </c>
      <c r="BE136" s="3" t="s">
        <v>409</v>
      </c>
      <c r="BF136" s="3" t="s">
        <v>710</v>
      </c>
      <c r="BG136" s="3">
        <v>14618</v>
      </c>
      <c r="BH136" s="3" t="s">
        <v>711</v>
      </c>
      <c r="BO136" s="3">
        <v>3</v>
      </c>
      <c r="BR136" s="3" t="s">
        <v>104</v>
      </c>
      <c r="BS136" s="3" t="s">
        <v>712</v>
      </c>
      <c r="BT136" s="3" t="s">
        <v>705</v>
      </c>
      <c r="BU136" s="3" t="s">
        <v>709</v>
      </c>
      <c r="BV136" s="3" t="s">
        <v>713</v>
      </c>
      <c r="BW136" s="3" t="s">
        <v>499</v>
      </c>
    </row>
    <row r="137" spans="1:75" s="3" customFormat="1" x14ac:dyDescent="0.35">
      <c r="A137" s="3" t="s">
        <v>791</v>
      </c>
      <c r="B137" s="4">
        <v>46008</v>
      </c>
      <c r="C137" s="5">
        <v>0.68927083333333339</v>
      </c>
      <c r="D137" s="3" t="s">
        <v>597</v>
      </c>
      <c r="E137" s="3" t="s">
        <v>598</v>
      </c>
      <c r="F137" s="6" t="s">
        <v>700</v>
      </c>
      <c r="G137" s="3">
        <f>COUNTIF($F$2:$F$278,F137)</f>
        <v>25</v>
      </c>
      <c r="H137" s="3" t="s">
        <v>701</v>
      </c>
      <c r="I137" s="3" t="s">
        <v>487</v>
      </c>
      <c r="J137" s="3" t="s">
        <v>83</v>
      </c>
      <c r="K137" s="3" t="s">
        <v>119</v>
      </c>
      <c r="L137" s="3">
        <v>50057</v>
      </c>
      <c r="M137" s="3" t="s">
        <v>85</v>
      </c>
      <c r="N137" s="3" t="s">
        <v>86</v>
      </c>
      <c r="O137" s="3" t="s">
        <v>84</v>
      </c>
      <c r="P137" s="3" t="s">
        <v>100</v>
      </c>
      <c r="Q137" s="3" t="s">
        <v>417</v>
      </c>
      <c r="R137" s="3" t="s">
        <v>418</v>
      </c>
      <c r="S137" s="3" t="s">
        <v>224</v>
      </c>
      <c r="T137" s="3" t="s">
        <v>225</v>
      </c>
      <c r="U137" s="3" t="s">
        <v>276</v>
      </c>
      <c r="V137" s="3" t="s">
        <v>22</v>
      </c>
      <c r="X137" s="3" t="s">
        <v>192</v>
      </c>
      <c r="Y137" s="3" t="s">
        <v>132</v>
      </c>
      <c r="Z137" s="3" t="s">
        <v>193</v>
      </c>
      <c r="AA137" s="3" t="b">
        <v>0</v>
      </c>
      <c r="AB137" s="3" t="b">
        <v>0</v>
      </c>
      <c r="AD137" s="3">
        <v>214</v>
      </c>
      <c r="AE137" s="3" t="s">
        <v>278</v>
      </c>
      <c r="AI137" s="3" t="s">
        <v>702</v>
      </c>
      <c r="AJ137" s="3" t="s">
        <v>100</v>
      </c>
      <c r="AK137" s="3" t="s">
        <v>794</v>
      </c>
      <c r="AL137" s="3" t="s">
        <v>100</v>
      </c>
      <c r="AM137" s="3" t="s">
        <v>100</v>
      </c>
      <c r="AN137" s="3" t="s">
        <v>124</v>
      </c>
      <c r="AO137" s="3">
        <v>1002</v>
      </c>
      <c r="AP137" s="3" t="s">
        <v>795</v>
      </c>
      <c r="AQ137" s="3" t="s">
        <v>104</v>
      </c>
      <c r="AR137" s="3" t="s">
        <v>491</v>
      </c>
      <c r="AS137" s="3" t="s">
        <v>705</v>
      </c>
      <c r="AT137" s="3" t="s">
        <v>706</v>
      </c>
      <c r="AU137" s="3" t="s">
        <v>706</v>
      </c>
      <c r="AX137" s="3" t="s">
        <v>707</v>
      </c>
      <c r="AY137" s="3" t="s">
        <v>708</v>
      </c>
      <c r="AZ137" s="3" t="s">
        <v>104</v>
      </c>
      <c r="BA137" s="3" t="s">
        <v>491</v>
      </c>
      <c r="BB137" s="3" t="s">
        <v>705</v>
      </c>
      <c r="BC137" s="3" t="s">
        <v>709</v>
      </c>
      <c r="BD137" s="3" t="s">
        <v>709</v>
      </c>
      <c r="BE137" s="3" t="s">
        <v>409</v>
      </c>
      <c r="BF137" s="3" t="s">
        <v>710</v>
      </c>
      <c r="BG137" s="3">
        <v>14618</v>
      </c>
      <c r="BH137" s="3" t="s">
        <v>711</v>
      </c>
      <c r="BO137" s="3">
        <v>3</v>
      </c>
      <c r="BR137" s="3" t="s">
        <v>104</v>
      </c>
      <c r="BS137" s="3" t="s">
        <v>712</v>
      </c>
      <c r="BT137" s="3" t="s">
        <v>705</v>
      </c>
      <c r="BU137" s="3" t="s">
        <v>709</v>
      </c>
      <c r="BV137" s="3" t="s">
        <v>713</v>
      </c>
      <c r="BW137" s="3" t="s">
        <v>499</v>
      </c>
    </row>
    <row r="138" spans="1:75" x14ac:dyDescent="0.35">
      <c r="A138" t="s">
        <v>796</v>
      </c>
      <c r="B138" s="1">
        <v>46008</v>
      </c>
      <c r="C138" s="2">
        <v>0.68879629629629635</v>
      </c>
      <c r="D138" t="s">
        <v>183</v>
      </c>
      <c r="E138" t="s">
        <v>184</v>
      </c>
      <c r="F138" t="s">
        <v>797</v>
      </c>
      <c r="G138">
        <f>COUNTIF($F$2:$F$278,F138)</f>
        <v>5</v>
      </c>
      <c r="H138" t="s">
        <v>798</v>
      </c>
      <c r="I138" t="s">
        <v>187</v>
      </c>
      <c r="J138" t="s">
        <v>83</v>
      </c>
      <c r="K138" t="s">
        <v>84</v>
      </c>
      <c r="M138" t="s">
        <v>85</v>
      </c>
      <c r="N138" t="s">
        <v>86</v>
      </c>
      <c r="O138" t="s">
        <v>84</v>
      </c>
      <c r="P138" t="s">
        <v>100</v>
      </c>
      <c r="Q138" t="s">
        <v>188</v>
      </c>
      <c r="R138" t="s">
        <v>189</v>
      </c>
      <c r="S138" t="s">
        <v>190</v>
      </c>
      <c r="T138" t="s">
        <v>191</v>
      </c>
      <c r="U138" t="s">
        <v>93</v>
      </c>
      <c r="V138" t="s">
        <v>22</v>
      </c>
      <c r="X138" t="s">
        <v>241</v>
      </c>
      <c r="Y138" t="s">
        <v>132</v>
      </c>
      <c r="Z138" t="s">
        <v>242</v>
      </c>
      <c r="AA138" t="b">
        <v>0</v>
      </c>
      <c r="AB138" t="b">
        <v>0</v>
      </c>
      <c r="AD138">
        <v>261</v>
      </c>
      <c r="AE138" t="s">
        <v>134</v>
      </c>
      <c r="AI138" t="s">
        <v>799</v>
      </c>
      <c r="AJ138" t="s">
        <v>100</v>
      </c>
      <c r="AK138" t="s">
        <v>800</v>
      </c>
      <c r="AL138" t="s">
        <v>100</v>
      </c>
      <c r="AM138" t="s">
        <v>100</v>
      </c>
      <c r="AN138" t="s">
        <v>124</v>
      </c>
      <c r="AO138">
        <v>1002</v>
      </c>
      <c r="AP138" t="s">
        <v>801</v>
      </c>
      <c r="AQ138" t="s">
        <v>104</v>
      </c>
      <c r="AR138" t="s">
        <v>197</v>
      </c>
      <c r="AS138" t="s">
        <v>802</v>
      </c>
      <c r="AT138" t="s">
        <v>803</v>
      </c>
      <c r="AU138" t="s">
        <v>803</v>
      </c>
      <c r="AX138" t="s">
        <v>804</v>
      </c>
      <c r="AY138" t="s">
        <v>805</v>
      </c>
      <c r="AZ138" t="s">
        <v>104</v>
      </c>
      <c r="BA138" t="s">
        <v>197</v>
      </c>
      <c r="BB138" t="s">
        <v>802</v>
      </c>
      <c r="BC138" t="s">
        <v>803</v>
      </c>
      <c r="BD138" t="s">
        <v>803</v>
      </c>
      <c r="BF138" t="s">
        <v>519</v>
      </c>
      <c r="BG138">
        <v>4181</v>
      </c>
      <c r="BH138" t="s">
        <v>806</v>
      </c>
      <c r="BO138">
        <v>6</v>
      </c>
      <c r="BR138" t="s">
        <v>104</v>
      </c>
      <c r="BS138" t="s">
        <v>205</v>
      </c>
      <c r="BT138" t="s">
        <v>802</v>
      </c>
      <c r="BU138" t="s">
        <v>803</v>
      </c>
      <c r="BV138" t="s">
        <v>803</v>
      </c>
      <c r="BW138" t="s">
        <v>209</v>
      </c>
    </row>
    <row r="139" spans="1:75" x14ac:dyDescent="0.35">
      <c r="A139" t="s">
        <v>807</v>
      </c>
      <c r="B139" s="1">
        <v>46008</v>
      </c>
      <c r="C139" s="2">
        <v>0.6887847222222222</v>
      </c>
      <c r="D139" t="s">
        <v>183</v>
      </c>
      <c r="E139" t="s">
        <v>184</v>
      </c>
      <c r="F139" t="s">
        <v>797</v>
      </c>
      <c r="G139">
        <f>COUNTIF($F$2:$F$278,F139)</f>
        <v>5</v>
      </c>
      <c r="H139" t="s">
        <v>798</v>
      </c>
      <c r="I139" t="s">
        <v>187</v>
      </c>
      <c r="J139" t="s">
        <v>83</v>
      </c>
      <c r="K139" t="s">
        <v>119</v>
      </c>
      <c r="L139">
        <v>50207</v>
      </c>
      <c r="M139" t="s">
        <v>85</v>
      </c>
      <c r="N139" t="s">
        <v>120</v>
      </c>
      <c r="O139" t="s">
        <v>87</v>
      </c>
      <c r="P139" t="s">
        <v>100</v>
      </c>
      <c r="Q139" t="s">
        <v>188</v>
      </c>
      <c r="R139" t="s">
        <v>189</v>
      </c>
      <c r="S139" t="s">
        <v>190</v>
      </c>
      <c r="T139" t="s">
        <v>191</v>
      </c>
      <c r="U139" t="s">
        <v>322</v>
      </c>
      <c r="V139" t="s">
        <v>22</v>
      </c>
      <c r="X139" t="s">
        <v>241</v>
      </c>
      <c r="Y139" t="s">
        <v>132</v>
      </c>
      <c r="Z139" t="s">
        <v>242</v>
      </c>
      <c r="AA139" t="b">
        <v>0</v>
      </c>
      <c r="AB139" t="b">
        <v>0</v>
      </c>
      <c r="AD139">
        <v>185</v>
      </c>
      <c r="AE139" t="s">
        <v>153</v>
      </c>
      <c r="AI139" t="s">
        <v>799</v>
      </c>
      <c r="AJ139" t="s">
        <v>100</v>
      </c>
      <c r="AK139" t="s">
        <v>808</v>
      </c>
      <c r="AL139" t="s">
        <v>100</v>
      </c>
      <c r="AM139" t="s">
        <v>100</v>
      </c>
      <c r="AN139" t="s">
        <v>124</v>
      </c>
      <c r="AP139" t="s">
        <v>801</v>
      </c>
      <c r="AQ139" t="s">
        <v>104</v>
      </c>
      <c r="AR139" t="s">
        <v>197</v>
      </c>
      <c r="AS139" t="s">
        <v>802</v>
      </c>
      <c r="AT139" t="s">
        <v>803</v>
      </c>
      <c r="AU139" t="s">
        <v>803</v>
      </c>
      <c r="AX139" t="s">
        <v>804</v>
      </c>
      <c r="AY139" t="s">
        <v>805</v>
      </c>
      <c r="AZ139" t="s">
        <v>104</v>
      </c>
      <c r="BA139" t="s">
        <v>197</v>
      </c>
      <c r="BB139" t="s">
        <v>802</v>
      </c>
      <c r="BC139" t="s">
        <v>803</v>
      </c>
      <c r="BD139" t="s">
        <v>803</v>
      </c>
      <c r="BF139" t="s">
        <v>519</v>
      </c>
      <c r="BG139">
        <v>4181</v>
      </c>
      <c r="BH139" t="s">
        <v>806</v>
      </c>
      <c r="BO139">
        <v>6</v>
      </c>
      <c r="BR139" t="s">
        <v>104</v>
      </c>
      <c r="BS139" t="s">
        <v>205</v>
      </c>
      <c r="BT139" t="s">
        <v>802</v>
      </c>
      <c r="BU139" t="s">
        <v>803</v>
      </c>
      <c r="BV139" t="s">
        <v>803</v>
      </c>
      <c r="BW139" t="s">
        <v>209</v>
      </c>
    </row>
    <row r="140" spans="1:75" s="3" customFormat="1" x14ac:dyDescent="0.35">
      <c r="A140" s="3" t="s">
        <v>809</v>
      </c>
      <c r="B140" s="4">
        <v>46008</v>
      </c>
      <c r="C140" s="5">
        <v>0.68866898148148159</v>
      </c>
      <c r="D140" s="3" t="s">
        <v>810</v>
      </c>
      <c r="E140" s="3" t="s">
        <v>811</v>
      </c>
      <c r="F140" s="3" t="s">
        <v>396</v>
      </c>
      <c r="G140" s="3">
        <f>COUNTIF($F$2:$F$278,F140)</f>
        <v>7</v>
      </c>
      <c r="H140" s="3" t="s">
        <v>397</v>
      </c>
      <c r="I140" s="3" t="s">
        <v>398</v>
      </c>
      <c r="J140" s="3" t="s">
        <v>83</v>
      </c>
      <c r="K140" s="3" t="s">
        <v>143</v>
      </c>
      <c r="L140" s="3">
        <v>50074</v>
      </c>
      <c r="M140" s="3" t="s">
        <v>85</v>
      </c>
      <c r="N140" s="3" t="s">
        <v>86</v>
      </c>
      <c r="O140" s="3" t="s">
        <v>119</v>
      </c>
      <c r="P140" s="3" t="s">
        <v>100</v>
      </c>
      <c r="Q140" s="3" t="s">
        <v>150</v>
      </c>
      <c r="R140" s="3" t="s">
        <v>151</v>
      </c>
      <c r="S140" s="3" t="s">
        <v>150</v>
      </c>
      <c r="T140" s="3" t="s">
        <v>151</v>
      </c>
      <c r="U140" s="3" t="s">
        <v>303</v>
      </c>
      <c r="V140" s="3" t="s">
        <v>22</v>
      </c>
      <c r="Z140" s="3" t="s">
        <v>399</v>
      </c>
      <c r="AA140" s="3" t="b">
        <v>0</v>
      </c>
      <c r="AB140" s="3" t="b">
        <v>0</v>
      </c>
      <c r="AD140" s="3">
        <v>269</v>
      </c>
      <c r="AE140" s="3" t="s">
        <v>305</v>
      </c>
      <c r="AF140" s="3" t="s">
        <v>146</v>
      </c>
      <c r="AH140" s="3" t="s">
        <v>811</v>
      </c>
      <c r="AI140" s="3" t="s">
        <v>812</v>
      </c>
      <c r="AJ140" s="3" t="s">
        <v>100</v>
      </c>
      <c r="AK140" s="3" t="s">
        <v>813</v>
      </c>
      <c r="AL140" s="3" t="s">
        <v>100</v>
      </c>
      <c r="AM140" s="3" t="s">
        <v>100</v>
      </c>
      <c r="AN140" s="3" t="s">
        <v>124</v>
      </c>
      <c r="AO140" s="3">
        <v>1002</v>
      </c>
      <c r="AP140" s="3" t="s">
        <v>814</v>
      </c>
      <c r="AQ140" s="3" t="s">
        <v>104</v>
      </c>
      <c r="AR140" s="3" t="s">
        <v>403</v>
      </c>
      <c r="AS140" s="3" t="s">
        <v>404</v>
      </c>
      <c r="AT140" s="3" t="s">
        <v>405</v>
      </c>
      <c r="AU140" s="3" t="s">
        <v>405</v>
      </c>
      <c r="AX140" s="3" t="s">
        <v>406</v>
      </c>
      <c r="AY140" s="3" t="s">
        <v>407</v>
      </c>
      <c r="AZ140" s="3" t="s">
        <v>104</v>
      </c>
      <c r="BA140" s="3" t="s">
        <v>403</v>
      </c>
      <c r="BB140" s="3" t="s">
        <v>404</v>
      </c>
      <c r="BC140" s="3" t="s">
        <v>408</v>
      </c>
      <c r="BD140" s="3" t="s">
        <v>408</v>
      </c>
      <c r="BE140" s="3" t="s">
        <v>409</v>
      </c>
      <c r="BF140" s="3" t="s">
        <v>410</v>
      </c>
      <c r="BG140" s="3">
        <v>215540</v>
      </c>
      <c r="BH140" s="3" t="s">
        <v>411</v>
      </c>
      <c r="BO140" s="3">
        <v>20</v>
      </c>
      <c r="BR140" s="3" t="s">
        <v>104</v>
      </c>
      <c r="BS140" s="3" t="s">
        <v>412</v>
      </c>
      <c r="BT140" s="3" t="s">
        <v>404</v>
      </c>
      <c r="BU140" s="3" t="s">
        <v>413</v>
      </c>
      <c r="BV140" s="6" t="s">
        <v>413</v>
      </c>
      <c r="BW140" s="3" t="s">
        <v>209</v>
      </c>
    </row>
    <row r="141" spans="1:75" x14ac:dyDescent="0.35">
      <c r="A141" t="s">
        <v>809</v>
      </c>
      <c r="B141" s="1">
        <v>46008</v>
      </c>
      <c r="C141" s="2">
        <v>0.68866898148148159</v>
      </c>
      <c r="D141" t="s">
        <v>183</v>
      </c>
      <c r="E141" t="s">
        <v>184</v>
      </c>
      <c r="F141" t="s">
        <v>797</v>
      </c>
      <c r="G141">
        <f>COUNTIF($F$2:$F$278,F141)</f>
        <v>5</v>
      </c>
      <c r="H141" t="s">
        <v>798</v>
      </c>
      <c r="I141" t="s">
        <v>187</v>
      </c>
      <c r="J141" t="s">
        <v>83</v>
      </c>
      <c r="K141" t="s">
        <v>84</v>
      </c>
      <c r="M141" t="s">
        <v>85</v>
      </c>
      <c r="N141" t="s">
        <v>86</v>
      </c>
      <c r="O141" t="s">
        <v>84</v>
      </c>
      <c r="P141" t="s">
        <v>100</v>
      </c>
      <c r="Q141" t="s">
        <v>325</v>
      </c>
      <c r="R141" t="s">
        <v>326</v>
      </c>
      <c r="S141" t="s">
        <v>314</v>
      </c>
      <c r="T141" t="s">
        <v>315</v>
      </c>
      <c r="U141" t="s">
        <v>93</v>
      </c>
      <c r="V141" t="s">
        <v>22</v>
      </c>
      <c r="X141" t="s">
        <v>241</v>
      </c>
      <c r="Y141" t="s">
        <v>132</v>
      </c>
      <c r="Z141" t="s">
        <v>242</v>
      </c>
      <c r="AA141" t="b">
        <v>0</v>
      </c>
      <c r="AB141" t="b">
        <v>0</v>
      </c>
      <c r="AD141">
        <v>91</v>
      </c>
      <c r="AE141" t="s">
        <v>153</v>
      </c>
      <c r="AI141" t="s">
        <v>799</v>
      </c>
      <c r="AJ141" t="s">
        <v>100</v>
      </c>
      <c r="AK141" t="s">
        <v>815</v>
      </c>
      <c r="AL141" t="s">
        <v>100</v>
      </c>
      <c r="AM141" t="s">
        <v>100</v>
      </c>
      <c r="AN141" t="s">
        <v>124</v>
      </c>
      <c r="AO141">
        <v>1002</v>
      </c>
      <c r="AP141" t="s">
        <v>816</v>
      </c>
      <c r="AQ141" t="s">
        <v>104</v>
      </c>
      <c r="AR141" t="s">
        <v>197</v>
      </c>
      <c r="AS141" t="s">
        <v>802</v>
      </c>
      <c r="AT141" t="s">
        <v>803</v>
      </c>
      <c r="AU141" t="s">
        <v>803</v>
      </c>
      <c r="AX141" t="s">
        <v>804</v>
      </c>
      <c r="AY141" t="s">
        <v>805</v>
      </c>
      <c r="AZ141" t="s">
        <v>104</v>
      </c>
      <c r="BA141" t="s">
        <v>197</v>
      </c>
      <c r="BB141" t="s">
        <v>802</v>
      </c>
      <c r="BC141" t="s">
        <v>803</v>
      </c>
      <c r="BD141" t="s">
        <v>803</v>
      </c>
      <c r="BF141" t="s">
        <v>519</v>
      </c>
      <c r="BG141">
        <v>4181</v>
      </c>
      <c r="BH141" t="s">
        <v>806</v>
      </c>
      <c r="BO141">
        <v>6</v>
      </c>
      <c r="BR141" t="s">
        <v>104</v>
      </c>
      <c r="BS141" t="s">
        <v>205</v>
      </c>
      <c r="BT141" t="s">
        <v>802</v>
      </c>
      <c r="BU141" t="s">
        <v>803</v>
      </c>
      <c r="BV141" t="s">
        <v>803</v>
      </c>
      <c r="BW141" t="s">
        <v>209</v>
      </c>
    </row>
    <row r="142" spans="1:75" x14ac:dyDescent="0.35">
      <c r="A142" t="s">
        <v>817</v>
      </c>
      <c r="B142" s="1">
        <v>46008</v>
      </c>
      <c r="C142" s="2">
        <v>0.68864583333333329</v>
      </c>
      <c r="D142" t="s">
        <v>183</v>
      </c>
      <c r="E142" t="s">
        <v>184</v>
      </c>
      <c r="F142" t="s">
        <v>797</v>
      </c>
      <c r="G142">
        <f>COUNTIF($F$2:$F$278,F142)</f>
        <v>5</v>
      </c>
      <c r="H142" t="s">
        <v>798</v>
      </c>
      <c r="I142" t="s">
        <v>187</v>
      </c>
      <c r="J142" t="s">
        <v>83</v>
      </c>
      <c r="K142" t="s">
        <v>84</v>
      </c>
      <c r="M142" t="s">
        <v>85</v>
      </c>
      <c r="N142" t="s">
        <v>86</v>
      </c>
      <c r="O142" t="s">
        <v>84</v>
      </c>
      <c r="P142" t="s">
        <v>100</v>
      </c>
      <c r="Q142" t="s">
        <v>330</v>
      </c>
      <c r="R142" t="s">
        <v>331</v>
      </c>
      <c r="S142" t="s">
        <v>91</v>
      </c>
      <c r="T142" t="s">
        <v>92</v>
      </c>
      <c r="U142" t="s">
        <v>93</v>
      </c>
      <c r="V142" t="s">
        <v>22</v>
      </c>
      <c r="X142" t="s">
        <v>241</v>
      </c>
      <c r="Y142" t="s">
        <v>132</v>
      </c>
      <c r="Z142" t="s">
        <v>242</v>
      </c>
      <c r="AA142" t="b">
        <v>0</v>
      </c>
      <c r="AB142" t="b">
        <v>0</v>
      </c>
      <c r="AD142">
        <v>64</v>
      </c>
      <c r="AE142" t="s">
        <v>134</v>
      </c>
      <c r="AH142" t="s">
        <v>184</v>
      </c>
      <c r="AI142" t="s">
        <v>799</v>
      </c>
      <c r="AJ142" t="s">
        <v>100</v>
      </c>
      <c r="AK142" t="s">
        <v>818</v>
      </c>
      <c r="AL142" t="s">
        <v>100</v>
      </c>
      <c r="AM142" t="s">
        <v>100</v>
      </c>
      <c r="AN142" t="s">
        <v>124</v>
      </c>
      <c r="AO142">
        <v>1002</v>
      </c>
      <c r="AP142" t="s">
        <v>819</v>
      </c>
      <c r="AQ142" t="s">
        <v>104</v>
      </c>
      <c r="AR142" t="s">
        <v>197</v>
      </c>
      <c r="AS142" t="s">
        <v>802</v>
      </c>
      <c r="AT142" t="s">
        <v>803</v>
      </c>
      <c r="AU142" t="s">
        <v>803</v>
      </c>
      <c r="AX142" t="s">
        <v>804</v>
      </c>
      <c r="AY142" t="s">
        <v>805</v>
      </c>
      <c r="AZ142" t="s">
        <v>104</v>
      </c>
      <c r="BA142" t="s">
        <v>197</v>
      </c>
      <c r="BB142" t="s">
        <v>802</v>
      </c>
      <c r="BC142" t="s">
        <v>803</v>
      </c>
      <c r="BD142" t="s">
        <v>803</v>
      </c>
      <c r="BF142" t="s">
        <v>519</v>
      </c>
      <c r="BG142">
        <v>4181</v>
      </c>
      <c r="BH142" t="s">
        <v>806</v>
      </c>
      <c r="BO142">
        <v>6</v>
      </c>
      <c r="BR142" t="s">
        <v>104</v>
      </c>
      <c r="BS142" t="s">
        <v>205</v>
      </c>
      <c r="BT142" t="s">
        <v>802</v>
      </c>
      <c r="BU142" t="s">
        <v>803</v>
      </c>
      <c r="BV142" t="s">
        <v>803</v>
      </c>
      <c r="BW142" t="s">
        <v>209</v>
      </c>
    </row>
    <row r="143" spans="1:75" s="7" customFormat="1" x14ac:dyDescent="0.35">
      <c r="A143" s="7" t="s">
        <v>820</v>
      </c>
      <c r="B143" s="8">
        <v>46008</v>
      </c>
      <c r="C143" s="9">
        <v>0.6883217592592592</v>
      </c>
      <c r="D143" s="7" t="s">
        <v>183</v>
      </c>
      <c r="E143" s="7" t="s">
        <v>184</v>
      </c>
      <c r="F143" s="11" t="s">
        <v>185</v>
      </c>
      <c r="G143" s="7">
        <f>COUNTIF($F$2:$F$278,F143)</f>
        <v>10</v>
      </c>
      <c r="H143" s="7" t="s">
        <v>186</v>
      </c>
      <c r="I143" s="7" t="s">
        <v>187</v>
      </c>
      <c r="J143" s="7" t="s">
        <v>83</v>
      </c>
      <c r="K143" s="7" t="s">
        <v>84</v>
      </c>
      <c r="M143" s="7" t="s">
        <v>85</v>
      </c>
      <c r="N143" s="7" t="s">
        <v>86</v>
      </c>
      <c r="O143" s="7" t="s">
        <v>84</v>
      </c>
      <c r="P143" s="7" t="s">
        <v>100</v>
      </c>
      <c r="Q143" s="7" t="s">
        <v>325</v>
      </c>
      <c r="R143" s="7" t="s">
        <v>326</v>
      </c>
      <c r="S143" s="7" t="s">
        <v>314</v>
      </c>
      <c r="T143" s="7" t="s">
        <v>315</v>
      </c>
      <c r="U143" s="7" t="s">
        <v>93</v>
      </c>
      <c r="V143" s="7" t="s">
        <v>22</v>
      </c>
      <c r="X143" s="7" t="s">
        <v>192</v>
      </c>
      <c r="Y143" s="7" t="s">
        <v>132</v>
      </c>
      <c r="Z143" s="7" t="s">
        <v>193</v>
      </c>
      <c r="AA143" s="7" t="b">
        <v>0</v>
      </c>
      <c r="AB143" s="7" t="b">
        <v>0</v>
      </c>
      <c r="AD143" s="7">
        <v>171</v>
      </c>
      <c r="AE143" s="7" t="s">
        <v>153</v>
      </c>
      <c r="AI143" s="7" t="s">
        <v>821</v>
      </c>
      <c r="AJ143" s="7" t="s">
        <v>100</v>
      </c>
      <c r="AK143" s="7" t="s">
        <v>822</v>
      </c>
      <c r="AL143" s="7" t="s">
        <v>100</v>
      </c>
      <c r="AM143" s="7" t="s">
        <v>100</v>
      </c>
      <c r="AN143" s="7" t="s">
        <v>124</v>
      </c>
      <c r="AO143" s="7">
        <v>1002</v>
      </c>
      <c r="AP143" s="7" t="s">
        <v>823</v>
      </c>
      <c r="AQ143" s="7" t="s">
        <v>104</v>
      </c>
      <c r="AR143" s="7" t="s">
        <v>197</v>
      </c>
      <c r="AS143" s="7" t="s">
        <v>198</v>
      </c>
      <c r="AT143" s="7" t="s">
        <v>199</v>
      </c>
      <c r="AU143" s="7" t="s">
        <v>199</v>
      </c>
      <c r="AX143" s="7" t="s">
        <v>200</v>
      </c>
      <c r="AY143" s="7" t="s">
        <v>201</v>
      </c>
      <c r="AZ143" s="7" t="s">
        <v>104</v>
      </c>
      <c r="BA143" s="7" t="s">
        <v>197</v>
      </c>
      <c r="BB143" s="7" t="s">
        <v>202</v>
      </c>
      <c r="BC143" s="7" t="s">
        <v>199</v>
      </c>
      <c r="BD143" s="7" t="s">
        <v>199</v>
      </c>
      <c r="BF143" s="7" t="s">
        <v>203</v>
      </c>
      <c r="BG143" s="7">
        <v>20115</v>
      </c>
      <c r="BH143" s="7" t="s">
        <v>204</v>
      </c>
      <c r="BO143" s="7">
        <v>9</v>
      </c>
      <c r="BR143" s="7" t="s">
        <v>104</v>
      </c>
      <c r="BS143" s="7" t="s">
        <v>205</v>
      </c>
      <c r="BT143" s="7" t="s">
        <v>206</v>
      </c>
      <c r="BU143" s="7" t="s">
        <v>207</v>
      </c>
      <c r="BV143" s="7" t="s">
        <v>208</v>
      </c>
      <c r="BW143" s="7" t="s">
        <v>209</v>
      </c>
    </row>
    <row r="144" spans="1:75" x14ac:dyDescent="0.35">
      <c r="A144" t="s">
        <v>824</v>
      </c>
      <c r="B144" s="1">
        <v>46008</v>
      </c>
      <c r="C144" s="2">
        <v>0.68827546296296294</v>
      </c>
      <c r="D144" t="s">
        <v>183</v>
      </c>
      <c r="E144" t="s">
        <v>184</v>
      </c>
      <c r="F144" t="s">
        <v>797</v>
      </c>
      <c r="G144">
        <f>COUNTIF($F$2:$F$278,F144)</f>
        <v>5</v>
      </c>
      <c r="H144" t="s">
        <v>798</v>
      </c>
      <c r="I144" t="s">
        <v>187</v>
      </c>
      <c r="J144" t="s">
        <v>83</v>
      </c>
      <c r="K144" t="s">
        <v>143</v>
      </c>
      <c r="L144">
        <v>50140</v>
      </c>
      <c r="M144" t="s">
        <v>85</v>
      </c>
      <c r="N144" t="s">
        <v>86</v>
      </c>
      <c r="O144" t="s">
        <v>84</v>
      </c>
      <c r="P144" t="s">
        <v>100</v>
      </c>
      <c r="Q144" t="s">
        <v>330</v>
      </c>
      <c r="R144" t="s">
        <v>331</v>
      </c>
      <c r="S144" t="s">
        <v>91</v>
      </c>
      <c r="T144" t="s">
        <v>92</v>
      </c>
      <c r="U144" t="s">
        <v>144</v>
      </c>
      <c r="V144" t="s">
        <v>22</v>
      </c>
      <c r="X144" t="s">
        <v>241</v>
      </c>
      <c r="Y144" t="s">
        <v>132</v>
      </c>
      <c r="Z144" t="s">
        <v>242</v>
      </c>
      <c r="AA144" t="b">
        <v>0</v>
      </c>
      <c r="AB144" t="b">
        <v>0</v>
      </c>
      <c r="AD144">
        <v>68</v>
      </c>
      <c r="AE144" t="s">
        <v>145</v>
      </c>
      <c r="AF144" t="s">
        <v>215</v>
      </c>
      <c r="AG144" t="s">
        <v>216</v>
      </c>
      <c r="AH144" t="s">
        <v>184</v>
      </c>
      <c r="AI144" t="s">
        <v>799</v>
      </c>
      <c r="AJ144" t="s">
        <v>100</v>
      </c>
      <c r="AK144" t="s">
        <v>825</v>
      </c>
      <c r="AL144" t="s">
        <v>100</v>
      </c>
      <c r="AM144" t="s">
        <v>100</v>
      </c>
      <c r="AN144" t="s">
        <v>124</v>
      </c>
      <c r="AO144">
        <v>1002</v>
      </c>
      <c r="AP144" t="s">
        <v>819</v>
      </c>
      <c r="AQ144" t="s">
        <v>104</v>
      </c>
      <c r="AR144" t="s">
        <v>197</v>
      </c>
      <c r="AS144" t="s">
        <v>802</v>
      </c>
      <c r="AT144" t="s">
        <v>803</v>
      </c>
      <c r="AU144" t="s">
        <v>803</v>
      </c>
      <c r="AX144" t="s">
        <v>804</v>
      </c>
      <c r="AY144" t="s">
        <v>805</v>
      </c>
      <c r="AZ144" t="s">
        <v>104</v>
      </c>
      <c r="BA144" t="s">
        <v>197</v>
      </c>
      <c r="BB144" t="s">
        <v>802</v>
      </c>
      <c r="BC144" t="s">
        <v>803</v>
      </c>
      <c r="BD144" t="s">
        <v>803</v>
      </c>
      <c r="BF144" t="s">
        <v>519</v>
      </c>
      <c r="BG144">
        <v>4181</v>
      </c>
      <c r="BH144" t="s">
        <v>806</v>
      </c>
      <c r="BO144">
        <v>6</v>
      </c>
      <c r="BR144" t="s">
        <v>104</v>
      </c>
      <c r="BS144" t="s">
        <v>205</v>
      </c>
      <c r="BT144" t="s">
        <v>802</v>
      </c>
      <c r="BU144" t="s">
        <v>803</v>
      </c>
      <c r="BV144" t="s">
        <v>803</v>
      </c>
      <c r="BW144" t="s">
        <v>209</v>
      </c>
    </row>
    <row r="145" spans="1:75" s="7" customFormat="1" x14ac:dyDescent="0.35">
      <c r="A145" s="7" t="s">
        <v>826</v>
      </c>
      <c r="B145" s="8">
        <v>46008</v>
      </c>
      <c r="C145" s="9">
        <v>0.6882638888888889</v>
      </c>
      <c r="D145" s="7" t="s">
        <v>183</v>
      </c>
      <c r="E145" s="7" t="s">
        <v>184</v>
      </c>
      <c r="F145" s="11" t="s">
        <v>185</v>
      </c>
      <c r="G145" s="7">
        <f>COUNTIF($F$2:$F$278,F145)</f>
        <v>10</v>
      </c>
      <c r="H145" s="7" t="s">
        <v>186</v>
      </c>
      <c r="I145" s="7" t="s">
        <v>187</v>
      </c>
      <c r="J145" s="7" t="s">
        <v>83</v>
      </c>
      <c r="K145" s="7" t="s">
        <v>84</v>
      </c>
      <c r="M145" s="7" t="s">
        <v>85</v>
      </c>
      <c r="N145" s="7" t="s">
        <v>86</v>
      </c>
      <c r="O145" s="7" t="s">
        <v>84</v>
      </c>
      <c r="P145" s="7" t="s">
        <v>100</v>
      </c>
      <c r="Q145" s="7" t="s">
        <v>330</v>
      </c>
      <c r="R145" s="7" t="s">
        <v>331</v>
      </c>
      <c r="S145" s="7" t="s">
        <v>91</v>
      </c>
      <c r="T145" s="7" t="s">
        <v>92</v>
      </c>
      <c r="U145" s="7" t="s">
        <v>93</v>
      </c>
      <c r="V145" s="7" t="s">
        <v>22</v>
      </c>
      <c r="X145" s="7" t="s">
        <v>192</v>
      </c>
      <c r="Y145" s="7" t="s">
        <v>132</v>
      </c>
      <c r="Z145" s="7" t="s">
        <v>193</v>
      </c>
      <c r="AA145" s="7" t="b">
        <v>0</v>
      </c>
      <c r="AB145" s="7" t="b">
        <v>0</v>
      </c>
      <c r="AD145" s="7">
        <v>68</v>
      </c>
      <c r="AE145" s="7" t="s">
        <v>153</v>
      </c>
      <c r="AI145" s="7" t="s">
        <v>821</v>
      </c>
      <c r="AJ145" s="7" t="s">
        <v>100</v>
      </c>
      <c r="AK145" s="7" t="s">
        <v>827</v>
      </c>
      <c r="AL145" s="7" t="s">
        <v>100</v>
      </c>
      <c r="AM145" s="7" t="s">
        <v>100</v>
      </c>
      <c r="AN145" s="7" t="s">
        <v>124</v>
      </c>
      <c r="AO145" s="7">
        <v>1002</v>
      </c>
      <c r="AP145" s="7" t="s">
        <v>828</v>
      </c>
      <c r="AQ145" s="7" t="s">
        <v>104</v>
      </c>
      <c r="AR145" s="7" t="s">
        <v>197</v>
      </c>
      <c r="AS145" s="7" t="s">
        <v>198</v>
      </c>
      <c r="AT145" s="7" t="s">
        <v>199</v>
      </c>
      <c r="AU145" s="7" t="s">
        <v>199</v>
      </c>
      <c r="AX145" s="7" t="s">
        <v>200</v>
      </c>
      <c r="AY145" s="7" t="s">
        <v>201</v>
      </c>
      <c r="AZ145" s="7" t="s">
        <v>104</v>
      </c>
      <c r="BA145" s="7" t="s">
        <v>197</v>
      </c>
      <c r="BB145" s="7" t="s">
        <v>202</v>
      </c>
      <c r="BC145" s="7" t="s">
        <v>199</v>
      </c>
      <c r="BD145" s="7" t="s">
        <v>199</v>
      </c>
      <c r="BF145" s="7" t="s">
        <v>203</v>
      </c>
      <c r="BG145" s="7">
        <v>20115</v>
      </c>
      <c r="BH145" s="7" t="s">
        <v>204</v>
      </c>
      <c r="BO145" s="7">
        <v>9</v>
      </c>
      <c r="BR145" s="7" t="s">
        <v>104</v>
      </c>
      <c r="BS145" s="7" t="s">
        <v>205</v>
      </c>
      <c r="BT145" s="7" t="s">
        <v>206</v>
      </c>
      <c r="BU145" s="7" t="s">
        <v>207</v>
      </c>
      <c r="BV145" s="7" t="s">
        <v>208</v>
      </c>
      <c r="BW145" s="7" t="s">
        <v>209</v>
      </c>
    </row>
    <row r="146" spans="1:75" s="7" customFormat="1" x14ac:dyDescent="0.35">
      <c r="A146" s="7" t="s">
        <v>829</v>
      </c>
      <c r="B146" s="8">
        <v>46008</v>
      </c>
      <c r="C146" s="9">
        <v>0.68814814814814806</v>
      </c>
      <c r="D146" s="7" t="s">
        <v>183</v>
      </c>
      <c r="E146" s="7" t="s">
        <v>184</v>
      </c>
      <c r="F146" s="11" t="s">
        <v>185</v>
      </c>
      <c r="G146" s="7">
        <f>COUNTIF($F$2:$F$278,F146)</f>
        <v>10</v>
      </c>
      <c r="H146" s="7" t="s">
        <v>186</v>
      </c>
      <c r="I146" s="7" t="s">
        <v>187</v>
      </c>
      <c r="J146" s="7" t="s">
        <v>83</v>
      </c>
      <c r="K146" s="7" t="s">
        <v>84</v>
      </c>
      <c r="M146" s="7" t="s">
        <v>85</v>
      </c>
      <c r="N146" s="7" t="s">
        <v>86</v>
      </c>
      <c r="O146" s="7" t="s">
        <v>84</v>
      </c>
      <c r="P146" s="7" t="s">
        <v>100</v>
      </c>
      <c r="Q146" s="7" t="s">
        <v>150</v>
      </c>
      <c r="R146" s="7" t="s">
        <v>151</v>
      </c>
      <c r="S146" s="7" t="s">
        <v>150</v>
      </c>
      <c r="T146" s="7" t="s">
        <v>151</v>
      </c>
      <c r="U146" s="7" t="s">
        <v>93</v>
      </c>
      <c r="V146" s="7" t="s">
        <v>22</v>
      </c>
      <c r="X146" s="7" t="s">
        <v>192</v>
      </c>
      <c r="Y146" s="7" t="s">
        <v>132</v>
      </c>
      <c r="Z146" s="7" t="s">
        <v>193</v>
      </c>
      <c r="AA146" s="7" t="b">
        <v>0</v>
      </c>
      <c r="AB146" s="7" t="b">
        <v>0</v>
      </c>
      <c r="AD146" s="7">
        <v>98</v>
      </c>
      <c r="AE146" s="7" t="s">
        <v>153</v>
      </c>
      <c r="AI146" s="7" t="s">
        <v>821</v>
      </c>
      <c r="AJ146" s="7" t="s">
        <v>100</v>
      </c>
      <c r="AK146" s="7" t="s">
        <v>830</v>
      </c>
      <c r="AL146" s="7" t="s">
        <v>100</v>
      </c>
      <c r="AM146" s="7" t="s">
        <v>100</v>
      </c>
      <c r="AN146" s="7" t="s">
        <v>124</v>
      </c>
      <c r="AO146" s="7">
        <v>1002</v>
      </c>
      <c r="AP146" s="7" t="s">
        <v>831</v>
      </c>
      <c r="AQ146" s="7" t="s">
        <v>104</v>
      </c>
      <c r="AR146" s="7" t="s">
        <v>197</v>
      </c>
      <c r="AS146" s="7" t="s">
        <v>198</v>
      </c>
      <c r="AT146" s="7" t="s">
        <v>199</v>
      </c>
      <c r="AU146" s="7" t="s">
        <v>199</v>
      </c>
      <c r="AX146" s="7" t="s">
        <v>200</v>
      </c>
      <c r="AY146" s="7" t="s">
        <v>201</v>
      </c>
      <c r="AZ146" s="7" t="s">
        <v>104</v>
      </c>
      <c r="BA146" s="7" t="s">
        <v>197</v>
      </c>
      <c r="BB146" s="7" t="s">
        <v>202</v>
      </c>
      <c r="BC146" s="7" t="s">
        <v>199</v>
      </c>
      <c r="BD146" s="7" t="s">
        <v>199</v>
      </c>
      <c r="BF146" s="7" t="s">
        <v>203</v>
      </c>
      <c r="BG146" s="7">
        <v>20115</v>
      </c>
      <c r="BH146" s="7" t="s">
        <v>204</v>
      </c>
      <c r="BO146" s="7">
        <v>9</v>
      </c>
      <c r="BR146" s="7" t="s">
        <v>104</v>
      </c>
      <c r="BS146" s="7" t="s">
        <v>205</v>
      </c>
      <c r="BT146" s="7" t="s">
        <v>206</v>
      </c>
      <c r="BU146" s="7" t="s">
        <v>207</v>
      </c>
      <c r="BV146" s="7" t="s">
        <v>208</v>
      </c>
      <c r="BW146" s="7" t="s">
        <v>209</v>
      </c>
    </row>
    <row r="147" spans="1:75" s="7" customFormat="1" x14ac:dyDescent="0.35">
      <c r="A147" s="7" t="s">
        <v>832</v>
      </c>
      <c r="B147" s="8">
        <v>46008</v>
      </c>
      <c r="C147" s="9">
        <v>0.68813657407407414</v>
      </c>
      <c r="D147" s="7" t="s">
        <v>183</v>
      </c>
      <c r="E147" s="7" t="s">
        <v>184</v>
      </c>
      <c r="F147" s="11" t="s">
        <v>185</v>
      </c>
      <c r="G147" s="7">
        <f>COUNTIF($F$2:$F$278,F147)</f>
        <v>10</v>
      </c>
      <c r="H147" s="7" t="s">
        <v>186</v>
      </c>
      <c r="I147" s="7" t="s">
        <v>187</v>
      </c>
      <c r="J147" s="7" t="s">
        <v>83</v>
      </c>
      <c r="K147" s="7" t="s">
        <v>84</v>
      </c>
      <c r="M147" s="7" t="s">
        <v>85</v>
      </c>
      <c r="N147" s="7" t="s">
        <v>86</v>
      </c>
      <c r="O147" s="7" t="s">
        <v>84</v>
      </c>
      <c r="P147" s="7" t="s">
        <v>100</v>
      </c>
      <c r="Q147" s="7" t="s">
        <v>150</v>
      </c>
      <c r="R147" s="7" t="s">
        <v>151</v>
      </c>
      <c r="S147" s="7" t="s">
        <v>150</v>
      </c>
      <c r="T147" s="7" t="s">
        <v>151</v>
      </c>
      <c r="U147" s="7" t="s">
        <v>93</v>
      </c>
      <c r="V147" s="7" t="s">
        <v>22</v>
      </c>
      <c r="X147" s="7" t="s">
        <v>192</v>
      </c>
      <c r="Y147" s="7" t="s">
        <v>132</v>
      </c>
      <c r="Z147" s="7" t="s">
        <v>193</v>
      </c>
      <c r="AA147" s="7" t="b">
        <v>0</v>
      </c>
      <c r="AB147" s="7" t="b">
        <v>0</v>
      </c>
      <c r="AD147" s="7">
        <v>95</v>
      </c>
      <c r="AE147" s="7" t="s">
        <v>153</v>
      </c>
      <c r="AI147" s="7" t="s">
        <v>821</v>
      </c>
      <c r="AJ147" s="7" t="s">
        <v>100</v>
      </c>
      <c r="AK147" s="7" t="s">
        <v>833</v>
      </c>
      <c r="AL147" s="7" t="s">
        <v>100</v>
      </c>
      <c r="AM147" s="7" t="s">
        <v>100</v>
      </c>
      <c r="AN147" s="7" t="s">
        <v>124</v>
      </c>
      <c r="AO147" s="7">
        <v>1002</v>
      </c>
      <c r="AP147" s="7" t="s">
        <v>831</v>
      </c>
      <c r="AQ147" s="7" t="s">
        <v>104</v>
      </c>
      <c r="AR147" s="7" t="s">
        <v>197</v>
      </c>
      <c r="AS147" s="7" t="s">
        <v>198</v>
      </c>
      <c r="AT147" s="7" t="s">
        <v>199</v>
      </c>
      <c r="AU147" s="7" t="s">
        <v>199</v>
      </c>
      <c r="AX147" s="7" t="s">
        <v>200</v>
      </c>
      <c r="AY147" s="7" t="s">
        <v>201</v>
      </c>
      <c r="AZ147" s="7" t="s">
        <v>104</v>
      </c>
      <c r="BA147" s="7" t="s">
        <v>197</v>
      </c>
      <c r="BB147" s="7" t="s">
        <v>202</v>
      </c>
      <c r="BC147" s="7" t="s">
        <v>199</v>
      </c>
      <c r="BD147" s="7" t="s">
        <v>199</v>
      </c>
      <c r="BF147" s="7" t="s">
        <v>203</v>
      </c>
      <c r="BG147" s="7">
        <v>20115</v>
      </c>
      <c r="BH147" s="7" t="s">
        <v>204</v>
      </c>
      <c r="BO147" s="7">
        <v>9</v>
      </c>
      <c r="BR147" s="7" t="s">
        <v>104</v>
      </c>
      <c r="BS147" s="7" t="s">
        <v>205</v>
      </c>
      <c r="BT147" s="7" t="s">
        <v>206</v>
      </c>
      <c r="BU147" s="7" t="s">
        <v>207</v>
      </c>
      <c r="BV147" s="7" t="s">
        <v>208</v>
      </c>
      <c r="BW147" s="7" t="s">
        <v>209</v>
      </c>
    </row>
    <row r="148" spans="1:75" s="7" customFormat="1" x14ac:dyDescent="0.35">
      <c r="A148" s="7" t="s">
        <v>834</v>
      </c>
      <c r="B148" s="8">
        <v>46008</v>
      </c>
      <c r="C148" s="9">
        <v>0.6877199074074074</v>
      </c>
      <c r="D148" s="7" t="s">
        <v>183</v>
      </c>
      <c r="E148" s="7" t="s">
        <v>184</v>
      </c>
      <c r="F148" s="11" t="s">
        <v>185</v>
      </c>
      <c r="G148" s="7">
        <f>COUNTIF($F$2:$F$278,F148)</f>
        <v>10</v>
      </c>
      <c r="H148" s="7" t="s">
        <v>186</v>
      </c>
      <c r="I148" s="7" t="s">
        <v>187</v>
      </c>
      <c r="J148" s="7" t="s">
        <v>83</v>
      </c>
      <c r="K148" s="7" t="s">
        <v>84</v>
      </c>
      <c r="M148" s="7" t="s">
        <v>85</v>
      </c>
      <c r="N148" s="7" t="s">
        <v>86</v>
      </c>
      <c r="O148" s="7" t="s">
        <v>84</v>
      </c>
      <c r="P148" s="7" t="s">
        <v>100</v>
      </c>
      <c r="Q148" s="7" t="s">
        <v>188</v>
      </c>
      <c r="R148" s="7" t="s">
        <v>189</v>
      </c>
      <c r="S148" s="7" t="s">
        <v>190</v>
      </c>
      <c r="T148" s="7" t="s">
        <v>191</v>
      </c>
      <c r="U148" s="7" t="s">
        <v>93</v>
      </c>
      <c r="V148" s="7" t="s">
        <v>22</v>
      </c>
      <c r="X148" s="7" t="s">
        <v>192</v>
      </c>
      <c r="Y148" s="7" t="s">
        <v>132</v>
      </c>
      <c r="Z148" s="7" t="s">
        <v>193</v>
      </c>
      <c r="AA148" s="7" t="b">
        <v>0</v>
      </c>
      <c r="AB148" s="7" t="b">
        <v>0</v>
      </c>
      <c r="AD148" s="7">
        <v>51</v>
      </c>
      <c r="AE148" s="7" t="s">
        <v>134</v>
      </c>
      <c r="AH148" s="7" t="s">
        <v>184</v>
      </c>
      <c r="AI148" s="7" t="s">
        <v>821</v>
      </c>
      <c r="AJ148" s="7" t="s">
        <v>100</v>
      </c>
      <c r="AK148" s="7" t="s">
        <v>835</v>
      </c>
      <c r="AL148" s="7" t="s">
        <v>100</v>
      </c>
      <c r="AM148" s="7" t="s">
        <v>100</v>
      </c>
      <c r="AN148" s="7" t="s">
        <v>124</v>
      </c>
      <c r="AO148" s="7">
        <v>1002</v>
      </c>
      <c r="AP148" s="7" t="s">
        <v>836</v>
      </c>
      <c r="AQ148" s="7" t="s">
        <v>104</v>
      </c>
      <c r="AR148" s="7" t="s">
        <v>197</v>
      </c>
      <c r="AS148" s="7" t="s">
        <v>198</v>
      </c>
      <c r="AT148" s="7" t="s">
        <v>199</v>
      </c>
      <c r="AU148" s="7" t="s">
        <v>199</v>
      </c>
      <c r="AX148" s="7" t="s">
        <v>200</v>
      </c>
      <c r="AY148" s="7" t="s">
        <v>201</v>
      </c>
      <c r="AZ148" s="7" t="s">
        <v>104</v>
      </c>
      <c r="BA148" s="7" t="s">
        <v>197</v>
      </c>
      <c r="BB148" s="7" t="s">
        <v>202</v>
      </c>
      <c r="BC148" s="7" t="s">
        <v>199</v>
      </c>
      <c r="BD148" s="7" t="s">
        <v>199</v>
      </c>
      <c r="BF148" s="7" t="s">
        <v>203</v>
      </c>
      <c r="BG148" s="7">
        <v>20115</v>
      </c>
      <c r="BH148" s="7" t="s">
        <v>204</v>
      </c>
      <c r="BO148" s="7">
        <v>9</v>
      </c>
      <c r="BR148" s="7" t="s">
        <v>104</v>
      </c>
      <c r="BS148" s="7" t="s">
        <v>205</v>
      </c>
      <c r="BT148" s="7" t="s">
        <v>206</v>
      </c>
      <c r="BU148" s="7" t="s">
        <v>207</v>
      </c>
      <c r="BV148" s="7" t="s">
        <v>208</v>
      </c>
      <c r="BW148" s="7" t="s">
        <v>209</v>
      </c>
    </row>
    <row r="149" spans="1:75" s="3" customFormat="1" x14ac:dyDescent="0.35">
      <c r="A149" s="3" t="s">
        <v>837</v>
      </c>
      <c r="B149" s="4">
        <v>46008</v>
      </c>
      <c r="C149" s="5">
        <v>0.68769675925925933</v>
      </c>
      <c r="D149" s="3" t="s">
        <v>810</v>
      </c>
      <c r="E149" s="3" t="s">
        <v>811</v>
      </c>
      <c r="F149" s="3" t="s">
        <v>454</v>
      </c>
      <c r="G149" s="3">
        <f>COUNTIF($F$2:$F$278,F149)</f>
        <v>6</v>
      </c>
      <c r="H149" s="3" t="s">
        <v>397</v>
      </c>
      <c r="I149" s="3" t="s">
        <v>398</v>
      </c>
      <c r="J149" s="3" t="s">
        <v>83</v>
      </c>
      <c r="K149" s="3" t="s">
        <v>143</v>
      </c>
      <c r="L149" s="3">
        <v>50074</v>
      </c>
      <c r="M149" s="3" t="s">
        <v>85</v>
      </c>
      <c r="N149" s="3" t="s">
        <v>86</v>
      </c>
      <c r="O149" s="3" t="s">
        <v>119</v>
      </c>
      <c r="P149" s="3" t="s">
        <v>100</v>
      </c>
      <c r="Q149" s="3" t="s">
        <v>150</v>
      </c>
      <c r="R149" s="3" t="s">
        <v>151</v>
      </c>
      <c r="S149" s="3" t="s">
        <v>150</v>
      </c>
      <c r="T149" s="3" t="s">
        <v>151</v>
      </c>
      <c r="U149" s="3" t="s">
        <v>303</v>
      </c>
      <c r="V149" s="3" t="s">
        <v>22</v>
      </c>
      <c r="Z149" s="3" t="s">
        <v>399</v>
      </c>
      <c r="AA149" s="3" t="b">
        <v>0</v>
      </c>
      <c r="AB149" s="3" t="b">
        <v>0</v>
      </c>
      <c r="AD149" s="3">
        <v>226</v>
      </c>
      <c r="AE149" s="3" t="s">
        <v>305</v>
      </c>
      <c r="AH149" s="3" t="s">
        <v>811</v>
      </c>
      <c r="AI149" s="3" t="s">
        <v>838</v>
      </c>
      <c r="AJ149" s="3" t="s">
        <v>100</v>
      </c>
      <c r="AK149" s="3" t="s">
        <v>839</v>
      </c>
      <c r="AL149" s="3" t="s">
        <v>100</v>
      </c>
      <c r="AM149" s="3" t="s">
        <v>100</v>
      </c>
      <c r="AN149" s="3" t="s">
        <v>124</v>
      </c>
      <c r="AO149" s="3">
        <v>1002</v>
      </c>
      <c r="AP149" s="3" t="s">
        <v>840</v>
      </c>
      <c r="AQ149" s="3" t="s">
        <v>104</v>
      </c>
      <c r="AR149" s="3" t="s">
        <v>403</v>
      </c>
      <c r="AS149" s="3" t="s">
        <v>404</v>
      </c>
      <c r="AT149" s="3" t="s">
        <v>405</v>
      </c>
      <c r="AU149" s="3" t="s">
        <v>405</v>
      </c>
      <c r="AX149" s="3" t="s">
        <v>406</v>
      </c>
      <c r="AY149" s="3" t="s">
        <v>407</v>
      </c>
      <c r="AZ149" s="3" t="s">
        <v>104</v>
      </c>
      <c r="BA149" s="3" t="s">
        <v>403</v>
      </c>
      <c r="BB149" s="3" t="s">
        <v>404</v>
      </c>
      <c r="BC149" s="3" t="s">
        <v>408</v>
      </c>
      <c r="BD149" s="3" t="s">
        <v>408</v>
      </c>
      <c r="BE149" s="3" t="s">
        <v>409</v>
      </c>
      <c r="BF149" s="3" t="s">
        <v>410</v>
      </c>
      <c r="BG149" s="3">
        <v>215540</v>
      </c>
      <c r="BH149" s="3" t="s">
        <v>411</v>
      </c>
      <c r="BO149" s="3">
        <v>20</v>
      </c>
      <c r="BR149" s="3" t="s">
        <v>104</v>
      </c>
      <c r="BS149" s="3" t="s">
        <v>412</v>
      </c>
      <c r="BT149" s="3" t="s">
        <v>404</v>
      </c>
      <c r="BU149" s="3" t="s">
        <v>413</v>
      </c>
      <c r="BV149" s="6" t="s">
        <v>413</v>
      </c>
      <c r="BW149" s="3" t="s">
        <v>209</v>
      </c>
    </row>
    <row r="150" spans="1:75" s="7" customFormat="1" x14ac:dyDescent="0.35">
      <c r="A150" s="7" t="s">
        <v>841</v>
      </c>
      <c r="B150" s="8">
        <v>46008</v>
      </c>
      <c r="C150" s="9">
        <v>0.68761574074074072</v>
      </c>
      <c r="D150" s="7" t="s">
        <v>183</v>
      </c>
      <c r="E150" s="7" t="s">
        <v>184</v>
      </c>
      <c r="F150" s="11" t="s">
        <v>185</v>
      </c>
      <c r="G150" s="7">
        <f>COUNTIF($F$2:$F$278,F150)</f>
        <v>10</v>
      </c>
      <c r="H150" s="7" t="s">
        <v>186</v>
      </c>
      <c r="I150" s="7" t="s">
        <v>187</v>
      </c>
      <c r="J150" s="7" t="s">
        <v>83</v>
      </c>
      <c r="K150" s="7" t="s">
        <v>143</v>
      </c>
      <c r="L150" s="7">
        <v>50140</v>
      </c>
      <c r="M150" s="7" t="s">
        <v>85</v>
      </c>
      <c r="N150" s="7" t="s">
        <v>86</v>
      </c>
      <c r="O150" s="7" t="s">
        <v>84</v>
      </c>
      <c r="P150" s="7" t="s">
        <v>100</v>
      </c>
      <c r="Q150" s="7" t="s">
        <v>188</v>
      </c>
      <c r="R150" s="7" t="s">
        <v>189</v>
      </c>
      <c r="S150" s="7" t="s">
        <v>190</v>
      </c>
      <c r="T150" s="7" t="s">
        <v>191</v>
      </c>
      <c r="U150" s="7" t="s">
        <v>144</v>
      </c>
      <c r="V150" s="7" t="s">
        <v>22</v>
      </c>
      <c r="X150" s="7" t="s">
        <v>192</v>
      </c>
      <c r="Y150" s="7" t="s">
        <v>132</v>
      </c>
      <c r="Z150" s="7" t="s">
        <v>193</v>
      </c>
      <c r="AA150" s="7" t="b">
        <v>0</v>
      </c>
      <c r="AB150" s="7" t="b">
        <v>0</v>
      </c>
      <c r="AD150" s="7">
        <v>84</v>
      </c>
      <c r="AE150" s="7" t="s">
        <v>145</v>
      </c>
      <c r="AF150" s="7" t="s">
        <v>215</v>
      </c>
      <c r="AG150" s="7" t="s">
        <v>216</v>
      </c>
      <c r="AH150" s="7" t="s">
        <v>184</v>
      </c>
      <c r="AI150" s="7" t="s">
        <v>821</v>
      </c>
      <c r="AJ150" s="7" t="s">
        <v>100</v>
      </c>
      <c r="AK150" s="7" t="s">
        <v>842</v>
      </c>
      <c r="AL150" s="7" t="s">
        <v>100</v>
      </c>
      <c r="AM150" s="7" t="s">
        <v>100</v>
      </c>
      <c r="AN150" s="7" t="s">
        <v>124</v>
      </c>
      <c r="AO150" s="7">
        <v>1002</v>
      </c>
      <c r="AP150" s="7" t="s">
        <v>836</v>
      </c>
      <c r="AQ150" s="7" t="s">
        <v>104</v>
      </c>
      <c r="AR150" s="7" t="s">
        <v>197</v>
      </c>
      <c r="AS150" s="7" t="s">
        <v>198</v>
      </c>
      <c r="AT150" s="7" t="s">
        <v>199</v>
      </c>
      <c r="AU150" s="7" t="s">
        <v>199</v>
      </c>
      <c r="AX150" s="7" t="s">
        <v>200</v>
      </c>
      <c r="AY150" s="7" t="s">
        <v>201</v>
      </c>
      <c r="AZ150" s="7" t="s">
        <v>104</v>
      </c>
      <c r="BA150" s="7" t="s">
        <v>197</v>
      </c>
      <c r="BB150" s="7" t="s">
        <v>202</v>
      </c>
      <c r="BC150" s="7" t="s">
        <v>199</v>
      </c>
      <c r="BD150" s="7" t="s">
        <v>199</v>
      </c>
      <c r="BF150" s="7" t="s">
        <v>203</v>
      </c>
      <c r="BG150" s="7">
        <v>20115</v>
      </c>
      <c r="BH150" s="7" t="s">
        <v>204</v>
      </c>
      <c r="BO150" s="7">
        <v>9</v>
      </c>
      <c r="BR150" s="7" t="s">
        <v>104</v>
      </c>
      <c r="BS150" s="7" t="s">
        <v>205</v>
      </c>
      <c r="BT150" s="7" t="s">
        <v>206</v>
      </c>
      <c r="BU150" s="7" t="s">
        <v>207</v>
      </c>
      <c r="BV150" s="7" t="s">
        <v>208</v>
      </c>
      <c r="BW150" s="7" t="s">
        <v>209</v>
      </c>
    </row>
    <row r="151" spans="1:75" s="7" customFormat="1" x14ac:dyDescent="0.35">
      <c r="A151" s="7" t="s">
        <v>843</v>
      </c>
      <c r="B151" s="8">
        <v>46008</v>
      </c>
      <c r="C151" s="9">
        <v>0.68182870370370363</v>
      </c>
      <c r="D151" s="7" t="s">
        <v>78</v>
      </c>
      <c r="E151" s="7" t="s">
        <v>79</v>
      </c>
      <c r="F151" s="7" t="s">
        <v>128</v>
      </c>
      <c r="G151" s="7">
        <f>COUNTIF($F$2:$F$278,F151)</f>
        <v>26</v>
      </c>
      <c r="H151" s="7" t="s">
        <v>81</v>
      </c>
      <c r="I151" s="7" t="s">
        <v>82</v>
      </c>
      <c r="J151" s="7" t="s">
        <v>83</v>
      </c>
      <c r="K151" s="7" t="s">
        <v>84</v>
      </c>
      <c r="M151" s="7" t="s">
        <v>85</v>
      </c>
      <c r="N151" s="7" t="s">
        <v>86</v>
      </c>
      <c r="O151" s="7" t="s">
        <v>87</v>
      </c>
      <c r="P151" s="7" t="s">
        <v>88</v>
      </c>
      <c r="Q151" s="7" t="s">
        <v>89</v>
      </c>
      <c r="R151" s="7" t="s">
        <v>90</v>
      </c>
      <c r="S151" s="7" t="s">
        <v>91</v>
      </c>
      <c r="T151" s="7" t="s">
        <v>92</v>
      </c>
      <c r="U151" s="7" t="s">
        <v>93</v>
      </c>
      <c r="V151" s="7" t="s">
        <v>94</v>
      </c>
      <c r="W151" s="7" t="s">
        <v>95</v>
      </c>
      <c r="Y151" s="7" t="s">
        <v>96</v>
      </c>
      <c r="Z151" s="7" t="s">
        <v>97</v>
      </c>
      <c r="AA151" s="7" t="b">
        <v>0</v>
      </c>
      <c r="AB151" s="7" t="b">
        <v>0</v>
      </c>
      <c r="AC151" s="11" t="s">
        <v>1331</v>
      </c>
      <c r="AD151" s="7">
        <v>72</v>
      </c>
      <c r="AE151" s="7" t="s">
        <v>98</v>
      </c>
      <c r="AI151" s="7" t="s">
        <v>99</v>
      </c>
      <c r="AJ151" s="7" t="s">
        <v>100</v>
      </c>
      <c r="AK151" s="7" t="s">
        <v>844</v>
      </c>
      <c r="AL151" s="7" t="s">
        <v>100</v>
      </c>
      <c r="AM151" s="7" t="s">
        <v>100</v>
      </c>
      <c r="AN151" s="7" t="s">
        <v>102</v>
      </c>
      <c r="AP151" s="7" t="s">
        <v>845</v>
      </c>
      <c r="AQ151" s="7" t="s">
        <v>104</v>
      </c>
      <c r="AR151" s="7" t="s">
        <v>105</v>
      </c>
      <c r="AS151" s="7" t="s">
        <v>137</v>
      </c>
      <c r="AT151" s="7" t="s">
        <v>107</v>
      </c>
      <c r="AU151" s="7" t="s">
        <v>107</v>
      </c>
      <c r="AX151" s="7" t="s">
        <v>108</v>
      </c>
      <c r="AY151" s="7" t="s">
        <v>138</v>
      </c>
      <c r="AZ151" s="7" t="s">
        <v>104</v>
      </c>
      <c r="BA151" s="7" t="s">
        <v>105</v>
      </c>
      <c r="BB151" s="7" t="s">
        <v>139</v>
      </c>
      <c r="BC151" s="7" t="s">
        <v>110</v>
      </c>
      <c r="BD151" s="7" t="s">
        <v>110</v>
      </c>
      <c r="BF151" s="7" t="s">
        <v>112</v>
      </c>
      <c r="BG151" s="7">
        <v>7922</v>
      </c>
      <c r="BH151" s="7" t="s">
        <v>140</v>
      </c>
      <c r="BO151" s="7">
        <v>5</v>
      </c>
      <c r="BR151" s="7" t="s">
        <v>104</v>
      </c>
      <c r="BS151" s="7" t="s">
        <v>141</v>
      </c>
      <c r="BT151" s="7" t="s">
        <v>106</v>
      </c>
      <c r="BU151" s="7" t="s">
        <v>110</v>
      </c>
      <c r="BV151" s="7" t="s">
        <v>110</v>
      </c>
      <c r="BW151" s="7" t="s">
        <v>117</v>
      </c>
    </row>
    <row r="152" spans="1:75" s="3" customFormat="1" x14ac:dyDescent="0.35">
      <c r="A152" s="3" t="s">
        <v>846</v>
      </c>
      <c r="B152" s="4">
        <v>46008</v>
      </c>
      <c r="C152" s="5">
        <v>0.67032407407407402</v>
      </c>
      <c r="D152" s="3" t="s">
        <v>597</v>
      </c>
      <c r="E152" s="3" t="s">
        <v>598</v>
      </c>
      <c r="F152" s="6" t="s">
        <v>700</v>
      </c>
      <c r="G152" s="3">
        <f>COUNTIF($F$2:$F$278,F152)</f>
        <v>25</v>
      </c>
      <c r="H152" s="3" t="s">
        <v>701</v>
      </c>
      <c r="I152" s="3" t="s">
        <v>487</v>
      </c>
      <c r="J152" s="3" t="s">
        <v>83</v>
      </c>
      <c r="K152" s="3" t="s">
        <v>84</v>
      </c>
      <c r="M152" s="3" t="s">
        <v>85</v>
      </c>
      <c r="N152" s="3" t="s">
        <v>86</v>
      </c>
      <c r="O152" s="3" t="s">
        <v>84</v>
      </c>
      <c r="P152" s="3" t="s">
        <v>100</v>
      </c>
      <c r="Q152" s="3" t="s">
        <v>847</v>
      </c>
      <c r="R152" s="3" t="s">
        <v>848</v>
      </c>
      <c r="S152" s="3" t="s">
        <v>314</v>
      </c>
      <c r="T152" s="3" t="s">
        <v>315</v>
      </c>
      <c r="U152" s="3" t="s">
        <v>93</v>
      </c>
      <c r="V152" s="3" t="s">
        <v>22</v>
      </c>
      <c r="X152" s="3" t="s">
        <v>192</v>
      </c>
      <c r="Y152" s="3" t="s">
        <v>132</v>
      </c>
      <c r="Z152" s="3" t="s">
        <v>193</v>
      </c>
      <c r="AA152" s="3" t="b">
        <v>0</v>
      </c>
      <c r="AB152" s="3" t="b">
        <v>0</v>
      </c>
      <c r="AD152" s="3">
        <v>109</v>
      </c>
      <c r="AE152" s="3" t="s">
        <v>153</v>
      </c>
      <c r="AI152" s="3" t="s">
        <v>702</v>
      </c>
      <c r="AJ152" s="3" t="s">
        <v>100</v>
      </c>
      <c r="AK152" s="3" t="s">
        <v>849</v>
      </c>
      <c r="AL152" s="3" t="s">
        <v>100</v>
      </c>
      <c r="AM152" s="3" t="s">
        <v>100</v>
      </c>
      <c r="AN152" s="3" t="s">
        <v>124</v>
      </c>
      <c r="AO152" s="3">
        <v>1002</v>
      </c>
      <c r="AP152" s="3" t="s">
        <v>850</v>
      </c>
      <c r="AQ152" s="3" t="s">
        <v>104</v>
      </c>
      <c r="AR152" s="3" t="s">
        <v>491</v>
      </c>
      <c r="AS152" s="3" t="s">
        <v>705</v>
      </c>
      <c r="AT152" s="3" t="s">
        <v>706</v>
      </c>
      <c r="AU152" s="3" t="s">
        <v>706</v>
      </c>
      <c r="AX152" s="3" t="s">
        <v>707</v>
      </c>
      <c r="AY152" s="3" t="s">
        <v>708</v>
      </c>
      <c r="AZ152" s="3" t="s">
        <v>104</v>
      </c>
      <c r="BA152" s="3" t="s">
        <v>491</v>
      </c>
      <c r="BB152" s="3" t="s">
        <v>705</v>
      </c>
      <c r="BC152" s="3" t="s">
        <v>709</v>
      </c>
      <c r="BD152" s="3" t="s">
        <v>709</v>
      </c>
      <c r="BE152" s="3" t="s">
        <v>409</v>
      </c>
      <c r="BF152" s="3" t="s">
        <v>710</v>
      </c>
      <c r="BG152" s="3">
        <v>14618</v>
      </c>
      <c r="BH152" s="3" t="s">
        <v>711</v>
      </c>
      <c r="BO152" s="3">
        <v>3</v>
      </c>
      <c r="BR152" s="3" t="s">
        <v>104</v>
      </c>
      <c r="BS152" s="3" t="s">
        <v>712</v>
      </c>
      <c r="BT152" s="3" t="s">
        <v>705</v>
      </c>
      <c r="BU152" s="3" t="s">
        <v>709</v>
      </c>
      <c r="BV152" s="3" t="s">
        <v>713</v>
      </c>
      <c r="BW152" s="3" t="s">
        <v>499</v>
      </c>
    </row>
    <row r="153" spans="1:75" s="3" customFormat="1" x14ac:dyDescent="0.35">
      <c r="A153" s="3" t="s">
        <v>851</v>
      </c>
      <c r="B153" s="4">
        <v>46008</v>
      </c>
      <c r="C153" s="5">
        <v>0.66706018518518517</v>
      </c>
      <c r="D153" s="3" t="s">
        <v>597</v>
      </c>
      <c r="E153" s="3" t="s">
        <v>598</v>
      </c>
      <c r="F153" s="6" t="s">
        <v>700</v>
      </c>
      <c r="G153" s="3">
        <f>COUNTIF($F$2:$F$278,F153)</f>
        <v>25</v>
      </c>
      <c r="H153" s="3" t="s">
        <v>701</v>
      </c>
      <c r="I153" s="3" t="s">
        <v>487</v>
      </c>
      <c r="J153" s="3" t="s">
        <v>83</v>
      </c>
      <c r="K153" s="3" t="s">
        <v>84</v>
      </c>
      <c r="M153" s="3" t="s">
        <v>85</v>
      </c>
      <c r="N153" s="3" t="s">
        <v>86</v>
      </c>
      <c r="O153" s="3" t="s">
        <v>84</v>
      </c>
      <c r="P153" s="3" t="s">
        <v>100</v>
      </c>
      <c r="Q153" s="3" t="s">
        <v>417</v>
      </c>
      <c r="R153" s="3" t="s">
        <v>418</v>
      </c>
      <c r="S153" s="3" t="s">
        <v>224</v>
      </c>
      <c r="T153" s="3" t="s">
        <v>225</v>
      </c>
      <c r="U153" s="3" t="s">
        <v>93</v>
      </c>
      <c r="V153" s="3" t="s">
        <v>22</v>
      </c>
      <c r="X153" s="3" t="s">
        <v>192</v>
      </c>
      <c r="Y153" s="3" t="s">
        <v>132</v>
      </c>
      <c r="Z153" s="3" t="s">
        <v>193</v>
      </c>
      <c r="AA153" s="3" t="b">
        <v>0</v>
      </c>
      <c r="AB153" s="3" t="b">
        <v>0</v>
      </c>
      <c r="AD153" s="3">
        <v>181</v>
      </c>
      <c r="AE153" s="3" t="s">
        <v>153</v>
      </c>
      <c r="AI153" s="3" t="s">
        <v>702</v>
      </c>
      <c r="AJ153" s="3" t="s">
        <v>100</v>
      </c>
      <c r="AK153" s="3" t="s">
        <v>852</v>
      </c>
      <c r="AL153" s="3" t="s">
        <v>100</v>
      </c>
      <c r="AM153" s="3" t="s">
        <v>100</v>
      </c>
      <c r="AN153" s="3" t="s">
        <v>124</v>
      </c>
      <c r="AO153" s="3">
        <v>1002</v>
      </c>
      <c r="AP153" s="3" t="s">
        <v>853</v>
      </c>
      <c r="AQ153" s="3" t="s">
        <v>104</v>
      </c>
      <c r="AR153" s="3" t="s">
        <v>491</v>
      </c>
      <c r="AS153" s="3" t="s">
        <v>705</v>
      </c>
      <c r="AT153" s="3" t="s">
        <v>706</v>
      </c>
      <c r="AU153" s="3" t="s">
        <v>706</v>
      </c>
      <c r="AX153" s="3" t="s">
        <v>707</v>
      </c>
      <c r="AY153" s="3" t="s">
        <v>708</v>
      </c>
      <c r="AZ153" s="3" t="s">
        <v>104</v>
      </c>
      <c r="BA153" s="3" t="s">
        <v>491</v>
      </c>
      <c r="BB153" s="3" t="s">
        <v>705</v>
      </c>
      <c r="BC153" s="3" t="s">
        <v>709</v>
      </c>
      <c r="BD153" s="3" t="s">
        <v>709</v>
      </c>
      <c r="BE153" s="3" t="s">
        <v>409</v>
      </c>
      <c r="BF153" s="3" t="s">
        <v>710</v>
      </c>
      <c r="BG153" s="3">
        <v>14618</v>
      </c>
      <c r="BH153" s="3" t="s">
        <v>711</v>
      </c>
      <c r="BO153" s="3">
        <v>3</v>
      </c>
      <c r="BR153" s="3" t="s">
        <v>104</v>
      </c>
      <c r="BS153" s="3" t="s">
        <v>712</v>
      </c>
      <c r="BT153" s="3" t="s">
        <v>705</v>
      </c>
      <c r="BU153" s="3" t="s">
        <v>709</v>
      </c>
      <c r="BV153" s="3" t="s">
        <v>713</v>
      </c>
      <c r="BW153" s="3" t="s">
        <v>499</v>
      </c>
    </row>
    <row r="154" spans="1:75" s="3" customFormat="1" x14ac:dyDescent="0.35">
      <c r="A154" s="3" t="s">
        <v>854</v>
      </c>
      <c r="B154" s="4">
        <v>46008</v>
      </c>
      <c r="C154" s="5">
        <v>0.66670138888888886</v>
      </c>
      <c r="D154" s="3" t="s">
        <v>597</v>
      </c>
      <c r="E154" s="3" t="s">
        <v>598</v>
      </c>
      <c r="F154" s="6" t="s">
        <v>700</v>
      </c>
      <c r="G154" s="3">
        <f>COUNTIF($F$2:$F$278,F154)</f>
        <v>25</v>
      </c>
      <c r="H154" s="3" t="s">
        <v>701</v>
      </c>
      <c r="I154" s="3" t="s">
        <v>487</v>
      </c>
      <c r="J154" s="3" t="s">
        <v>83</v>
      </c>
      <c r="K154" s="3" t="s">
        <v>84</v>
      </c>
      <c r="M154" s="3" t="s">
        <v>85</v>
      </c>
      <c r="N154" s="3" t="s">
        <v>86</v>
      </c>
      <c r="O154" s="3" t="s">
        <v>84</v>
      </c>
      <c r="P154" s="3" t="s">
        <v>100</v>
      </c>
      <c r="Q154" s="3" t="s">
        <v>150</v>
      </c>
      <c r="R154" s="3" t="s">
        <v>151</v>
      </c>
      <c r="S154" s="3" t="s">
        <v>150</v>
      </c>
      <c r="T154" s="3" t="s">
        <v>151</v>
      </c>
      <c r="U154" s="3" t="s">
        <v>93</v>
      </c>
      <c r="V154" s="3" t="s">
        <v>22</v>
      </c>
      <c r="X154" s="3" t="s">
        <v>192</v>
      </c>
      <c r="Y154" s="3" t="s">
        <v>132</v>
      </c>
      <c r="Z154" s="3" t="s">
        <v>193</v>
      </c>
      <c r="AA154" s="3" t="b">
        <v>0</v>
      </c>
      <c r="AB154" s="3" t="b">
        <v>0</v>
      </c>
      <c r="AD154" s="3">
        <v>97</v>
      </c>
      <c r="AE154" s="3" t="s">
        <v>153</v>
      </c>
      <c r="AI154" s="3" t="s">
        <v>702</v>
      </c>
      <c r="AJ154" s="3" t="s">
        <v>100</v>
      </c>
      <c r="AK154" s="3" t="s">
        <v>855</v>
      </c>
      <c r="AL154" s="3" t="s">
        <v>100</v>
      </c>
      <c r="AM154" s="3" t="s">
        <v>100</v>
      </c>
      <c r="AN154" s="3" t="s">
        <v>124</v>
      </c>
      <c r="AO154" s="3">
        <v>1002</v>
      </c>
      <c r="AP154" s="3" t="s">
        <v>856</v>
      </c>
      <c r="AQ154" s="3" t="s">
        <v>104</v>
      </c>
      <c r="AR154" s="3" t="s">
        <v>491</v>
      </c>
      <c r="AS154" s="3" t="s">
        <v>705</v>
      </c>
      <c r="AT154" s="3" t="s">
        <v>706</v>
      </c>
      <c r="AU154" s="3" t="s">
        <v>706</v>
      </c>
      <c r="AX154" s="3" t="s">
        <v>707</v>
      </c>
      <c r="AY154" s="3" t="s">
        <v>708</v>
      </c>
      <c r="AZ154" s="3" t="s">
        <v>104</v>
      </c>
      <c r="BA154" s="3" t="s">
        <v>491</v>
      </c>
      <c r="BB154" s="3" t="s">
        <v>705</v>
      </c>
      <c r="BC154" s="3" t="s">
        <v>709</v>
      </c>
      <c r="BD154" s="3" t="s">
        <v>709</v>
      </c>
      <c r="BE154" s="3" t="s">
        <v>409</v>
      </c>
      <c r="BF154" s="3" t="s">
        <v>710</v>
      </c>
      <c r="BG154" s="3">
        <v>14618</v>
      </c>
      <c r="BH154" s="3" t="s">
        <v>711</v>
      </c>
      <c r="BO154" s="3">
        <v>3</v>
      </c>
      <c r="BR154" s="3" t="s">
        <v>104</v>
      </c>
      <c r="BS154" s="3" t="s">
        <v>712</v>
      </c>
      <c r="BT154" s="3" t="s">
        <v>705</v>
      </c>
      <c r="BU154" s="3" t="s">
        <v>709</v>
      </c>
      <c r="BV154" s="3" t="s">
        <v>713</v>
      </c>
      <c r="BW154" s="3" t="s">
        <v>499</v>
      </c>
    </row>
    <row r="155" spans="1:75" s="3" customFormat="1" x14ac:dyDescent="0.35">
      <c r="A155" s="3" t="s">
        <v>854</v>
      </c>
      <c r="B155" s="4">
        <v>46008</v>
      </c>
      <c r="C155" s="5">
        <v>0.66670138888888886</v>
      </c>
      <c r="D155" s="3" t="s">
        <v>597</v>
      </c>
      <c r="E155" s="3" t="s">
        <v>598</v>
      </c>
      <c r="F155" s="6" t="s">
        <v>700</v>
      </c>
      <c r="G155" s="3">
        <f>COUNTIF($F$2:$F$278,F155)</f>
        <v>25</v>
      </c>
      <c r="H155" s="3" t="s">
        <v>701</v>
      </c>
      <c r="I155" s="3" t="s">
        <v>487</v>
      </c>
      <c r="J155" s="3" t="s">
        <v>83</v>
      </c>
      <c r="K155" s="3" t="s">
        <v>84</v>
      </c>
      <c r="M155" s="3" t="s">
        <v>85</v>
      </c>
      <c r="N155" s="3" t="s">
        <v>86</v>
      </c>
      <c r="O155" s="3" t="s">
        <v>84</v>
      </c>
      <c r="P155" s="3" t="s">
        <v>100</v>
      </c>
      <c r="Q155" s="3" t="s">
        <v>150</v>
      </c>
      <c r="R155" s="3" t="s">
        <v>151</v>
      </c>
      <c r="S155" s="3" t="s">
        <v>150</v>
      </c>
      <c r="T155" s="3" t="s">
        <v>151</v>
      </c>
      <c r="U155" s="3" t="s">
        <v>93</v>
      </c>
      <c r="V155" s="3" t="s">
        <v>22</v>
      </c>
      <c r="X155" s="3" t="s">
        <v>192</v>
      </c>
      <c r="Y155" s="3" t="s">
        <v>132</v>
      </c>
      <c r="Z155" s="3" t="s">
        <v>193</v>
      </c>
      <c r="AA155" s="3" t="b">
        <v>0</v>
      </c>
      <c r="AB155" s="3" t="b">
        <v>0</v>
      </c>
      <c r="AD155" s="3">
        <v>133</v>
      </c>
      <c r="AE155" s="3" t="s">
        <v>153</v>
      </c>
      <c r="AI155" s="3" t="s">
        <v>702</v>
      </c>
      <c r="AJ155" s="3" t="s">
        <v>100</v>
      </c>
      <c r="AK155" s="3" t="s">
        <v>857</v>
      </c>
      <c r="AL155" s="3" t="s">
        <v>100</v>
      </c>
      <c r="AM155" s="3" t="s">
        <v>100</v>
      </c>
      <c r="AN155" s="3" t="s">
        <v>124</v>
      </c>
      <c r="AO155" s="3">
        <v>1002</v>
      </c>
      <c r="AP155" s="3" t="s">
        <v>856</v>
      </c>
      <c r="AQ155" s="3" t="s">
        <v>104</v>
      </c>
      <c r="AR155" s="3" t="s">
        <v>491</v>
      </c>
      <c r="AS155" s="3" t="s">
        <v>705</v>
      </c>
      <c r="AT155" s="3" t="s">
        <v>706</v>
      </c>
      <c r="AU155" s="3" t="s">
        <v>706</v>
      </c>
      <c r="AX155" s="3" t="s">
        <v>707</v>
      </c>
      <c r="AY155" s="3" t="s">
        <v>708</v>
      </c>
      <c r="AZ155" s="3" t="s">
        <v>104</v>
      </c>
      <c r="BA155" s="3" t="s">
        <v>491</v>
      </c>
      <c r="BB155" s="3" t="s">
        <v>705</v>
      </c>
      <c r="BC155" s="3" t="s">
        <v>709</v>
      </c>
      <c r="BD155" s="3" t="s">
        <v>709</v>
      </c>
      <c r="BE155" s="3" t="s">
        <v>409</v>
      </c>
      <c r="BF155" s="3" t="s">
        <v>710</v>
      </c>
      <c r="BG155" s="3">
        <v>14618</v>
      </c>
      <c r="BH155" s="3" t="s">
        <v>711</v>
      </c>
      <c r="BO155" s="3">
        <v>3</v>
      </c>
      <c r="BR155" s="3" t="s">
        <v>104</v>
      </c>
      <c r="BS155" s="3" t="s">
        <v>712</v>
      </c>
      <c r="BT155" s="3" t="s">
        <v>705</v>
      </c>
      <c r="BU155" s="3" t="s">
        <v>709</v>
      </c>
      <c r="BV155" s="3" t="s">
        <v>713</v>
      </c>
      <c r="BW155" s="3" t="s">
        <v>499</v>
      </c>
    </row>
    <row r="156" spans="1:75" s="7" customFormat="1" x14ac:dyDescent="0.35">
      <c r="A156" s="7" t="s">
        <v>858</v>
      </c>
      <c r="B156" s="8">
        <v>46008</v>
      </c>
      <c r="C156" s="9">
        <v>0.6626967592592593</v>
      </c>
      <c r="D156" s="7" t="s">
        <v>597</v>
      </c>
      <c r="E156" s="7" t="s">
        <v>598</v>
      </c>
      <c r="F156" s="11" t="s">
        <v>346</v>
      </c>
      <c r="G156" s="7">
        <f>COUNTIF($F$2:$F$278,F156)</f>
        <v>69</v>
      </c>
      <c r="H156" s="7" t="s">
        <v>347</v>
      </c>
      <c r="I156" s="7" t="s">
        <v>187</v>
      </c>
      <c r="J156" s="7" t="s">
        <v>83</v>
      </c>
      <c r="K156" s="7" t="s">
        <v>84</v>
      </c>
      <c r="M156" s="7" t="s">
        <v>85</v>
      </c>
      <c r="N156" s="7" t="s">
        <v>86</v>
      </c>
      <c r="O156" s="7" t="s">
        <v>84</v>
      </c>
      <c r="P156" s="7" t="s">
        <v>88</v>
      </c>
      <c r="Q156" s="7" t="s">
        <v>417</v>
      </c>
      <c r="R156" s="7" t="s">
        <v>418</v>
      </c>
      <c r="S156" s="7" t="s">
        <v>224</v>
      </c>
      <c r="T156" s="7" t="s">
        <v>225</v>
      </c>
      <c r="U156" s="7" t="s">
        <v>93</v>
      </c>
      <c r="V156" s="7" t="s">
        <v>22</v>
      </c>
      <c r="W156" s="7" t="s">
        <v>599</v>
      </c>
      <c r="X156" s="7" t="s">
        <v>131</v>
      </c>
      <c r="Y156" s="7" t="s">
        <v>132</v>
      </c>
      <c r="Z156" s="7" t="s">
        <v>419</v>
      </c>
      <c r="AA156" s="7" t="b">
        <v>0</v>
      </c>
      <c r="AB156" s="7" t="b">
        <v>0</v>
      </c>
      <c r="AC156" s="7" t="s">
        <v>525</v>
      </c>
      <c r="AD156" s="7">
        <v>152</v>
      </c>
      <c r="AE156" s="7" t="s">
        <v>153</v>
      </c>
      <c r="AI156" s="7" t="s">
        <v>859</v>
      </c>
      <c r="AJ156" s="7" t="s">
        <v>100</v>
      </c>
      <c r="AK156" s="7" t="s">
        <v>860</v>
      </c>
      <c r="AL156" s="7" t="s">
        <v>100</v>
      </c>
      <c r="AM156" s="7" t="s">
        <v>100</v>
      </c>
      <c r="AN156" s="7" t="s">
        <v>102</v>
      </c>
      <c r="AP156" s="7" t="s">
        <v>861</v>
      </c>
      <c r="AQ156" s="7" t="s">
        <v>104</v>
      </c>
      <c r="AR156" s="7" t="s">
        <v>197</v>
      </c>
      <c r="AS156" s="7" t="s">
        <v>356</v>
      </c>
      <c r="AT156" s="7" t="s">
        <v>199</v>
      </c>
      <c r="AU156" s="7" t="s">
        <v>199</v>
      </c>
      <c r="AX156" s="7" t="s">
        <v>200</v>
      </c>
      <c r="AY156" s="7" t="s">
        <v>357</v>
      </c>
      <c r="AZ156" s="7" t="s">
        <v>104</v>
      </c>
      <c r="BA156" s="7" t="s">
        <v>197</v>
      </c>
      <c r="BB156" s="7" t="s">
        <v>356</v>
      </c>
      <c r="BC156" s="7" t="s">
        <v>199</v>
      </c>
      <c r="BD156" s="7" t="s">
        <v>199</v>
      </c>
      <c r="BF156" s="7" t="s">
        <v>203</v>
      </c>
      <c r="BG156" s="7">
        <v>20115</v>
      </c>
      <c r="BH156" s="7" t="s">
        <v>358</v>
      </c>
      <c r="BO156" s="7">
        <v>9</v>
      </c>
      <c r="BR156" s="7" t="s">
        <v>104</v>
      </c>
      <c r="BS156" s="7" t="s">
        <v>205</v>
      </c>
      <c r="BT156" s="7" t="s">
        <v>356</v>
      </c>
      <c r="BU156" s="7" t="s">
        <v>207</v>
      </c>
      <c r="BV156" s="7" t="s">
        <v>208</v>
      </c>
      <c r="BW156" s="7" t="s">
        <v>209</v>
      </c>
    </row>
    <row r="157" spans="1:75" s="3" customFormat="1" x14ac:dyDescent="0.35">
      <c r="A157" s="3" t="s">
        <v>862</v>
      </c>
      <c r="B157" s="4">
        <v>46008</v>
      </c>
      <c r="C157" s="5">
        <v>0.66266203703703697</v>
      </c>
      <c r="D157" s="3" t="s">
        <v>597</v>
      </c>
      <c r="E157" s="3" t="s">
        <v>598</v>
      </c>
      <c r="F157" s="3" t="s">
        <v>454</v>
      </c>
      <c r="G157" s="3">
        <f>COUNTIF($F$2:$F$278,F157)</f>
        <v>6</v>
      </c>
      <c r="H157" s="3" t="s">
        <v>397</v>
      </c>
      <c r="I157" s="3" t="s">
        <v>398</v>
      </c>
      <c r="J157" s="3" t="s">
        <v>83</v>
      </c>
      <c r="K157" s="3" t="s">
        <v>84</v>
      </c>
      <c r="M157" s="3" t="s">
        <v>85</v>
      </c>
      <c r="N157" s="3" t="s">
        <v>86</v>
      </c>
      <c r="O157" s="3" t="s">
        <v>84</v>
      </c>
      <c r="P157" s="3" t="s">
        <v>100</v>
      </c>
      <c r="Q157" s="3" t="s">
        <v>150</v>
      </c>
      <c r="R157" s="3" t="s">
        <v>151</v>
      </c>
      <c r="S157" s="3" t="s">
        <v>150</v>
      </c>
      <c r="T157" s="3" t="s">
        <v>151</v>
      </c>
      <c r="U157" s="3" t="s">
        <v>93</v>
      </c>
      <c r="V157" s="3" t="s">
        <v>22</v>
      </c>
      <c r="Z157" s="3" t="s">
        <v>399</v>
      </c>
      <c r="AA157" s="3" t="b">
        <v>0</v>
      </c>
      <c r="AB157" s="3" t="b">
        <v>0</v>
      </c>
      <c r="AD157" s="3">
        <v>87</v>
      </c>
      <c r="AE157" s="3" t="s">
        <v>153</v>
      </c>
      <c r="AI157" s="3" t="s">
        <v>702</v>
      </c>
      <c r="AJ157" s="3" t="s">
        <v>100</v>
      </c>
      <c r="AK157" s="3" t="s">
        <v>863</v>
      </c>
      <c r="AL157" s="3" t="s">
        <v>100</v>
      </c>
      <c r="AM157" s="3" t="s">
        <v>100</v>
      </c>
      <c r="AN157" s="3" t="s">
        <v>124</v>
      </c>
      <c r="AO157" s="3">
        <v>1002</v>
      </c>
      <c r="AP157" s="3" t="s">
        <v>864</v>
      </c>
      <c r="AQ157" s="3" t="s">
        <v>104</v>
      </c>
      <c r="AR157" s="3" t="s">
        <v>403</v>
      </c>
      <c r="AS157" s="3" t="s">
        <v>404</v>
      </c>
      <c r="AT157" s="3" t="s">
        <v>405</v>
      </c>
      <c r="AU157" s="3" t="s">
        <v>405</v>
      </c>
      <c r="AX157" s="3" t="s">
        <v>406</v>
      </c>
      <c r="AY157" s="3" t="s">
        <v>407</v>
      </c>
      <c r="AZ157" s="3" t="s">
        <v>104</v>
      </c>
      <c r="BA157" s="3" t="s">
        <v>403</v>
      </c>
      <c r="BB157" s="3" t="s">
        <v>404</v>
      </c>
      <c r="BC157" s="3" t="s">
        <v>408</v>
      </c>
      <c r="BD157" s="3" t="s">
        <v>408</v>
      </c>
      <c r="BE157" s="3" t="s">
        <v>409</v>
      </c>
      <c r="BF157" s="3" t="s">
        <v>410</v>
      </c>
      <c r="BG157" s="3">
        <v>215540</v>
      </c>
      <c r="BH157" s="3" t="s">
        <v>411</v>
      </c>
      <c r="BO157" s="3">
        <v>20</v>
      </c>
      <c r="BR157" s="3" t="s">
        <v>104</v>
      </c>
      <c r="BS157" s="3" t="s">
        <v>412</v>
      </c>
      <c r="BT157" s="3" t="s">
        <v>404</v>
      </c>
      <c r="BU157" s="3" t="s">
        <v>413</v>
      </c>
      <c r="BV157" s="6" t="s">
        <v>413</v>
      </c>
      <c r="BW157" s="3" t="s">
        <v>209</v>
      </c>
    </row>
    <row r="158" spans="1:75" s="3" customFormat="1" x14ac:dyDescent="0.35">
      <c r="A158" s="3" t="s">
        <v>865</v>
      </c>
      <c r="B158" s="4">
        <v>46008</v>
      </c>
      <c r="C158" s="5">
        <v>0.66265046296296293</v>
      </c>
      <c r="D158" s="3" t="s">
        <v>597</v>
      </c>
      <c r="E158" s="3" t="s">
        <v>598</v>
      </c>
      <c r="F158" s="3" t="s">
        <v>454</v>
      </c>
      <c r="G158" s="3">
        <f>COUNTIF($F$2:$F$278,F158)</f>
        <v>6</v>
      </c>
      <c r="H158" s="3" t="s">
        <v>397</v>
      </c>
      <c r="I158" s="3" t="s">
        <v>398</v>
      </c>
      <c r="J158" s="3" t="s">
        <v>83</v>
      </c>
      <c r="K158" s="3" t="s">
        <v>143</v>
      </c>
      <c r="L158" s="3">
        <v>50140</v>
      </c>
      <c r="M158" s="3" t="s">
        <v>85</v>
      </c>
      <c r="N158" s="3" t="s">
        <v>86</v>
      </c>
      <c r="O158" s="3" t="s">
        <v>84</v>
      </c>
      <c r="P158" s="3" t="s">
        <v>100</v>
      </c>
      <c r="Q158" s="3" t="s">
        <v>150</v>
      </c>
      <c r="R158" s="3" t="s">
        <v>151</v>
      </c>
      <c r="S158" s="3" t="s">
        <v>150</v>
      </c>
      <c r="T158" s="3" t="s">
        <v>151</v>
      </c>
      <c r="U158" s="3" t="s">
        <v>144</v>
      </c>
      <c r="V158" s="3" t="s">
        <v>22</v>
      </c>
      <c r="Z158" s="3" t="s">
        <v>399</v>
      </c>
      <c r="AA158" s="3" t="b">
        <v>0</v>
      </c>
      <c r="AB158" s="3" t="b">
        <v>0</v>
      </c>
      <c r="AD158" s="3">
        <v>92</v>
      </c>
      <c r="AE158" s="3" t="s">
        <v>145</v>
      </c>
      <c r="AF158" s="3" t="s">
        <v>215</v>
      </c>
      <c r="AI158" s="3" t="s">
        <v>702</v>
      </c>
      <c r="AJ158" s="3" t="s">
        <v>100</v>
      </c>
      <c r="AK158" s="3" t="s">
        <v>866</v>
      </c>
      <c r="AL158" s="3" t="s">
        <v>100</v>
      </c>
      <c r="AM158" s="3" t="s">
        <v>100</v>
      </c>
      <c r="AN158" s="3" t="s">
        <v>124</v>
      </c>
      <c r="AO158" s="3">
        <v>1002</v>
      </c>
      <c r="AP158" s="3" t="s">
        <v>864</v>
      </c>
      <c r="AQ158" s="3" t="s">
        <v>104</v>
      </c>
      <c r="AR158" s="3" t="s">
        <v>403</v>
      </c>
      <c r="AS158" s="3" t="s">
        <v>404</v>
      </c>
      <c r="AT158" s="3" t="s">
        <v>405</v>
      </c>
      <c r="AU158" s="3" t="s">
        <v>405</v>
      </c>
      <c r="AX158" s="3" t="s">
        <v>406</v>
      </c>
      <c r="AY158" s="3" t="s">
        <v>407</v>
      </c>
      <c r="AZ158" s="3" t="s">
        <v>104</v>
      </c>
      <c r="BA158" s="3" t="s">
        <v>403</v>
      </c>
      <c r="BB158" s="3" t="s">
        <v>404</v>
      </c>
      <c r="BC158" s="3" t="s">
        <v>408</v>
      </c>
      <c r="BD158" s="3" t="s">
        <v>408</v>
      </c>
      <c r="BE158" s="3" t="s">
        <v>409</v>
      </c>
      <c r="BF158" s="3" t="s">
        <v>410</v>
      </c>
      <c r="BG158" s="3">
        <v>215540</v>
      </c>
      <c r="BH158" s="3" t="s">
        <v>411</v>
      </c>
      <c r="BO158" s="3">
        <v>20</v>
      </c>
      <c r="BR158" s="3" t="s">
        <v>104</v>
      </c>
      <c r="BS158" s="3" t="s">
        <v>412</v>
      </c>
      <c r="BT158" s="3" t="s">
        <v>404</v>
      </c>
      <c r="BU158" s="3" t="s">
        <v>413</v>
      </c>
      <c r="BV158" s="6" t="s">
        <v>413</v>
      </c>
      <c r="BW158" s="3" t="s">
        <v>209</v>
      </c>
    </row>
    <row r="159" spans="1:75" s="7" customFormat="1" x14ac:dyDescent="0.35">
      <c r="A159" s="7" t="s">
        <v>867</v>
      </c>
      <c r="B159" s="8">
        <v>46008</v>
      </c>
      <c r="C159" s="9">
        <v>0.58920138888888884</v>
      </c>
      <c r="D159" s="7" t="s">
        <v>543</v>
      </c>
      <c r="E159" s="7" t="s">
        <v>544</v>
      </c>
      <c r="F159" s="11" t="s">
        <v>346</v>
      </c>
      <c r="G159" s="7">
        <f>COUNTIF($F$2:$F$278,F159)</f>
        <v>69</v>
      </c>
      <c r="H159" s="7" t="s">
        <v>347</v>
      </c>
      <c r="I159" s="7" t="s">
        <v>187</v>
      </c>
      <c r="J159" s="7" t="s">
        <v>83</v>
      </c>
      <c r="K159" s="7" t="s">
        <v>84</v>
      </c>
      <c r="M159" s="7" t="s">
        <v>85</v>
      </c>
      <c r="N159" s="7" t="s">
        <v>86</v>
      </c>
      <c r="O159" s="7" t="s">
        <v>87</v>
      </c>
      <c r="P159" s="7" t="s">
        <v>88</v>
      </c>
      <c r="Q159" s="7" t="s">
        <v>89</v>
      </c>
      <c r="R159" s="7" t="s">
        <v>90</v>
      </c>
      <c r="S159" s="7" t="s">
        <v>91</v>
      </c>
      <c r="T159" s="7" t="s">
        <v>92</v>
      </c>
      <c r="U159" s="7" t="s">
        <v>93</v>
      </c>
      <c r="V159" s="7" t="s">
        <v>94</v>
      </c>
      <c r="W159" s="7" t="s">
        <v>868</v>
      </c>
      <c r="Y159" s="7" t="s">
        <v>96</v>
      </c>
      <c r="Z159" s="7" t="s">
        <v>97</v>
      </c>
      <c r="AA159" s="7" t="b">
        <v>0</v>
      </c>
      <c r="AB159" s="7" t="b">
        <v>0</v>
      </c>
      <c r="AC159" s="7" t="s">
        <v>1331</v>
      </c>
      <c r="AD159" s="7">
        <v>71</v>
      </c>
      <c r="AE159" s="7" t="s">
        <v>98</v>
      </c>
      <c r="AI159" s="7" t="s">
        <v>869</v>
      </c>
      <c r="AJ159" s="7" t="s">
        <v>100</v>
      </c>
      <c r="AK159" s="7" t="s">
        <v>870</v>
      </c>
      <c r="AL159" s="7" t="s">
        <v>100</v>
      </c>
      <c r="AM159" s="7" t="s">
        <v>100</v>
      </c>
      <c r="AN159" s="7" t="s">
        <v>102</v>
      </c>
      <c r="AP159" s="7" t="s">
        <v>871</v>
      </c>
      <c r="AQ159" s="7" t="s">
        <v>104</v>
      </c>
      <c r="AR159" s="7" t="s">
        <v>197</v>
      </c>
      <c r="AS159" s="7" t="s">
        <v>356</v>
      </c>
      <c r="AT159" s="7" t="s">
        <v>199</v>
      </c>
      <c r="AU159" s="7" t="s">
        <v>199</v>
      </c>
      <c r="AX159" s="7" t="s">
        <v>200</v>
      </c>
      <c r="AY159" s="7" t="s">
        <v>357</v>
      </c>
      <c r="AZ159" s="7" t="s">
        <v>104</v>
      </c>
      <c r="BA159" s="7" t="s">
        <v>197</v>
      </c>
      <c r="BB159" s="7" t="s">
        <v>356</v>
      </c>
      <c r="BC159" s="7" t="s">
        <v>199</v>
      </c>
      <c r="BD159" s="7" t="s">
        <v>199</v>
      </c>
      <c r="BF159" s="7" t="s">
        <v>203</v>
      </c>
      <c r="BG159" s="7">
        <v>20115</v>
      </c>
      <c r="BH159" s="7" t="s">
        <v>358</v>
      </c>
      <c r="BO159" s="7">
        <v>9</v>
      </c>
      <c r="BR159" s="7" t="s">
        <v>104</v>
      </c>
      <c r="BS159" s="7" t="s">
        <v>205</v>
      </c>
      <c r="BT159" s="7" t="s">
        <v>356</v>
      </c>
      <c r="BU159" s="7" t="s">
        <v>207</v>
      </c>
      <c r="BV159" s="7" t="s">
        <v>208</v>
      </c>
      <c r="BW159" s="7" t="s">
        <v>209</v>
      </c>
    </row>
    <row r="160" spans="1:75" s="7" customFormat="1" x14ac:dyDescent="0.35">
      <c r="A160" s="7" t="s">
        <v>872</v>
      </c>
      <c r="B160" s="8">
        <v>46008</v>
      </c>
      <c r="C160" s="9">
        <v>0.58894675925925932</v>
      </c>
      <c r="D160" s="7" t="s">
        <v>873</v>
      </c>
      <c r="E160" s="7" t="s">
        <v>874</v>
      </c>
      <c r="F160" s="11" t="s">
        <v>346</v>
      </c>
      <c r="G160" s="7">
        <f>COUNTIF($F$2:$F$278,F160)</f>
        <v>69</v>
      </c>
      <c r="H160" s="7" t="s">
        <v>347</v>
      </c>
      <c r="I160" s="7" t="s">
        <v>187</v>
      </c>
      <c r="J160" s="7" t="s">
        <v>83</v>
      </c>
      <c r="K160" s="7" t="s">
        <v>84</v>
      </c>
      <c r="M160" s="7" t="s">
        <v>85</v>
      </c>
      <c r="N160" s="7" t="s">
        <v>120</v>
      </c>
      <c r="O160" s="7" t="s">
        <v>87</v>
      </c>
      <c r="P160" s="7" t="s">
        <v>88</v>
      </c>
      <c r="Q160" s="7" t="s">
        <v>89</v>
      </c>
      <c r="R160" s="7" t="s">
        <v>90</v>
      </c>
      <c r="S160" s="7" t="s">
        <v>91</v>
      </c>
      <c r="T160" s="7" t="s">
        <v>92</v>
      </c>
      <c r="U160" s="7" t="s">
        <v>93</v>
      </c>
      <c r="V160" s="7" t="s">
        <v>94</v>
      </c>
      <c r="W160" s="7" t="s">
        <v>875</v>
      </c>
      <c r="Y160" s="7" t="s">
        <v>96</v>
      </c>
      <c r="Z160" s="7" t="s">
        <v>97</v>
      </c>
      <c r="AA160" s="7" t="b">
        <v>0</v>
      </c>
      <c r="AB160" s="7" t="b">
        <v>0</v>
      </c>
      <c r="AC160" s="7" t="s">
        <v>1331</v>
      </c>
      <c r="AD160" s="7">
        <v>68</v>
      </c>
      <c r="AE160" s="7" t="s">
        <v>153</v>
      </c>
      <c r="AI160" s="7" t="s">
        <v>876</v>
      </c>
      <c r="AJ160" s="7" t="s">
        <v>100</v>
      </c>
      <c r="AK160" s="7" t="s">
        <v>877</v>
      </c>
      <c r="AL160" s="7" t="s">
        <v>100</v>
      </c>
      <c r="AM160" s="7" t="s">
        <v>100</v>
      </c>
      <c r="AN160" s="7" t="s">
        <v>102</v>
      </c>
      <c r="AP160" s="7" t="s">
        <v>878</v>
      </c>
      <c r="AQ160" s="7" t="s">
        <v>104</v>
      </c>
      <c r="AR160" s="7" t="s">
        <v>197</v>
      </c>
      <c r="AS160" s="7" t="s">
        <v>356</v>
      </c>
      <c r="AT160" s="7" t="s">
        <v>199</v>
      </c>
      <c r="AU160" s="7" t="s">
        <v>199</v>
      </c>
      <c r="AX160" s="7" t="s">
        <v>200</v>
      </c>
      <c r="AY160" s="7" t="s">
        <v>357</v>
      </c>
      <c r="AZ160" s="7" t="s">
        <v>104</v>
      </c>
      <c r="BA160" s="7" t="s">
        <v>197</v>
      </c>
      <c r="BB160" s="7" t="s">
        <v>356</v>
      </c>
      <c r="BC160" s="7" t="s">
        <v>199</v>
      </c>
      <c r="BD160" s="7" t="s">
        <v>199</v>
      </c>
      <c r="BF160" s="7" t="s">
        <v>203</v>
      </c>
      <c r="BG160" s="7">
        <v>20115</v>
      </c>
      <c r="BH160" s="7" t="s">
        <v>358</v>
      </c>
      <c r="BO160" s="7">
        <v>9</v>
      </c>
      <c r="BR160" s="7" t="s">
        <v>104</v>
      </c>
      <c r="BS160" s="7" t="s">
        <v>205</v>
      </c>
      <c r="BT160" s="7" t="s">
        <v>356</v>
      </c>
      <c r="BU160" s="7" t="s">
        <v>207</v>
      </c>
      <c r="BV160" s="7" t="s">
        <v>208</v>
      </c>
      <c r="BW160" s="7" t="s">
        <v>209</v>
      </c>
    </row>
    <row r="161" spans="1:75" s="7" customFormat="1" x14ac:dyDescent="0.35">
      <c r="A161" s="7" t="s">
        <v>879</v>
      </c>
      <c r="B161" s="8">
        <v>46008</v>
      </c>
      <c r="C161" s="9">
        <v>0.54189814814814818</v>
      </c>
      <c r="D161" s="7" t="s">
        <v>271</v>
      </c>
      <c r="E161" s="7" t="s">
        <v>272</v>
      </c>
      <c r="F161" s="7" t="s">
        <v>273</v>
      </c>
      <c r="G161" s="7">
        <f>COUNTIF($F$2:$F$278,F161)</f>
        <v>13</v>
      </c>
      <c r="H161" s="7" t="s">
        <v>274</v>
      </c>
      <c r="I161" s="7" t="s">
        <v>275</v>
      </c>
      <c r="J161" s="7" t="s">
        <v>83</v>
      </c>
      <c r="K161" s="7" t="s">
        <v>119</v>
      </c>
      <c r="L161" s="7">
        <v>50057</v>
      </c>
      <c r="M161" s="7" t="s">
        <v>85</v>
      </c>
      <c r="N161" s="7" t="s">
        <v>120</v>
      </c>
      <c r="O161" s="7" t="s">
        <v>87</v>
      </c>
      <c r="P161" s="7" t="s">
        <v>100</v>
      </c>
      <c r="Q161" s="7" t="s">
        <v>89</v>
      </c>
      <c r="R161" s="7" t="s">
        <v>90</v>
      </c>
      <c r="S161" s="7" t="s">
        <v>91</v>
      </c>
      <c r="T161" s="7" t="s">
        <v>92</v>
      </c>
      <c r="U161" s="7" t="s">
        <v>276</v>
      </c>
      <c r="V161" s="7" t="s">
        <v>94</v>
      </c>
      <c r="W161" s="7" t="s">
        <v>277</v>
      </c>
      <c r="Y161" s="7" t="s">
        <v>96</v>
      </c>
      <c r="Z161" s="7" t="s">
        <v>97</v>
      </c>
      <c r="AA161" s="7" t="b">
        <v>0</v>
      </c>
      <c r="AB161" s="7" t="b">
        <v>0</v>
      </c>
      <c r="AC161" s="11" t="s">
        <v>1331</v>
      </c>
      <c r="AD161" s="7">
        <v>62</v>
      </c>
      <c r="AE161" s="7" t="s">
        <v>278</v>
      </c>
      <c r="AJ161" s="7" t="s">
        <v>100</v>
      </c>
      <c r="AK161" s="7" t="s">
        <v>880</v>
      </c>
      <c r="AL161" s="7" t="s">
        <v>100</v>
      </c>
      <c r="AM161" s="7" t="s">
        <v>100</v>
      </c>
      <c r="AN161" s="7" t="s">
        <v>124</v>
      </c>
      <c r="AP161" s="7" t="s">
        <v>881</v>
      </c>
      <c r="AQ161" s="7" t="s">
        <v>104</v>
      </c>
      <c r="AR161" s="7" t="s">
        <v>281</v>
      </c>
      <c r="AS161" s="7" t="s">
        <v>282</v>
      </c>
      <c r="AT161" s="7" t="s">
        <v>283</v>
      </c>
      <c r="AU161" s="7" t="s">
        <v>283</v>
      </c>
      <c r="AX161" s="7" t="s">
        <v>284</v>
      </c>
      <c r="AY161" s="7" t="s">
        <v>285</v>
      </c>
      <c r="AZ161" s="7" t="s">
        <v>104</v>
      </c>
      <c r="BA161" s="7" t="s">
        <v>281</v>
      </c>
      <c r="BB161" s="7" t="s">
        <v>282</v>
      </c>
      <c r="BC161" s="7" t="s">
        <v>283</v>
      </c>
      <c r="BD161" s="7" t="s">
        <v>283</v>
      </c>
      <c r="BF161" s="7" t="s">
        <v>112</v>
      </c>
      <c r="BG161" s="7">
        <v>23465</v>
      </c>
      <c r="BH161" s="7" t="s">
        <v>286</v>
      </c>
      <c r="BO161" s="7">
        <v>7</v>
      </c>
      <c r="BR161" s="7" t="s">
        <v>104</v>
      </c>
      <c r="BS161" s="7" t="s">
        <v>287</v>
      </c>
      <c r="BT161" s="7" t="s">
        <v>288</v>
      </c>
      <c r="BU161" s="7" t="s">
        <v>283</v>
      </c>
      <c r="BV161" s="7" t="s">
        <v>283</v>
      </c>
      <c r="BW161" s="7" t="s">
        <v>209</v>
      </c>
    </row>
    <row r="162" spans="1:75" s="7" customFormat="1" x14ac:dyDescent="0.35">
      <c r="A162" s="7" t="s">
        <v>882</v>
      </c>
      <c r="B162" s="8">
        <v>46008</v>
      </c>
      <c r="C162" s="9">
        <v>0.5096180555555555</v>
      </c>
      <c r="D162" s="7" t="s">
        <v>536</v>
      </c>
      <c r="E162" s="7" t="s">
        <v>537</v>
      </c>
      <c r="F162" s="11" t="s">
        <v>346</v>
      </c>
      <c r="G162" s="7">
        <f>COUNTIF($F$2:$F$278,F162)</f>
        <v>69</v>
      </c>
      <c r="H162" s="7" t="s">
        <v>347</v>
      </c>
      <c r="I162" s="7" t="s">
        <v>187</v>
      </c>
      <c r="J162" s="7" t="s">
        <v>83</v>
      </c>
      <c r="K162" s="7" t="s">
        <v>84</v>
      </c>
      <c r="M162" s="7" t="s">
        <v>85</v>
      </c>
      <c r="N162" s="7" t="s">
        <v>86</v>
      </c>
      <c r="O162" s="7" t="s">
        <v>87</v>
      </c>
      <c r="P162" s="7" t="s">
        <v>88</v>
      </c>
      <c r="Q162" s="7" t="s">
        <v>89</v>
      </c>
      <c r="R162" s="7" t="s">
        <v>90</v>
      </c>
      <c r="S162" s="7" t="s">
        <v>91</v>
      </c>
      <c r="T162" s="7" t="s">
        <v>92</v>
      </c>
      <c r="U162" s="7" t="s">
        <v>93</v>
      </c>
      <c r="V162" s="7" t="s">
        <v>94</v>
      </c>
      <c r="W162" s="7" t="s">
        <v>538</v>
      </c>
      <c r="Y162" s="7" t="s">
        <v>96</v>
      </c>
      <c r="Z162" s="7" t="s">
        <v>97</v>
      </c>
      <c r="AA162" s="7" t="b">
        <v>0</v>
      </c>
      <c r="AB162" s="7" t="b">
        <v>0</v>
      </c>
      <c r="AC162" s="7" t="s">
        <v>1331</v>
      </c>
      <c r="AD162" s="7">
        <v>99</v>
      </c>
      <c r="AE162" s="7" t="s">
        <v>98</v>
      </c>
      <c r="AI162" s="7" t="s">
        <v>539</v>
      </c>
      <c r="AJ162" s="7" t="s">
        <v>100</v>
      </c>
      <c r="AK162" s="7" t="s">
        <v>883</v>
      </c>
      <c r="AL162" s="7" t="s">
        <v>100</v>
      </c>
      <c r="AM162" s="7" t="s">
        <v>100</v>
      </c>
      <c r="AN162" s="7" t="s">
        <v>102</v>
      </c>
      <c r="AP162" s="7" t="s">
        <v>884</v>
      </c>
      <c r="AQ162" s="7" t="s">
        <v>104</v>
      </c>
      <c r="AR162" s="7" t="s">
        <v>197</v>
      </c>
      <c r="AS162" s="7" t="s">
        <v>356</v>
      </c>
      <c r="AT162" s="7" t="s">
        <v>199</v>
      </c>
      <c r="AU162" s="7" t="s">
        <v>199</v>
      </c>
      <c r="AX162" s="7" t="s">
        <v>200</v>
      </c>
      <c r="AY162" s="7" t="s">
        <v>357</v>
      </c>
      <c r="AZ162" s="7" t="s">
        <v>104</v>
      </c>
      <c r="BA162" s="7" t="s">
        <v>197</v>
      </c>
      <c r="BB162" s="7" t="s">
        <v>356</v>
      </c>
      <c r="BC162" s="7" t="s">
        <v>199</v>
      </c>
      <c r="BD162" s="7" t="s">
        <v>199</v>
      </c>
      <c r="BF162" s="7" t="s">
        <v>203</v>
      </c>
      <c r="BG162" s="7">
        <v>20115</v>
      </c>
      <c r="BH162" s="7" t="s">
        <v>358</v>
      </c>
      <c r="BO162" s="7">
        <v>9</v>
      </c>
      <c r="BR162" s="7" t="s">
        <v>104</v>
      </c>
      <c r="BS162" s="7" t="s">
        <v>205</v>
      </c>
      <c r="BT162" s="7" t="s">
        <v>356</v>
      </c>
      <c r="BU162" s="7" t="s">
        <v>207</v>
      </c>
      <c r="BV162" s="7" t="s">
        <v>208</v>
      </c>
      <c r="BW162" s="7" t="s">
        <v>209</v>
      </c>
    </row>
    <row r="163" spans="1:75" s="3" customFormat="1" x14ac:dyDescent="0.35">
      <c r="A163" s="3" t="s">
        <v>885</v>
      </c>
      <c r="B163" s="4">
        <v>46007</v>
      </c>
      <c r="C163" s="5">
        <v>0.97832175925925924</v>
      </c>
      <c r="D163" s="3" t="s">
        <v>597</v>
      </c>
      <c r="E163" s="3" t="s">
        <v>598</v>
      </c>
      <c r="F163" s="3" t="s">
        <v>886</v>
      </c>
      <c r="G163" s="3">
        <f>COUNTIF($F$2:$F$278,F163)</f>
        <v>1</v>
      </c>
      <c r="H163" s="3" t="s">
        <v>397</v>
      </c>
      <c r="I163" s="3" t="s">
        <v>398</v>
      </c>
      <c r="J163" s="3" t="s">
        <v>83</v>
      </c>
      <c r="K163" s="3" t="s">
        <v>119</v>
      </c>
      <c r="L163" s="3">
        <v>50133</v>
      </c>
      <c r="M163" s="3" t="s">
        <v>85</v>
      </c>
      <c r="N163" s="3" t="s">
        <v>86</v>
      </c>
      <c r="O163" s="3" t="s">
        <v>84</v>
      </c>
      <c r="P163" s="3" t="s">
        <v>100</v>
      </c>
      <c r="Q163" s="3" t="s">
        <v>150</v>
      </c>
      <c r="R163" s="3" t="s">
        <v>151</v>
      </c>
      <c r="S163" s="3" t="s">
        <v>150</v>
      </c>
      <c r="T163" s="3" t="s">
        <v>151</v>
      </c>
      <c r="U163" s="3" t="s">
        <v>887</v>
      </c>
      <c r="V163" s="3" t="s">
        <v>22</v>
      </c>
      <c r="X163" s="3" t="s">
        <v>192</v>
      </c>
      <c r="Y163" s="3" t="s">
        <v>132</v>
      </c>
      <c r="Z163" s="3" t="s">
        <v>193</v>
      </c>
      <c r="AA163" s="3" t="b">
        <v>0</v>
      </c>
      <c r="AB163" s="3" t="b">
        <v>0</v>
      </c>
      <c r="AD163" s="3">
        <v>97</v>
      </c>
      <c r="AE163" s="3" t="s">
        <v>888</v>
      </c>
      <c r="AI163" s="3" t="s">
        <v>889</v>
      </c>
      <c r="AJ163" s="3" t="s">
        <v>100</v>
      </c>
      <c r="AK163" s="3" t="s">
        <v>890</v>
      </c>
      <c r="AL163" s="3" t="s">
        <v>100</v>
      </c>
      <c r="AM163" s="3" t="s">
        <v>100</v>
      </c>
      <c r="AN163" s="3" t="s">
        <v>124</v>
      </c>
      <c r="AO163" s="3">
        <v>1002</v>
      </c>
      <c r="AP163" s="3" t="s">
        <v>891</v>
      </c>
      <c r="AQ163" s="3" t="s">
        <v>104</v>
      </c>
      <c r="AR163" s="3" t="s">
        <v>403</v>
      </c>
      <c r="AS163" s="3" t="s">
        <v>404</v>
      </c>
      <c r="AT163" s="3" t="s">
        <v>405</v>
      </c>
      <c r="AU163" s="3" t="s">
        <v>405</v>
      </c>
      <c r="AX163" s="3" t="s">
        <v>406</v>
      </c>
      <c r="AY163" s="3" t="s">
        <v>892</v>
      </c>
      <c r="AZ163" s="3" t="s">
        <v>104</v>
      </c>
      <c r="BA163" s="3" t="s">
        <v>403</v>
      </c>
      <c r="BB163" s="3" t="s">
        <v>404</v>
      </c>
      <c r="BC163" s="3" t="s">
        <v>408</v>
      </c>
      <c r="BD163" s="3" t="s">
        <v>408</v>
      </c>
      <c r="BE163" s="3" t="s">
        <v>409</v>
      </c>
      <c r="BF163" s="3" t="s">
        <v>410</v>
      </c>
      <c r="BG163" s="3">
        <v>215540</v>
      </c>
      <c r="BH163" s="3" t="s">
        <v>893</v>
      </c>
      <c r="BO163" s="3">
        <v>20</v>
      </c>
      <c r="BR163" s="3" t="s">
        <v>104</v>
      </c>
      <c r="BS163" s="3" t="s">
        <v>412</v>
      </c>
      <c r="BT163" s="3" t="s">
        <v>404</v>
      </c>
      <c r="BU163" s="3" t="s">
        <v>413</v>
      </c>
      <c r="BV163" s="6" t="s">
        <v>413</v>
      </c>
      <c r="BW163" s="3" t="s">
        <v>209</v>
      </c>
    </row>
    <row r="164" spans="1:75" s="7" customFormat="1" x14ac:dyDescent="0.35">
      <c r="A164" s="7" t="s">
        <v>894</v>
      </c>
      <c r="B164" s="8">
        <v>46007</v>
      </c>
      <c r="C164" s="9">
        <v>0.90184027777777775</v>
      </c>
      <c r="D164" s="7" t="s">
        <v>78</v>
      </c>
      <c r="E164" s="7" t="s">
        <v>79</v>
      </c>
      <c r="F164" s="7" t="s">
        <v>128</v>
      </c>
      <c r="G164" s="7">
        <f>COUNTIF($F$2:$F$278,F164)</f>
        <v>26</v>
      </c>
      <c r="H164" s="7" t="s">
        <v>81</v>
      </c>
      <c r="I164" s="7" t="s">
        <v>82</v>
      </c>
      <c r="J164" s="7" t="s">
        <v>83</v>
      </c>
      <c r="K164" s="7" t="s">
        <v>84</v>
      </c>
      <c r="M164" s="7" t="s">
        <v>85</v>
      </c>
      <c r="N164" s="7" t="s">
        <v>86</v>
      </c>
      <c r="O164" s="7" t="s">
        <v>87</v>
      </c>
      <c r="P164" s="7" t="s">
        <v>88</v>
      </c>
      <c r="Q164" s="7" t="s">
        <v>89</v>
      </c>
      <c r="R164" s="7" t="s">
        <v>90</v>
      </c>
      <c r="S164" s="7" t="s">
        <v>91</v>
      </c>
      <c r="T164" s="7" t="s">
        <v>92</v>
      </c>
      <c r="U164" s="7" t="s">
        <v>93</v>
      </c>
      <c r="V164" s="7" t="s">
        <v>94</v>
      </c>
      <c r="W164" s="7" t="s">
        <v>95</v>
      </c>
      <c r="Y164" s="7" t="s">
        <v>96</v>
      </c>
      <c r="Z164" s="7" t="s">
        <v>97</v>
      </c>
      <c r="AA164" s="7" t="b">
        <v>0</v>
      </c>
      <c r="AB164" s="7" t="b">
        <v>0</v>
      </c>
      <c r="AC164" s="11" t="s">
        <v>1331</v>
      </c>
      <c r="AD164" s="7">
        <v>80</v>
      </c>
      <c r="AE164" s="7" t="s">
        <v>98</v>
      </c>
      <c r="AI164" s="7" t="s">
        <v>99</v>
      </c>
      <c r="AJ164" s="7" t="s">
        <v>100</v>
      </c>
      <c r="AK164" s="7" t="s">
        <v>895</v>
      </c>
      <c r="AL164" s="7" t="s">
        <v>100</v>
      </c>
      <c r="AM164" s="7" t="s">
        <v>100</v>
      </c>
      <c r="AN164" s="7" t="s">
        <v>102</v>
      </c>
      <c r="AP164" s="10" t="s">
        <v>896</v>
      </c>
      <c r="AQ164" s="7" t="s">
        <v>104</v>
      </c>
      <c r="AR164" s="7" t="s">
        <v>105</v>
      </c>
      <c r="AS164" s="7" t="s">
        <v>137</v>
      </c>
      <c r="AT164" s="7" t="s">
        <v>107</v>
      </c>
      <c r="AU164" s="7" t="s">
        <v>107</v>
      </c>
      <c r="AX164" s="7" t="s">
        <v>108</v>
      </c>
      <c r="AY164" s="7" t="s">
        <v>138</v>
      </c>
      <c r="AZ164" s="7" t="s">
        <v>104</v>
      </c>
      <c r="BA164" s="7" t="s">
        <v>105</v>
      </c>
      <c r="BB164" s="7" t="s">
        <v>139</v>
      </c>
      <c r="BC164" s="7" t="s">
        <v>110</v>
      </c>
      <c r="BD164" s="7" t="s">
        <v>110</v>
      </c>
      <c r="BF164" s="7" t="s">
        <v>112</v>
      </c>
      <c r="BG164" s="7">
        <v>7922</v>
      </c>
      <c r="BH164" s="7" t="s">
        <v>140</v>
      </c>
      <c r="BO164" s="7">
        <v>5</v>
      </c>
      <c r="BR164" s="7" t="s">
        <v>104</v>
      </c>
      <c r="BS164" s="7" t="s">
        <v>141</v>
      </c>
      <c r="BT164" s="7" t="s">
        <v>106</v>
      </c>
      <c r="BU164" s="7" t="s">
        <v>110</v>
      </c>
      <c r="BV164" s="7" t="s">
        <v>110</v>
      </c>
      <c r="BW164" s="7" t="s">
        <v>117</v>
      </c>
    </row>
    <row r="165" spans="1:75" s="7" customFormat="1" x14ac:dyDescent="0.35">
      <c r="A165" s="7" t="s">
        <v>897</v>
      </c>
      <c r="B165" s="8">
        <v>46007</v>
      </c>
      <c r="C165" s="9">
        <v>0.71484953703703702</v>
      </c>
      <c r="D165" s="7" t="s">
        <v>810</v>
      </c>
      <c r="E165" s="7" t="s">
        <v>811</v>
      </c>
      <c r="F165" s="11" t="s">
        <v>346</v>
      </c>
      <c r="G165" s="7">
        <f>COUNTIF($F$2:$F$278,F165)</f>
        <v>69</v>
      </c>
      <c r="H165" s="7" t="s">
        <v>347</v>
      </c>
      <c r="I165" s="7" t="s">
        <v>187</v>
      </c>
      <c r="J165" s="7" t="s">
        <v>83</v>
      </c>
      <c r="K165" s="7" t="s">
        <v>84</v>
      </c>
      <c r="M165" s="7" t="s">
        <v>85</v>
      </c>
      <c r="N165" s="7" t="s">
        <v>86</v>
      </c>
      <c r="O165" s="7" t="s">
        <v>84</v>
      </c>
      <c r="P165" s="7" t="s">
        <v>100</v>
      </c>
      <c r="Q165" s="7" t="s">
        <v>898</v>
      </c>
      <c r="R165" s="7" t="s">
        <v>899</v>
      </c>
      <c r="S165" s="7" t="s">
        <v>900</v>
      </c>
      <c r="T165" s="7" t="s">
        <v>901</v>
      </c>
      <c r="U165" s="7" t="s">
        <v>93</v>
      </c>
      <c r="V165" s="7" t="s">
        <v>22</v>
      </c>
      <c r="X165" s="7" t="s">
        <v>192</v>
      </c>
      <c r="Y165" s="7" t="s">
        <v>132</v>
      </c>
      <c r="Z165" s="7" t="s">
        <v>193</v>
      </c>
      <c r="AA165" s="7" t="b">
        <v>0</v>
      </c>
      <c r="AB165" s="7" t="b">
        <v>0</v>
      </c>
      <c r="AD165" s="7">
        <v>88</v>
      </c>
      <c r="AE165" s="7" t="s">
        <v>134</v>
      </c>
      <c r="AI165" s="7" t="s">
        <v>902</v>
      </c>
      <c r="AJ165" s="7" t="s">
        <v>100</v>
      </c>
      <c r="AK165" s="7" t="s">
        <v>903</v>
      </c>
      <c r="AL165" s="7" t="s">
        <v>100</v>
      </c>
      <c r="AM165" s="7" t="s">
        <v>100</v>
      </c>
      <c r="AN165" s="7" t="s">
        <v>124</v>
      </c>
      <c r="AO165" s="7">
        <v>1002</v>
      </c>
      <c r="AP165" s="7" t="s">
        <v>904</v>
      </c>
      <c r="AQ165" s="7" t="s">
        <v>104</v>
      </c>
      <c r="AR165" s="7" t="s">
        <v>197</v>
      </c>
      <c r="AS165" s="7" t="s">
        <v>356</v>
      </c>
      <c r="AT165" s="7" t="s">
        <v>199</v>
      </c>
      <c r="AU165" s="7" t="s">
        <v>199</v>
      </c>
      <c r="AX165" s="7" t="s">
        <v>200</v>
      </c>
      <c r="AY165" s="7" t="s">
        <v>357</v>
      </c>
      <c r="AZ165" s="7" t="s">
        <v>104</v>
      </c>
      <c r="BA165" s="7" t="s">
        <v>197</v>
      </c>
      <c r="BB165" s="7" t="s">
        <v>356</v>
      </c>
      <c r="BC165" s="7" t="s">
        <v>199</v>
      </c>
      <c r="BD165" s="7" t="s">
        <v>199</v>
      </c>
      <c r="BF165" s="7" t="s">
        <v>203</v>
      </c>
      <c r="BG165" s="7">
        <v>20115</v>
      </c>
      <c r="BH165" s="7" t="s">
        <v>358</v>
      </c>
      <c r="BO165" s="7">
        <v>9</v>
      </c>
      <c r="BR165" s="7" t="s">
        <v>104</v>
      </c>
      <c r="BS165" s="7" t="s">
        <v>205</v>
      </c>
      <c r="BT165" s="7" t="s">
        <v>356</v>
      </c>
      <c r="BU165" s="7" t="s">
        <v>207</v>
      </c>
      <c r="BV165" s="7" t="s">
        <v>208</v>
      </c>
      <c r="BW165" s="7" t="s">
        <v>209</v>
      </c>
    </row>
    <row r="166" spans="1:75" s="7" customFormat="1" x14ac:dyDescent="0.35">
      <c r="A166" s="7" t="s">
        <v>905</v>
      </c>
      <c r="B166" s="8">
        <v>46007</v>
      </c>
      <c r="C166" s="9">
        <v>0.66694444444444445</v>
      </c>
      <c r="D166" s="7" t="s">
        <v>78</v>
      </c>
      <c r="E166" s="7" t="s">
        <v>79</v>
      </c>
      <c r="F166" s="7" t="s">
        <v>128</v>
      </c>
      <c r="G166" s="7">
        <f>COUNTIF($F$2:$F$278,F166)</f>
        <v>26</v>
      </c>
      <c r="H166" s="7" t="s">
        <v>81</v>
      </c>
      <c r="I166" s="7" t="s">
        <v>82</v>
      </c>
      <c r="J166" s="7" t="s">
        <v>83</v>
      </c>
      <c r="K166" s="7" t="s">
        <v>84</v>
      </c>
      <c r="M166" s="7" t="s">
        <v>85</v>
      </c>
      <c r="N166" s="7" t="s">
        <v>86</v>
      </c>
      <c r="O166" s="7" t="s">
        <v>87</v>
      </c>
      <c r="P166" s="7" t="s">
        <v>88</v>
      </c>
      <c r="Q166" s="7" t="s">
        <v>89</v>
      </c>
      <c r="R166" s="7" t="s">
        <v>90</v>
      </c>
      <c r="S166" s="7" t="s">
        <v>91</v>
      </c>
      <c r="T166" s="7" t="s">
        <v>92</v>
      </c>
      <c r="U166" s="7" t="s">
        <v>93</v>
      </c>
      <c r="V166" s="7" t="s">
        <v>94</v>
      </c>
      <c r="W166" s="7" t="s">
        <v>95</v>
      </c>
      <c r="Y166" s="7" t="s">
        <v>96</v>
      </c>
      <c r="Z166" s="7" t="s">
        <v>97</v>
      </c>
      <c r="AA166" s="7" t="b">
        <v>0</v>
      </c>
      <c r="AB166" s="7" t="b">
        <v>0</v>
      </c>
      <c r="AC166" s="11" t="s">
        <v>1331</v>
      </c>
      <c r="AD166" s="7">
        <v>96</v>
      </c>
      <c r="AE166" s="7" t="s">
        <v>98</v>
      </c>
      <c r="AI166" s="7" t="s">
        <v>99</v>
      </c>
      <c r="AJ166" s="7" t="s">
        <v>100</v>
      </c>
      <c r="AK166" s="7" t="s">
        <v>906</v>
      </c>
      <c r="AL166" s="7" t="s">
        <v>100</v>
      </c>
      <c r="AM166" s="7" t="s">
        <v>100</v>
      </c>
      <c r="AN166" s="7" t="s">
        <v>102</v>
      </c>
      <c r="AP166" s="7" t="s">
        <v>907</v>
      </c>
      <c r="AQ166" s="7" t="s">
        <v>104</v>
      </c>
      <c r="AR166" s="7" t="s">
        <v>105</v>
      </c>
      <c r="AS166" s="7" t="s">
        <v>137</v>
      </c>
      <c r="AT166" s="7" t="s">
        <v>107</v>
      </c>
      <c r="AU166" s="7" t="s">
        <v>107</v>
      </c>
      <c r="AX166" s="7" t="s">
        <v>108</v>
      </c>
      <c r="AY166" s="7" t="s">
        <v>138</v>
      </c>
      <c r="AZ166" s="7" t="s">
        <v>104</v>
      </c>
      <c r="BA166" s="7" t="s">
        <v>105</v>
      </c>
      <c r="BB166" s="7" t="s">
        <v>139</v>
      </c>
      <c r="BC166" s="7" t="s">
        <v>110</v>
      </c>
      <c r="BD166" s="7" t="s">
        <v>110</v>
      </c>
      <c r="BF166" s="7" t="s">
        <v>112</v>
      </c>
      <c r="BG166" s="7">
        <v>7922</v>
      </c>
      <c r="BH166" s="7" t="s">
        <v>140</v>
      </c>
      <c r="BO166" s="7">
        <v>5</v>
      </c>
      <c r="BR166" s="7" t="s">
        <v>104</v>
      </c>
      <c r="BS166" s="7" t="s">
        <v>141</v>
      </c>
      <c r="BT166" s="7" t="s">
        <v>106</v>
      </c>
      <c r="BU166" s="7" t="s">
        <v>110</v>
      </c>
      <c r="BV166" s="7" t="s">
        <v>110</v>
      </c>
      <c r="BW166" s="7" t="s">
        <v>117</v>
      </c>
    </row>
    <row r="167" spans="1:75" s="7" customFormat="1" x14ac:dyDescent="0.35">
      <c r="A167" s="7" t="s">
        <v>908</v>
      </c>
      <c r="B167" s="8">
        <v>46007</v>
      </c>
      <c r="C167" s="9">
        <v>0.60783564814814817</v>
      </c>
      <c r="D167" s="7" t="s">
        <v>271</v>
      </c>
      <c r="E167" s="7" t="s">
        <v>272</v>
      </c>
      <c r="F167" s="7" t="s">
        <v>273</v>
      </c>
      <c r="G167" s="7">
        <f>COUNTIF($F$2:$F$278,F167)</f>
        <v>13</v>
      </c>
      <c r="H167" s="7" t="s">
        <v>274</v>
      </c>
      <c r="I167" s="7" t="s">
        <v>275</v>
      </c>
      <c r="J167" s="7" t="s">
        <v>83</v>
      </c>
      <c r="K167" s="7" t="s">
        <v>119</v>
      </c>
      <c r="L167" s="7">
        <v>50057</v>
      </c>
      <c r="M167" s="7" t="s">
        <v>85</v>
      </c>
      <c r="N167" s="7" t="s">
        <v>120</v>
      </c>
      <c r="O167" s="7" t="s">
        <v>87</v>
      </c>
      <c r="P167" s="7" t="s">
        <v>100</v>
      </c>
      <c r="Q167" s="7" t="s">
        <v>89</v>
      </c>
      <c r="R167" s="7" t="s">
        <v>90</v>
      </c>
      <c r="S167" s="7" t="s">
        <v>91</v>
      </c>
      <c r="T167" s="7" t="s">
        <v>92</v>
      </c>
      <c r="U167" s="7" t="s">
        <v>276</v>
      </c>
      <c r="V167" s="7" t="s">
        <v>94</v>
      </c>
      <c r="W167" s="7" t="s">
        <v>277</v>
      </c>
      <c r="Y167" s="7" t="s">
        <v>96</v>
      </c>
      <c r="Z167" s="7" t="s">
        <v>97</v>
      </c>
      <c r="AA167" s="7" t="b">
        <v>0</v>
      </c>
      <c r="AB167" s="7" t="b">
        <v>0</v>
      </c>
      <c r="AC167" s="11" t="s">
        <v>1331</v>
      </c>
      <c r="AD167" s="7">
        <v>72</v>
      </c>
      <c r="AE167" s="7" t="s">
        <v>278</v>
      </c>
      <c r="AJ167" s="7" t="s">
        <v>100</v>
      </c>
      <c r="AK167" s="7" t="s">
        <v>909</v>
      </c>
      <c r="AL167" s="7" t="s">
        <v>100</v>
      </c>
      <c r="AM167" s="7" t="s">
        <v>100</v>
      </c>
      <c r="AN167" s="7" t="s">
        <v>124</v>
      </c>
      <c r="AP167" s="7" t="s">
        <v>910</v>
      </c>
      <c r="AQ167" s="7" t="s">
        <v>104</v>
      </c>
      <c r="AR167" s="7" t="s">
        <v>281</v>
      </c>
      <c r="AS167" s="7" t="s">
        <v>282</v>
      </c>
      <c r="AT167" s="7" t="s">
        <v>283</v>
      </c>
      <c r="AU167" s="7" t="s">
        <v>283</v>
      </c>
      <c r="AX167" s="7" t="s">
        <v>284</v>
      </c>
      <c r="AY167" s="7" t="s">
        <v>285</v>
      </c>
      <c r="AZ167" s="7" t="s">
        <v>104</v>
      </c>
      <c r="BA167" s="7" t="s">
        <v>281</v>
      </c>
      <c r="BB167" s="7" t="s">
        <v>282</v>
      </c>
      <c r="BC167" s="7" t="s">
        <v>283</v>
      </c>
      <c r="BD167" s="7" t="s">
        <v>283</v>
      </c>
      <c r="BF167" s="7" t="s">
        <v>112</v>
      </c>
      <c r="BG167" s="7">
        <v>23465</v>
      </c>
      <c r="BH167" s="7" t="s">
        <v>286</v>
      </c>
      <c r="BO167" s="7">
        <v>7</v>
      </c>
      <c r="BR167" s="7" t="s">
        <v>104</v>
      </c>
      <c r="BS167" s="7" t="s">
        <v>287</v>
      </c>
      <c r="BT167" s="7" t="s">
        <v>288</v>
      </c>
      <c r="BU167" s="7" t="s">
        <v>283</v>
      </c>
      <c r="BV167" s="7" t="s">
        <v>283</v>
      </c>
      <c r="BW167" s="7" t="s">
        <v>209</v>
      </c>
    </row>
    <row r="168" spans="1:75" s="7" customFormat="1" x14ac:dyDescent="0.35">
      <c r="A168" s="7" t="s">
        <v>911</v>
      </c>
      <c r="B168" s="8">
        <v>46007</v>
      </c>
      <c r="C168" s="9">
        <v>0.15956018518518519</v>
      </c>
      <c r="D168" s="7" t="s">
        <v>271</v>
      </c>
      <c r="E168" s="7" t="s">
        <v>272</v>
      </c>
      <c r="F168" s="7" t="s">
        <v>273</v>
      </c>
      <c r="G168" s="7">
        <f>COUNTIF($F$2:$F$278,F168)</f>
        <v>13</v>
      </c>
      <c r="H168" s="7" t="s">
        <v>274</v>
      </c>
      <c r="I168" s="7" t="s">
        <v>275</v>
      </c>
      <c r="J168" s="7" t="s">
        <v>83</v>
      </c>
      <c r="K168" s="7" t="s">
        <v>119</v>
      </c>
      <c r="L168" s="7">
        <v>50057</v>
      </c>
      <c r="M168" s="7" t="s">
        <v>85</v>
      </c>
      <c r="N168" s="7" t="s">
        <v>120</v>
      </c>
      <c r="O168" s="7" t="s">
        <v>87</v>
      </c>
      <c r="P168" s="7" t="s">
        <v>100</v>
      </c>
      <c r="Q168" s="7" t="s">
        <v>89</v>
      </c>
      <c r="R168" s="7" t="s">
        <v>90</v>
      </c>
      <c r="S168" s="7" t="s">
        <v>91</v>
      </c>
      <c r="T168" s="7" t="s">
        <v>92</v>
      </c>
      <c r="U168" s="7" t="s">
        <v>276</v>
      </c>
      <c r="V168" s="7" t="s">
        <v>94</v>
      </c>
      <c r="W168" s="7" t="s">
        <v>277</v>
      </c>
      <c r="Y168" s="7" t="s">
        <v>96</v>
      </c>
      <c r="Z168" s="7" t="s">
        <v>97</v>
      </c>
      <c r="AA168" s="7" t="b">
        <v>0</v>
      </c>
      <c r="AB168" s="7" t="b">
        <v>0</v>
      </c>
      <c r="AC168" s="11" t="s">
        <v>1331</v>
      </c>
      <c r="AD168" s="7">
        <v>47</v>
      </c>
      <c r="AE168" s="7" t="s">
        <v>278</v>
      </c>
      <c r="AJ168" s="7" t="s">
        <v>100</v>
      </c>
      <c r="AK168" s="7" t="s">
        <v>912</v>
      </c>
      <c r="AL168" s="7" t="s">
        <v>100</v>
      </c>
      <c r="AM168" s="7" t="s">
        <v>100</v>
      </c>
      <c r="AN168" s="7" t="s">
        <v>124</v>
      </c>
      <c r="AP168" s="7" t="s">
        <v>913</v>
      </c>
      <c r="AQ168" s="7" t="s">
        <v>104</v>
      </c>
      <c r="AR168" s="7" t="s">
        <v>281</v>
      </c>
      <c r="AS168" s="7" t="s">
        <v>282</v>
      </c>
      <c r="AT168" s="7" t="s">
        <v>283</v>
      </c>
      <c r="AU168" s="7" t="s">
        <v>283</v>
      </c>
      <c r="AX168" s="7" t="s">
        <v>284</v>
      </c>
      <c r="AY168" s="7" t="s">
        <v>285</v>
      </c>
      <c r="AZ168" s="7" t="s">
        <v>104</v>
      </c>
      <c r="BA168" s="7" t="s">
        <v>281</v>
      </c>
      <c r="BB168" s="7" t="s">
        <v>282</v>
      </c>
      <c r="BC168" s="7" t="s">
        <v>283</v>
      </c>
      <c r="BD168" s="7" t="s">
        <v>283</v>
      </c>
      <c r="BF168" s="7" t="s">
        <v>112</v>
      </c>
      <c r="BG168" s="7">
        <v>23465</v>
      </c>
      <c r="BH168" s="7" t="s">
        <v>286</v>
      </c>
      <c r="BO168" s="7">
        <v>7</v>
      </c>
      <c r="BR168" s="7" t="s">
        <v>104</v>
      </c>
      <c r="BS168" s="7" t="s">
        <v>287</v>
      </c>
      <c r="BT168" s="7" t="s">
        <v>288</v>
      </c>
      <c r="BU168" s="7" t="s">
        <v>283</v>
      </c>
      <c r="BV168" s="7" t="s">
        <v>283</v>
      </c>
      <c r="BW168" s="7" t="s">
        <v>209</v>
      </c>
    </row>
    <row r="169" spans="1:75" s="7" customFormat="1" x14ac:dyDescent="0.35">
      <c r="A169" s="7" t="s">
        <v>914</v>
      </c>
      <c r="B169" s="8">
        <v>46006</v>
      </c>
      <c r="C169" s="9">
        <v>0.99932870370370364</v>
      </c>
      <c r="D169" s="7" t="s">
        <v>78</v>
      </c>
      <c r="E169" s="7" t="s">
        <v>79</v>
      </c>
      <c r="F169" s="7" t="s">
        <v>128</v>
      </c>
      <c r="G169" s="7">
        <f>COUNTIF($F$2:$F$278,F169)</f>
        <v>26</v>
      </c>
      <c r="H169" s="7" t="s">
        <v>81</v>
      </c>
      <c r="I169" s="7" t="s">
        <v>82</v>
      </c>
      <c r="J169" s="7" t="s">
        <v>83</v>
      </c>
      <c r="K169" s="7" t="s">
        <v>84</v>
      </c>
      <c r="M169" s="7" t="s">
        <v>85</v>
      </c>
      <c r="N169" s="7" t="s">
        <v>86</v>
      </c>
      <c r="O169" s="7" t="s">
        <v>87</v>
      </c>
      <c r="P169" s="7" t="s">
        <v>88</v>
      </c>
      <c r="Q169" s="7" t="s">
        <v>89</v>
      </c>
      <c r="R169" s="7" t="s">
        <v>90</v>
      </c>
      <c r="S169" s="7" t="s">
        <v>91</v>
      </c>
      <c r="T169" s="7" t="s">
        <v>92</v>
      </c>
      <c r="U169" s="7" t="s">
        <v>93</v>
      </c>
      <c r="V169" s="7" t="s">
        <v>94</v>
      </c>
      <c r="W169" s="7" t="s">
        <v>95</v>
      </c>
      <c r="Y169" s="7" t="s">
        <v>96</v>
      </c>
      <c r="Z169" s="7" t="s">
        <v>97</v>
      </c>
      <c r="AA169" s="7" t="b">
        <v>0</v>
      </c>
      <c r="AB169" s="7" t="b">
        <v>0</v>
      </c>
      <c r="AC169" s="11" t="s">
        <v>1331</v>
      </c>
      <c r="AD169" s="7">
        <v>94</v>
      </c>
      <c r="AE169" s="7" t="s">
        <v>98</v>
      </c>
      <c r="AI169" s="7" t="s">
        <v>99</v>
      </c>
      <c r="AJ169" s="7" t="s">
        <v>100</v>
      </c>
      <c r="AK169" s="7" t="s">
        <v>915</v>
      </c>
      <c r="AL169" s="7" t="s">
        <v>100</v>
      </c>
      <c r="AM169" s="7" t="s">
        <v>100</v>
      </c>
      <c r="AN169" s="7" t="s">
        <v>102</v>
      </c>
      <c r="AP169" s="7" t="s">
        <v>916</v>
      </c>
      <c r="AQ169" s="7" t="s">
        <v>104</v>
      </c>
      <c r="AR169" s="7" t="s">
        <v>105</v>
      </c>
      <c r="AS169" s="7" t="s">
        <v>137</v>
      </c>
      <c r="AT169" s="7" t="s">
        <v>107</v>
      </c>
      <c r="AU169" s="7" t="s">
        <v>107</v>
      </c>
      <c r="AX169" s="7" t="s">
        <v>108</v>
      </c>
      <c r="AY169" s="7" t="s">
        <v>138</v>
      </c>
      <c r="AZ169" s="7" t="s">
        <v>104</v>
      </c>
      <c r="BA169" s="7" t="s">
        <v>105</v>
      </c>
      <c r="BB169" s="7" t="s">
        <v>139</v>
      </c>
      <c r="BC169" s="7" t="s">
        <v>110</v>
      </c>
      <c r="BD169" s="7" t="s">
        <v>110</v>
      </c>
      <c r="BF169" s="7" t="s">
        <v>112</v>
      </c>
      <c r="BG169" s="7">
        <v>7922</v>
      </c>
      <c r="BH169" s="7" t="s">
        <v>140</v>
      </c>
      <c r="BO169" s="7">
        <v>5</v>
      </c>
      <c r="BR169" s="7" t="s">
        <v>104</v>
      </c>
      <c r="BS169" s="7" t="s">
        <v>141</v>
      </c>
      <c r="BT169" s="7" t="s">
        <v>106</v>
      </c>
      <c r="BU169" s="7" t="s">
        <v>110</v>
      </c>
      <c r="BV169" s="7" t="s">
        <v>110</v>
      </c>
      <c r="BW169" s="7" t="s">
        <v>117</v>
      </c>
    </row>
    <row r="170" spans="1:75" s="7" customFormat="1" x14ac:dyDescent="0.35">
      <c r="A170" s="7" t="s">
        <v>917</v>
      </c>
      <c r="B170" s="8">
        <v>46006</v>
      </c>
      <c r="C170" s="9">
        <v>0.83706018518518521</v>
      </c>
      <c r="D170" s="7" t="s">
        <v>271</v>
      </c>
      <c r="E170" s="7" t="s">
        <v>272</v>
      </c>
      <c r="F170" s="7" t="s">
        <v>273</v>
      </c>
      <c r="G170" s="7">
        <f>COUNTIF($F$2:$F$278,F170)</f>
        <v>13</v>
      </c>
      <c r="H170" s="7" t="s">
        <v>274</v>
      </c>
      <c r="I170" s="7" t="s">
        <v>275</v>
      </c>
      <c r="J170" s="7" t="s">
        <v>83</v>
      </c>
      <c r="K170" s="7" t="s">
        <v>119</v>
      </c>
      <c r="L170" s="7">
        <v>50057</v>
      </c>
      <c r="M170" s="7" t="s">
        <v>85</v>
      </c>
      <c r="N170" s="7" t="s">
        <v>120</v>
      </c>
      <c r="O170" s="7" t="s">
        <v>87</v>
      </c>
      <c r="P170" s="7" t="s">
        <v>100</v>
      </c>
      <c r="Q170" s="7" t="s">
        <v>89</v>
      </c>
      <c r="R170" s="7" t="s">
        <v>90</v>
      </c>
      <c r="S170" s="7" t="s">
        <v>91</v>
      </c>
      <c r="T170" s="7" t="s">
        <v>92</v>
      </c>
      <c r="U170" s="7" t="s">
        <v>276</v>
      </c>
      <c r="V170" s="7" t="s">
        <v>94</v>
      </c>
      <c r="W170" s="7" t="s">
        <v>277</v>
      </c>
      <c r="Y170" s="7" t="s">
        <v>96</v>
      </c>
      <c r="Z170" s="7" t="s">
        <v>97</v>
      </c>
      <c r="AA170" s="7" t="b">
        <v>0</v>
      </c>
      <c r="AB170" s="7" t="b">
        <v>0</v>
      </c>
      <c r="AC170" s="11" t="s">
        <v>1331</v>
      </c>
      <c r="AD170" s="7">
        <v>66</v>
      </c>
      <c r="AE170" s="7" t="s">
        <v>278</v>
      </c>
      <c r="AJ170" s="7" t="s">
        <v>100</v>
      </c>
      <c r="AK170" s="7" t="s">
        <v>918</v>
      </c>
      <c r="AL170" s="7" t="s">
        <v>100</v>
      </c>
      <c r="AM170" s="7" t="s">
        <v>100</v>
      </c>
      <c r="AN170" s="7" t="s">
        <v>124</v>
      </c>
      <c r="AP170" s="7" t="s">
        <v>919</v>
      </c>
      <c r="AQ170" s="7" t="s">
        <v>104</v>
      </c>
      <c r="AR170" s="7" t="s">
        <v>281</v>
      </c>
      <c r="AS170" s="7" t="s">
        <v>282</v>
      </c>
      <c r="AT170" s="7" t="s">
        <v>283</v>
      </c>
      <c r="AU170" s="7" t="s">
        <v>283</v>
      </c>
      <c r="AX170" s="7" t="s">
        <v>284</v>
      </c>
      <c r="AY170" s="7" t="s">
        <v>285</v>
      </c>
      <c r="AZ170" s="7" t="s">
        <v>104</v>
      </c>
      <c r="BA170" s="7" t="s">
        <v>281</v>
      </c>
      <c r="BB170" s="7" t="s">
        <v>282</v>
      </c>
      <c r="BC170" s="7" t="s">
        <v>283</v>
      </c>
      <c r="BD170" s="7" t="s">
        <v>283</v>
      </c>
      <c r="BF170" s="7" t="s">
        <v>112</v>
      </c>
      <c r="BG170" s="7">
        <v>23465</v>
      </c>
      <c r="BH170" s="7" t="s">
        <v>286</v>
      </c>
      <c r="BO170" s="7">
        <v>7</v>
      </c>
      <c r="BR170" s="7" t="s">
        <v>104</v>
      </c>
      <c r="BS170" s="7" t="s">
        <v>287</v>
      </c>
      <c r="BT170" s="7" t="s">
        <v>288</v>
      </c>
      <c r="BU170" s="7" t="s">
        <v>283</v>
      </c>
      <c r="BV170" s="7" t="s">
        <v>283</v>
      </c>
      <c r="BW170" s="7" t="s">
        <v>209</v>
      </c>
    </row>
    <row r="171" spans="1:75" s="7" customFormat="1" x14ac:dyDescent="0.35">
      <c r="A171" s="7" t="s">
        <v>920</v>
      </c>
      <c r="B171" s="8">
        <v>46006</v>
      </c>
      <c r="C171" s="9">
        <v>0.71481481481481479</v>
      </c>
      <c r="D171" s="7" t="s">
        <v>810</v>
      </c>
      <c r="E171" s="7" t="s">
        <v>811</v>
      </c>
      <c r="F171" s="11" t="s">
        <v>346</v>
      </c>
      <c r="G171" s="7">
        <f>COUNTIF($F$2:$F$278,F171)</f>
        <v>69</v>
      </c>
      <c r="H171" s="7" t="s">
        <v>347</v>
      </c>
      <c r="I171" s="7" t="s">
        <v>187</v>
      </c>
      <c r="J171" s="7" t="s">
        <v>83</v>
      </c>
      <c r="K171" s="7" t="s">
        <v>84</v>
      </c>
      <c r="M171" s="7" t="s">
        <v>85</v>
      </c>
      <c r="N171" s="7" t="s">
        <v>86</v>
      </c>
      <c r="O171" s="7" t="s">
        <v>84</v>
      </c>
      <c r="P171" s="7" t="s">
        <v>100</v>
      </c>
      <c r="Q171" s="7" t="s">
        <v>898</v>
      </c>
      <c r="R171" s="7" t="s">
        <v>899</v>
      </c>
      <c r="S171" s="7" t="s">
        <v>921</v>
      </c>
      <c r="T171" s="7" t="s">
        <v>922</v>
      </c>
      <c r="U171" s="7" t="s">
        <v>93</v>
      </c>
      <c r="V171" s="7" t="s">
        <v>22</v>
      </c>
      <c r="X171" s="7" t="s">
        <v>192</v>
      </c>
      <c r="Y171" s="7" t="s">
        <v>132</v>
      </c>
      <c r="Z171" s="7" t="s">
        <v>193</v>
      </c>
      <c r="AA171" s="7" t="b">
        <v>0</v>
      </c>
      <c r="AB171" s="7" t="b">
        <v>0</v>
      </c>
      <c r="AD171" s="7">
        <v>57</v>
      </c>
      <c r="AE171" s="7" t="s">
        <v>134</v>
      </c>
      <c r="AI171" s="7" t="s">
        <v>923</v>
      </c>
      <c r="AJ171" s="7" t="s">
        <v>100</v>
      </c>
      <c r="AK171" s="7" t="s">
        <v>924</v>
      </c>
      <c r="AL171" s="7" t="s">
        <v>100</v>
      </c>
      <c r="AM171" s="7" t="s">
        <v>100</v>
      </c>
      <c r="AN171" s="7" t="s">
        <v>124</v>
      </c>
      <c r="AO171" s="7">
        <v>1002</v>
      </c>
      <c r="AP171" s="7" t="s">
        <v>925</v>
      </c>
      <c r="AQ171" s="7" t="s">
        <v>104</v>
      </c>
      <c r="AR171" s="7" t="s">
        <v>197</v>
      </c>
      <c r="AS171" s="7" t="s">
        <v>356</v>
      </c>
      <c r="AT171" s="7" t="s">
        <v>199</v>
      </c>
      <c r="AU171" s="7" t="s">
        <v>199</v>
      </c>
      <c r="AX171" s="7" t="s">
        <v>200</v>
      </c>
      <c r="AY171" s="7" t="s">
        <v>357</v>
      </c>
      <c r="AZ171" s="7" t="s">
        <v>104</v>
      </c>
      <c r="BA171" s="7" t="s">
        <v>197</v>
      </c>
      <c r="BB171" s="7" t="s">
        <v>356</v>
      </c>
      <c r="BC171" s="7" t="s">
        <v>199</v>
      </c>
      <c r="BD171" s="7" t="s">
        <v>199</v>
      </c>
      <c r="BF171" s="7" t="s">
        <v>203</v>
      </c>
      <c r="BG171" s="7">
        <v>20115</v>
      </c>
      <c r="BH171" s="7" t="s">
        <v>358</v>
      </c>
      <c r="BO171" s="7">
        <v>9</v>
      </c>
      <c r="BR171" s="7" t="s">
        <v>104</v>
      </c>
      <c r="BS171" s="7" t="s">
        <v>205</v>
      </c>
      <c r="BT171" s="7" t="s">
        <v>356</v>
      </c>
      <c r="BU171" s="7" t="s">
        <v>207</v>
      </c>
      <c r="BV171" s="7" t="s">
        <v>208</v>
      </c>
      <c r="BW171" s="7" t="s">
        <v>209</v>
      </c>
    </row>
    <row r="172" spans="1:75" x14ac:dyDescent="0.35">
      <c r="A172" t="s">
        <v>926</v>
      </c>
      <c r="B172" s="1">
        <v>46006</v>
      </c>
      <c r="C172" s="2">
        <v>0.67525462962962957</v>
      </c>
      <c r="D172" t="s">
        <v>927</v>
      </c>
      <c r="E172" t="s">
        <v>928</v>
      </c>
      <c r="F172" t="s">
        <v>929</v>
      </c>
      <c r="G172">
        <f>COUNTIF($F$2:$F$278,F172)</f>
        <v>1</v>
      </c>
      <c r="H172" t="s">
        <v>930</v>
      </c>
      <c r="I172" t="s">
        <v>931</v>
      </c>
      <c r="J172" t="s">
        <v>83</v>
      </c>
      <c r="K172" t="s">
        <v>119</v>
      </c>
      <c r="L172">
        <v>50053</v>
      </c>
      <c r="M172" t="s">
        <v>85</v>
      </c>
      <c r="N172" t="s">
        <v>120</v>
      </c>
      <c r="O172" t="s">
        <v>87</v>
      </c>
      <c r="P172" t="s">
        <v>100</v>
      </c>
      <c r="Q172" t="s">
        <v>932</v>
      </c>
      <c r="R172" t="s">
        <v>933</v>
      </c>
      <c r="S172" t="s">
        <v>190</v>
      </c>
      <c r="T172" t="s">
        <v>191</v>
      </c>
      <c r="U172" t="s">
        <v>934</v>
      </c>
      <c r="V172" t="s">
        <v>22</v>
      </c>
      <c r="X172" t="s">
        <v>935</v>
      </c>
      <c r="Y172" t="s">
        <v>132</v>
      </c>
      <c r="Z172" t="s">
        <v>936</v>
      </c>
      <c r="AA172" t="b">
        <v>0</v>
      </c>
      <c r="AB172" t="b">
        <v>0</v>
      </c>
      <c r="AD172">
        <v>123</v>
      </c>
      <c r="AH172" t="s">
        <v>928</v>
      </c>
      <c r="AJ172" t="s">
        <v>100</v>
      </c>
      <c r="AK172" t="s">
        <v>937</v>
      </c>
      <c r="AL172" t="s">
        <v>100</v>
      </c>
      <c r="AM172" t="s">
        <v>100</v>
      </c>
      <c r="AN172" t="s">
        <v>124</v>
      </c>
      <c r="AP172" t="s">
        <v>938</v>
      </c>
      <c r="AQ172" t="s">
        <v>104</v>
      </c>
      <c r="AR172" t="s">
        <v>939</v>
      </c>
      <c r="AS172" t="s">
        <v>940</v>
      </c>
      <c r="AT172" t="s">
        <v>941</v>
      </c>
      <c r="AU172" t="s">
        <v>941</v>
      </c>
      <c r="AX172" t="s">
        <v>942</v>
      </c>
      <c r="AY172" t="s">
        <v>943</v>
      </c>
      <c r="AZ172" t="s">
        <v>104</v>
      </c>
      <c r="BA172" t="s">
        <v>939</v>
      </c>
      <c r="BB172" t="s">
        <v>940</v>
      </c>
      <c r="BC172" t="s">
        <v>941</v>
      </c>
      <c r="BD172" t="s">
        <v>941</v>
      </c>
      <c r="BE172" t="s">
        <v>409</v>
      </c>
      <c r="BF172" t="s">
        <v>944</v>
      </c>
      <c r="BG172">
        <v>36352</v>
      </c>
      <c r="BH172" t="s">
        <v>945</v>
      </c>
      <c r="BO172">
        <v>32</v>
      </c>
      <c r="BR172" t="s">
        <v>104</v>
      </c>
      <c r="BS172" t="s">
        <v>946</v>
      </c>
      <c r="BT172" t="s">
        <v>940</v>
      </c>
      <c r="BU172" t="s">
        <v>941</v>
      </c>
      <c r="BV172" t="s">
        <v>947</v>
      </c>
      <c r="BW172" t="s">
        <v>499</v>
      </c>
    </row>
    <row r="173" spans="1:75" s="7" customFormat="1" x14ac:dyDescent="0.35">
      <c r="A173" s="7" t="s">
        <v>948</v>
      </c>
      <c r="B173" s="8">
        <v>46006</v>
      </c>
      <c r="C173" s="9">
        <v>0.62208333333333332</v>
      </c>
      <c r="D173" s="7" t="s">
        <v>78</v>
      </c>
      <c r="E173" s="7" t="s">
        <v>79</v>
      </c>
      <c r="F173" s="7" t="s">
        <v>128</v>
      </c>
      <c r="G173" s="7">
        <f>COUNTIF($F$2:$F$278,F173)</f>
        <v>26</v>
      </c>
      <c r="H173" s="7" t="s">
        <v>81</v>
      </c>
      <c r="I173" s="7" t="s">
        <v>82</v>
      </c>
      <c r="J173" s="7" t="s">
        <v>83</v>
      </c>
      <c r="K173" s="7" t="s">
        <v>84</v>
      </c>
      <c r="M173" s="7" t="s">
        <v>85</v>
      </c>
      <c r="N173" s="7" t="s">
        <v>86</v>
      </c>
      <c r="O173" s="7" t="s">
        <v>87</v>
      </c>
      <c r="P173" s="7" t="s">
        <v>88</v>
      </c>
      <c r="Q173" s="7" t="s">
        <v>89</v>
      </c>
      <c r="R173" s="7" t="s">
        <v>90</v>
      </c>
      <c r="S173" s="7" t="s">
        <v>91</v>
      </c>
      <c r="T173" s="7" t="s">
        <v>92</v>
      </c>
      <c r="U173" s="7" t="s">
        <v>93</v>
      </c>
      <c r="V173" s="7" t="s">
        <v>94</v>
      </c>
      <c r="W173" s="7" t="s">
        <v>95</v>
      </c>
      <c r="Y173" s="7" t="s">
        <v>96</v>
      </c>
      <c r="Z173" s="7" t="s">
        <v>97</v>
      </c>
      <c r="AA173" s="7" t="b">
        <v>0</v>
      </c>
      <c r="AB173" s="7" t="b">
        <v>0</v>
      </c>
      <c r="AC173" s="11" t="s">
        <v>1331</v>
      </c>
      <c r="AD173" s="7">
        <v>75</v>
      </c>
      <c r="AE173" s="7" t="s">
        <v>98</v>
      </c>
      <c r="AI173" s="7" t="s">
        <v>99</v>
      </c>
      <c r="AJ173" s="7" t="s">
        <v>100</v>
      </c>
      <c r="AK173" s="7" t="s">
        <v>949</v>
      </c>
      <c r="AL173" s="7" t="s">
        <v>100</v>
      </c>
      <c r="AM173" s="7" t="s">
        <v>100</v>
      </c>
      <c r="AN173" s="7" t="s">
        <v>102</v>
      </c>
      <c r="AP173" s="7" t="s">
        <v>950</v>
      </c>
      <c r="AQ173" s="7" t="s">
        <v>104</v>
      </c>
      <c r="AR173" s="7" t="s">
        <v>105</v>
      </c>
      <c r="AS173" s="7" t="s">
        <v>137</v>
      </c>
      <c r="AT173" s="7" t="s">
        <v>107</v>
      </c>
      <c r="AU173" s="7" t="s">
        <v>107</v>
      </c>
      <c r="AX173" s="7" t="s">
        <v>108</v>
      </c>
      <c r="AY173" s="7" t="s">
        <v>138</v>
      </c>
      <c r="AZ173" s="7" t="s">
        <v>104</v>
      </c>
      <c r="BA173" s="7" t="s">
        <v>105</v>
      </c>
      <c r="BB173" s="7" t="s">
        <v>139</v>
      </c>
      <c r="BC173" s="7" t="s">
        <v>110</v>
      </c>
      <c r="BD173" s="7" t="s">
        <v>110</v>
      </c>
      <c r="BF173" s="7" t="s">
        <v>112</v>
      </c>
      <c r="BG173" s="7">
        <v>7922</v>
      </c>
      <c r="BH173" s="7" t="s">
        <v>140</v>
      </c>
      <c r="BO173" s="7">
        <v>5</v>
      </c>
      <c r="BR173" s="7" t="s">
        <v>104</v>
      </c>
      <c r="BS173" s="7" t="s">
        <v>141</v>
      </c>
      <c r="BT173" s="7" t="s">
        <v>106</v>
      </c>
      <c r="BU173" s="7" t="s">
        <v>110</v>
      </c>
      <c r="BV173" s="7" t="s">
        <v>110</v>
      </c>
      <c r="BW173" s="7" t="s">
        <v>117</v>
      </c>
    </row>
    <row r="174" spans="1:75" s="7" customFormat="1" x14ac:dyDescent="0.35">
      <c r="A174" s="7" t="s">
        <v>951</v>
      </c>
      <c r="B174" s="8">
        <v>46006</v>
      </c>
      <c r="C174" s="9">
        <v>0.57988425925925924</v>
      </c>
      <c r="D174" s="7" t="s">
        <v>271</v>
      </c>
      <c r="E174" s="7" t="s">
        <v>272</v>
      </c>
      <c r="F174" s="7" t="s">
        <v>273</v>
      </c>
      <c r="G174" s="7">
        <f>COUNTIF($F$2:$F$278,F174)</f>
        <v>13</v>
      </c>
      <c r="H174" s="7" t="s">
        <v>274</v>
      </c>
      <c r="I174" s="7" t="s">
        <v>275</v>
      </c>
      <c r="J174" s="7" t="s">
        <v>83</v>
      </c>
      <c r="K174" s="7" t="s">
        <v>119</v>
      </c>
      <c r="L174" s="7">
        <v>50057</v>
      </c>
      <c r="M174" s="7" t="s">
        <v>85</v>
      </c>
      <c r="N174" s="7" t="s">
        <v>120</v>
      </c>
      <c r="O174" s="7" t="s">
        <v>87</v>
      </c>
      <c r="P174" s="7" t="s">
        <v>100</v>
      </c>
      <c r="Q174" s="7" t="s">
        <v>89</v>
      </c>
      <c r="R174" s="7" t="s">
        <v>90</v>
      </c>
      <c r="S174" s="7" t="s">
        <v>91</v>
      </c>
      <c r="T174" s="7" t="s">
        <v>92</v>
      </c>
      <c r="U174" s="7" t="s">
        <v>276</v>
      </c>
      <c r="V174" s="7" t="s">
        <v>94</v>
      </c>
      <c r="W174" s="7" t="s">
        <v>277</v>
      </c>
      <c r="Y174" s="7" t="s">
        <v>96</v>
      </c>
      <c r="Z174" s="7" t="s">
        <v>97</v>
      </c>
      <c r="AA174" s="7" t="b">
        <v>0</v>
      </c>
      <c r="AB174" s="7" t="b">
        <v>0</v>
      </c>
      <c r="AC174" s="11" t="s">
        <v>1331</v>
      </c>
      <c r="AD174" s="7">
        <v>57</v>
      </c>
      <c r="AE174" s="7" t="s">
        <v>278</v>
      </c>
      <c r="AJ174" s="7" t="s">
        <v>100</v>
      </c>
      <c r="AK174" s="7" t="s">
        <v>952</v>
      </c>
      <c r="AL174" s="7" t="s">
        <v>100</v>
      </c>
      <c r="AM174" s="7" t="s">
        <v>100</v>
      </c>
      <c r="AN174" s="7" t="s">
        <v>124</v>
      </c>
      <c r="AP174" s="7" t="s">
        <v>953</v>
      </c>
      <c r="AQ174" s="7" t="s">
        <v>104</v>
      </c>
      <c r="AR174" s="7" t="s">
        <v>281</v>
      </c>
      <c r="AS174" s="7" t="s">
        <v>282</v>
      </c>
      <c r="AT174" s="7" t="s">
        <v>283</v>
      </c>
      <c r="AU174" s="7" t="s">
        <v>283</v>
      </c>
      <c r="AX174" s="7" t="s">
        <v>284</v>
      </c>
      <c r="AY174" s="7" t="s">
        <v>285</v>
      </c>
      <c r="AZ174" s="7" t="s">
        <v>104</v>
      </c>
      <c r="BA174" s="7" t="s">
        <v>281</v>
      </c>
      <c r="BB174" s="7" t="s">
        <v>282</v>
      </c>
      <c r="BC174" s="7" t="s">
        <v>283</v>
      </c>
      <c r="BD174" s="7" t="s">
        <v>283</v>
      </c>
      <c r="BF174" s="7" t="s">
        <v>112</v>
      </c>
      <c r="BG174" s="7">
        <v>23465</v>
      </c>
      <c r="BH174" s="7" t="s">
        <v>286</v>
      </c>
      <c r="BO174" s="7">
        <v>7</v>
      </c>
      <c r="BR174" s="7" t="s">
        <v>104</v>
      </c>
      <c r="BS174" s="7" t="s">
        <v>287</v>
      </c>
      <c r="BT174" s="7" t="s">
        <v>288</v>
      </c>
      <c r="BU174" s="7" t="s">
        <v>283</v>
      </c>
      <c r="BV174" s="7" t="s">
        <v>283</v>
      </c>
      <c r="BW174" s="7" t="s">
        <v>209</v>
      </c>
    </row>
    <row r="175" spans="1:75" s="7" customFormat="1" x14ac:dyDescent="0.35">
      <c r="A175" s="7" t="s">
        <v>954</v>
      </c>
      <c r="B175" s="8">
        <v>46005</v>
      </c>
      <c r="C175" s="9">
        <v>0.91745370370370372</v>
      </c>
      <c r="D175" s="7" t="s">
        <v>78</v>
      </c>
      <c r="E175" s="7" t="s">
        <v>79</v>
      </c>
      <c r="F175" s="7" t="s">
        <v>128</v>
      </c>
      <c r="G175" s="7">
        <f>COUNTIF($F$2:$F$278,F175)</f>
        <v>26</v>
      </c>
      <c r="H175" s="7" t="s">
        <v>81</v>
      </c>
      <c r="I175" s="7" t="s">
        <v>82</v>
      </c>
      <c r="J175" s="7" t="s">
        <v>83</v>
      </c>
      <c r="K175" s="7" t="s">
        <v>84</v>
      </c>
      <c r="M175" s="7" t="s">
        <v>85</v>
      </c>
      <c r="N175" s="7" t="s">
        <v>86</v>
      </c>
      <c r="O175" s="7" t="s">
        <v>87</v>
      </c>
      <c r="P175" s="7" t="s">
        <v>88</v>
      </c>
      <c r="Q175" s="7" t="s">
        <v>89</v>
      </c>
      <c r="R175" s="7" t="s">
        <v>90</v>
      </c>
      <c r="S175" s="7" t="s">
        <v>91</v>
      </c>
      <c r="T175" s="7" t="s">
        <v>92</v>
      </c>
      <c r="U175" s="7" t="s">
        <v>93</v>
      </c>
      <c r="V175" s="7" t="s">
        <v>94</v>
      </c>
      <c r="W175" s="7" t="s">
        <v>95</v>
      </c>
      <c r="Y175" s="7" t="s">
        <v>96</v>
      </c>
      <c r="Z175" s="7" t="s">
        <v>97</v>
      </c>
      <c r="AA175" s="7" t="b">
        <v>0</v>
      </c>
      <c r="AB175" s="7" t="b">
        <v>0</v>
      </c>
      <c r="AC175" s="11" t="s">
        <v>1331</v>
      </c>
      <c r="AD175" s="7">
        <v>71</v>
      </c>
      <c r="AE175" s="7" t="s">
        <v>98</v>
      </c>
      <c r="AI175" s="7" t="s">
        <v>99</v>
      </c>
      <c r="AJ175" s="7" t="s">
        <v>100</v>
      </c>
      <c r="AK175" s="7" t="s">
        <v>955</v>
      </c>
      <c r="AL175" s="7" t="s">
        <v>100</v>
      </c>
      <c r="AM175" s="7" t="s">
        <v>100</v>
      </c>
      <c r="AN175" s="7" t="s">
        <v>102</v>
      </c>
      <c r="AP175" s="7" t="s">
        <v>956</v>
      </c>
      <c r="AQ175" s="7" t="s">
        <v>104</v>
      </c>
      <c r="AR175" s="7" t="s">
        <v>105</v>
      </c>
      <c r="AS175" s="7" t="s">
        <v>137</v>
      </c>
      <c r="AT175" s="7" t="s">
        <v>107</v>
      </c>
      <c r="AU175" s="7" t="s">
        <v>107</v>
      </c>
      <c r="AX175" s="7" t="s">
        <v>108</v>
      </c>
      <c r="AY175" s="7" t="s">
        <v>138</v>
      </c>
      <c r="AZ175" s="7" t="s">
        <v>104</v>
      </c>
      <c r="BA175" s="7" t="s">
        <v>105</v>
      </c>
      <c r="BB175" s="7" t="s">
        <v>139</v>
      </c>
      <c r="BC175" s="7" t="s">
        <v>110</v>
      </c>
      <c r="BD175" s="7" t="s">
        <v>110</v>
      </c>
      <c r="BF175" s="7" t="s">
        <v>112</v>
      </c>
      <c r="BG175" s="7">
        <v>7922</v>
      </c>
      <c r="BH175" s="7" t="s">
        <v>140</v>
      </c>
      <c r="BO175" s="7">
        <v>5</v>
      </c>
      <c r="BR175" s="7" t="s">
        <v>104</v>
      </c>
      <c r="BS175" s="7" t="s">
        <v>141</v>
      </c>
      <c r="BT175" s="7" t="s">
        <v>106</v>
      </c>
      <c r="BU175" s="7" t="s">
        <v>110</v>
      </c>
      <c r="BV175" s="7" t="s">
        <v>110</v>
      </c>
      <c r="BW175" s="7" t="s">
        <v>117</v>
      </c>
    </row>
    <row r="176" spans="1:75" s="7" customFormat="1" x14ac:dyDescent="0.35">
      <c r="A176" s="7" t="s">
        <v>957</v>
      </c>
      <c r="B176" s="8">
        <v>46005</v>
      </c>
      <c r="C176" s="9">
        <v>0.78849537037037043</v>
      </c>
      <c r="D176" s="7" t="s">
        <v>597</v>
      </c>
      <c r="E176" s="7" t="s">
        <v>598</v>
      </c>
      <c r="F176" s="11" t="s">
        <v>346</v>
      </c>
      <c r="G176" s="7">
        <f>COUNTIF($F$2:$F$278,F176)</f>
        <v>69</v>
      </c>
      <c r="H176" s="7" t="s">
        <v>347</v>
      </c>
      <c r="I176" s="7" t="s">
        <v>187</v>
      </c>
      <c r="J176" s="7" t="s">
        <v>83</v>
      </c>
      <c r="K176" s="7" t="s">
        <v>84</v>
      </c>
      <c r="M176" s="7" t="s">
        <v>85</v>
      </c>
      <c r="N176" s="7" t="s">
        <v>86</v>
      </c>
      <c r="O176" s="7" t="s">
        <v>84</v>
      </c>
      <c r="P176" s="7" t="s">
        <v>88</v>
      </c>
      <c r="Q176" s="7" t="s">
        <v>417</v>
      </c>
      <c r="R176" s="7" t="s">
        <v>418</v>
      </c>
      <c r="S176" s="7" t="s">
        <v>224</v>
      </c>
      <c r="T176" s="7" t="s">
        <v>225</v>
      </c>
      <c r="U176" s="7" t="s">
        <v>93</v>
      </c>
      <c r="V176" s="7" t="s">
        <v>22</v>
      </c>
      <c r="W176" s="7" t="s">
        <v>599</v>
      </c>
      <c r="X176" s="7" t="s">
        <v>131</v>
      </c>
      <c r="Y176" s="7" t="s">
        <v>132</v>
      </c>
      <c r="Z176" s="7" t="s">
        <v>419</v>
      </c>
      <c r="AA176" s="7" t="b">
        <v>0</v>
      </c>
      <c r="AB176" s="7" t="b">
        <v>0</v>
      </c>
      <c r="AC176" s="7" t="s">
        <v>525</v>
      </c>
      <c r="AD176" s="7">
        <v>119</v>
      </c>
      <c r="AE176" s="7" t="s">
        <v>153</v>
      </c>
      <c r="AI176" s="7" t="s">
        <v>859</v>
      </c>
      <c r="AJ176" s="7" t="s">
        <v>100</v>
      </c>
      <c r="AK176" s="7" t="s">
        <v>958</v>
      </c>
      <c r="AL176" s="7" t="s">
        <v>100</v>
      </c>
      <c r="AM176" s="7" t="s">
        <v>100</v>
      </c>
      <c r="AN176" s="7" t="s">
        <v>102</v>
      </c>
      <c r="AP176" s="7" t="s">
        <v>959</v>
      </c>
      <c r="AQ176" s="7" t="s">
        <v>104</v>
      </c>
      <c r="AR176" s="7" t="s">
        <v>197</v>
      </c>
      <c r="AS176" s="7" t="s">
        <v>356</v>
      </c>
      <c r="AT176" s="7" t="s">
        <v>199</v>
      </c>
      <c r="AU176" s="7" t="s">
        <v>199</v>
      </c>
      <c r="AX176" s="7" t="s">
        <v>200</v>
      </c>
      <c r="AY176" s="7" t="s">
        <v>357</v>
      </c>
      <c r="AZ176" s="7" t="s">
        <v>104</v>
      </c>
      <c r="BA176" s="7" t="s">
        <v>197</v>
      </c>
      <c r="BB176" s="7" t="s">
        <v>356</v>
      </c>
      <c r="BC176" s="7" t="s">
        <v>199</v>
      </c>
      <c r="BD176" s="7" t="s">
        <v>199</v>
      </c>
      <c r="BF176" s="7" t="s">
        <v>203</v>
      </c>
      <c r="BG176" s="7">
        <v>20115</v>
      </c>
      <c r="BH176" s="7" t="s">
        <v>358</v>
      </c>
      <c r="BO176" s="7">
        <v>9</v>
      </c>
      <c r="BR176" s="7" t="s">
        <v>104</v>
      </c>
      <c r="BS176" s="7" t="s">
        <v>205</v>
      </c>
      <c r="BT176" s="7" t="s">
        <v>356</v>
      </c>
      <c r="BU176" s="7" t="s">
        <v>207</v>
      </c>
      <c r="BV176" s="7" t="s">
        <v>208</v>
      </c>
      <c r="BW176" s="7" t="s">
        <v>209</v>
      </c>
    </row>
    <row r="177" spans="1:75" s="7" customFormat="1" x14ac:dyDescent="0.35">
      <c r="A177" s="7" t="s">
        <v>960</v>
      </c>
      <c r="B177" s="8">
        <v>46005</v>
      </c>
      <c r="C177" s="9">
        <v>0.7884606481481482</v>
      </c>
      <c r="D177" s="7" t="s">
        <v>597</v>
      </c>
      <c r="E177" s="7" t="s">
        <v>598</v>
      </c>
      <c r="F177" s="11" t="s">
        <v>346</v>
      </c>
      <c r="G177" s="7">
        <f>COUNTIF($F$2:$F$278,F177)</f>
        <v>69</v>
      </c>
      <c r="H177" s="7" t="s">
        <v>347</v>
      </c>
      <c r="I177" s="7" t="s">
        <v>187</v>
      </c>
      <c r="J177" s="7" t="s">
        <v>83</v>
      </c>
      <c r="K177" s="7" t="s">
        <v>84</v>
      </c>
      <c r="M177" s="7" t="s">
        <v>85</v>
      </c>
      <c r="N177" s="7" t="s">
        <v>86</v>
      </c>
      <c r="O177" s="7" t="s">
        <v>84</v>
      </c>
      <c r="P177" s="7" t="s">
        <v>88</v>
      </c>
      <c r="Q177" s="7" t="s">
        <v>604</v>
      </c>
      <c r="R177" s="7" t="s">
        <v>605</v>
      </c>
      <c r="S177" s="7" t="s">
        <v>606</v>
      </c>
      <c r="T177" s="7" t="s">
        <v>607</v>
      </c>
      <c r="U177" s="7" t="s">
        <v>93</v>
      </c>
      <c r="V177" s="7" t="s">
        <v>22</v>
      </c>
      <c r="W177" s="7" t="s">
        <v>599</v>
      </c>
      <c r="X177" s="7" t="s">
        <v>131</v>
      </c>
      <c r="Y177" s="7" t="s">
        <v>132</v>
      </c>
      <c r="Z177" s="7" t="s">
        <v>419</v>
      </c>
      <c r="AA177" s="7" t="b">
        <v>0</v>
      </c>
      <c r="AB177" s="7" t="b">
        <v>0</v>
      </c>
      <c r="AC177" s="7" t="s">
        <v>525</v>
      </c>
      <c r="AD177" s="7">
        <v>68</v>
      </c>
      <c r="AE177" s="7" t="s">
        <v>153</v>
      </c>
      <c r="AI177" s="7" t="s">
        <v>859</v>
      </c>
      <c r="AJ177" s="7" t="s">
        <v>100</v>
      </c>
      <c r="AK177" s="7" t="s">
        <v>961</v>
      </c>
      <c r="AL177" s="7" t="s">
        <v>100</v>
      </c>
      <c r="AM177" s="7" t="s">
        <v>100</v>
      </c>
      <c r="AN177" s="7" t="s">
        <v>102</v>
      </c>
      <c r="AP177" s="7" t="s">
        <v>962</v>
      </c>
      <c r="AQ177" s="7" t="s">
        <v>104</v>
      </c>
      <c r="AR177" s="7" t="s">
        <v>197</v>
      </c>
      <c r="AS177" s="7" t="s">
        <v>356</v>
      </c>
      <c r="AT177" s="7" t="s">
        <v>199</v>
      </c>
      <c r="AU177" s="7" t="s">
        <v>199</v>
      </c>
      <c r="AX177" s="7" t="s">
        <v>200</v>
      </c>
      <c r="AY177" s="7" t="s">
        <v>357</v>
      </c>
      <c r="AZ177" s="7" t="s">
        <v>104</v>
      </c>
      <c r="BA177" s="7" t="s">
        <v>197</v>
      </c>
      <c r="BB177" s="7" t="s">
        <v>356</v>
      </c>
      <c r="BC177" s="7" t="s">
        <v>199</v>
      </c>
      <c r="BD177" s="7" t="s">
        <v>199</v>
      </c>
      <c r="BF177" s="7" t="s">
        <v>203</v>
      </c>
      <c r="BG177" s="7">
        <v>20115</v>
      </c>
      <c r="BH177" s="7" t="s">
        <v>358</v>
      </c>
      <c r="BO177" s="7">
        <v>9</v>
      </c>
      <c r="BR177" s="7" t="s">
        <v>104</v>
      </c>
      <c r="BS177" s="7" t="s">
        <v>205</v>
      </c>
      <c r="BT177" s="7" t="s">
        <v>356</v>
      </c>
      <c r="BU177" s="7" t="s">
        <v>207</v>
      </c>
      <c r="BV177" s="7" t="s">
        <v>208</v>
      </c>
      <c r="BW177" s="7" t="s">
        <v>209</v>
      </c>
    </row>
    <row r="178" spans="1:75" s="7" customFormat="1" x14ac:dyDescent="0.35">
      <c r="A178" s="7" t="s">
        <v>963</v>
      </c>
      <c r="B178" s="8">
        <v>46005</v>
      </c>
      <c r="C178" s="9">
        <v>0.78840277777777779</v>
      </c>
      <c r="D178" s="7" t="s">
        <v>597</v>
      </c>
      <c r="E178" s="7" t="s">
        <v>598</v>
      </c>
      <c r="F178" s="11" t="s">
        <v>346</v>
      </c>
      <c r="G178" s="7">
        <f>COUNTIF($F$2:$F$278,F178)</f>
        <v>69</v>
      </c>
      <c r="H178" s="7" t="s">
        <v>347</v>
      </c>
      <c r="I178" s="7" t="s">
        <v>187</v>
      </c>
      <c r="J178" s="7" t="s">
        <v>83</v>
      </c>
      <c r="K178" s="7" t="s">
        <v>84</v>
      </c>
      <c r="M178" s="7" t="s">
        <v>85</v>
      </c>
      <c r="N178" s="7" t="s">
        <v>86</v>
      </c>
      <c r="O178" s="7" t="s">
        <v>84</v>
      </c>
      <c r="P178" s="7" t="s">
        <v>88</v>
      </c>
      <c r="Q178" s="7" t="s">
        <v>150</v>
      </c>
      <c r="R178" s="7" t="s">
        <v>151</v>
      </c>
      <c r="S178" s="7" t="s">
        <v>150</v>
      </c>
      <c r="T178" s="7" t="s">
        <v>151</v>
      </c>
      <c r="U178" s="7" t="s">
        <v>93</v>
      </c>
      <c r="V178" s="7" t="s">
        <v>22</v>
      </c>
      <c r="W178" s="7" t="s">
        <v>599</v>
      </c>
      <c r="X178" s="7" t="s">
        <v>131</v>
      </c>
      <c r="Y178" s="7" t="s">
        <v>132</v>
      </c>
      <c r="Z178" s="7" t="s">
        <v>304</v>
      </c>
      <c r="AA178" s="7" t="b">
        <v>0</v>
      </c>
      <c r="AB178" s="7" t="b">
        <v>0</v>
      </c>
      <c r="AC178" s="7" t="s">
        <v>525</v>
      </c>
      <c r="AD178" s="7">
        <v>103</v>
      </c>
      <c r="AE178" s="7" t="s">
        <v>153</v>
      </c>
      <c r="AI178" s="7" t="s">
        <v>859</v>
      </c>
      <c r="AJ178" s="7" t="s">
        <v>100</v>
      </c>
      <c r="AK178" s="7" t="s">
        <v>964</v>
      </c>
      <c r="AL178" s="7" t="s">
        <v>100</v>
      </c>
      <c r="AM178" s="7" t="s">
        <v>100</v>
      </c>
      <c r="AN178" s="7" t="s">
        <v>102</v>
      </c>
      <c r="AP178" s="7" t="s">
        <v>965</v>
      </c>
      <c r="AQ178" s="7" t="s">
        <v>104</v>
      </c>
      <c r="AR178" s="7" t="s">
        <v>197</v>
      </c>
      <c r="AS178" s="7" t="s">
        <v>356</v>
      </c>
      <c r="AT178" s="7" t="s">
        <v>199</v>
      </c>
      <c r="AU178" s="7" t="s">
        <v>199</v>
      </c>
      <c r="AX178" s="7" t="s">
        <v>200</v>
      </c>
      <c r="AY178" s="7" t="s">
        <v>357</v>
      </c>
      <c r="AZ178" s="7" t="s">
        <v>104</v>
      </c>
      <c r="BA178" s="7" t="s">
        <v>197</v>
      </c>
      <c r="BB178" s="7" t="s">
        <v>356</v>
      </c>
      <c r="BC178" s="7" t="s">
        <v>199</v>
      </c>
      <c r="BD178" s="7" t="s">
        <v>199</v>
      </c>
      <c r="BF178" s="7" t="s">
        <v>203</v>
      </c>
      <c r="BG178" s="7">
        <v>20115</v>
      </c>
      <c r="BH178" s="7" t="s">
        <v>358</v>
      </c>
      <c r="BO178" s="7">
        <v>9</v>
      </c>
      <c r="BR178" s="7" t="s">
        <v>104</v>
      </c>
      <c r="BS178" s="7" t="s">
        <v>205</v>
      </c>
      <c r="BT178" s="7" t="s">
        <v>356</v>
      </c>
      <c r="BU178" s="7" t="s">
        <v>207</v>
      </c>
      <c r="BV178" s="7" t="s">
        <v>208</v>
      </c>
      <c r="BW178" s="7" t="s">
        <v>209</v>
      </c>
    </row>
    <row r="179" spans="1:75" s="7" customFormat="1" x14ac:dyDescent="0.35">
      <c r="A179" s="7" t="s">
        <v>966</v>
      </c>
      <c r="B179" s="8">
        <v>46005</v>
      </c>
      <c r="C179" s="9">
        <v>0.78493055555555558</v>
      </c>
      <c r="D179" s="7" t="s">
        <v>597</v>
      </c>
      <c r="E179" s="7" t="s">
        <v>598</v>
      </c>
      <c r="F179" s="11" t="s">
        <v>346</v>
      </c>
      <c r="G179" s="7">
        <f>COUNTIF($F$2:$F$278,F179)</f>
        <v>69</v>
      </c>
      <c r="H179" s="7" t="s">
        <v>347</v>
      </c>
      <c r="I179" s="7" t="s">
        <v>187</v>
      </c>
      <c r="J179" s="7" t="s">
        <v>83</v>
      </c>
      <c r="K179" s="7" t="s">
        <v>84</v>
      </c>
      <c r="M179" s="7" t="s">
        <v>85</v>
      </c>
      <c r="N179" s="7" t="s">
        <v>86</v>
      </c>
      <c r="O179" s="7" t="s">
        <v>84</v>
      </c>
      <c r="P179" s="7" t="s">
        <v>88</v>
      </c>
      <c r="Q179" s="7" t="s">
        <v>417</v>
      </c>
      <c r="R179" s="7" t="s">
        <v>418</v>
      </c>
      <c r="S179" s="7" t="s">
        <v>224</v>
      </c>
      <c r="T179" s="7" t="s">
        <v>225</v>
      </c>
      <c r="U179" s="7" t="s">
        <v>93</v>
      </c>
      <c r="V179" s="7" t="s">
        <v>22</v>
      </c>
      <c r="W179" s="7" t="s">
        <v>599</v>
      </c>
      <c r="X179" s="7" t="s">
        <v>131</v>
      </c>
      <c r="Y179" s="7" t="s">
        <v>132</v>
      </c>
      <c r="Z179" s="7" t="s">
        <v>419</v>
      </c>
      <c r="AA179" s="7" t="b">
        <v>0</v>
      </c>
      <c r="AB179" s="7" t="b">
        <v>0</v>
      </c>
      <c r="AC179" s="7" t="s">
        <v>525</v>
      </c>
      <c r="AD179" s="7">
        <v>199</v>
      </c>
      <c r="AE179" s="7" t="s">
        <v>153</v>
      </c>
      <c r="AI179" s="7" t="s">
        <v>859</v>
      </c>
      <c r="AJ179" s="7" t="s">
        <v>100</v>
      </c>
      <c r="AK179" s="7" t="s">
        <v>967</v>
      </c>
      <c r="AL179" s="7" t="s">
        <v>100</v>
      </c>
      <c r="AM179" s="7" t="s">
        <v>100</v>
      </c>
      <c r="AN179" s="7" t="s">
        <v>102</v>
      </c>
      <c r="AP179" s="7" t="s">
        <v>968</v>
      </c>
      <c r="AQ179" s="7" t="s">
        <v>104</v>
      </c>
      <c r="AR179" s="7" t="s">
        <v>197</v>
      </c>
      <c r="AS179" s="7" t="s">
        <v>356</v>
      </c>
      <c r="AT179" s="7" t="s">
        <v>199</v>
      </c>
      <c r="AU179" s="7" t="s">
        <v>199</v>
      </c>
      <c r="AX179" s="7" t="s">
        <v>200</v>
      </c>
      <c r="AY179" s="7" t="s">
        <v>357</v>
      </c>
      <c r="AZ179" s="7" t="s">
        <v>104</v>
      </c>
      <c r="BA179" s="7" t="s">
        <v>197</v>
      </c>
      <c r="BB179" s="7" t="s">
        <v>356</v>
      </c>
      <c r="BC179" s="7" t="s">
        <v>199</v>
      </c>
      <c r="BD179" s="7" t="s">
        <v>199</v>
      </c>
      <c r="BF179" s="7" t="s">
        <v>203</v>
      </c>
      <c r="BG179" s="7">
        <v>20115</v>
      </c>
      <c r="BH179" s="7" t="s">
        <v>358</v>
      </c>
      <c r="BO179" s="7">
        <v>9</v>
      </c>
      <c r="BR179" s="7" t="s">
        <v>104</v>
      </c>
      <c r="BS179" s="7" t="s">
        <v>205</v>
      </c>
      <c r="BT179" s="7" t="s">
        <v>356</v>
      </c>
      <c r="BU179" s="7" t="s">
        <v>207</v>
      </c>
      <c r="BV179" s="7" t="s">
        <v>208</v>
      </c>
      <c r="BW179" s="7" t="s">
        <v>209</v>
      </c>
    </row>
    <row r="180" spans="1:75" s="7" customFormat="1" x14ac:dyDescent="0.35">
      <c r="A180" s="7" t="s">
        <v>969</v>
      </c>
      <c r="B180" s="8">
        <v>46005</v>
      </c>
      <c r="C180" s="9">
        <v>0.78486111111111112</v>
      </c>
      <c r="D180" s="7" t="s">
        <v>597</v>
      </c>
      <c r="E180" s="7" t="s">
        <v>598</v>
      </c>
      <c r="F180" s="11" t="s">
        <v>346</v>
      </c>
      <c r="G180" s="7">
        <f>COUNTIF($F$2:$F$278,F180)</f>
        <v>69</v>
      </c>
      <c r="H180" s="7" t="s">
        <v>347</v>
      </c>
      <c r="I180" s="7" t="s">
        <v>187</v>
      </c>
      <c r="J180" s="7" t="s">
        <v>83</v>
      </c>
      <c r="K180" s="7" t="s">
        <v>84</v>
      </c>
      <c r="M180" s="7" t="s">
        <v>85</v>
      </c>
      <c r="N180" s="7" t="s">
        <v>86</v>
      </c>
      <c r="O180" s="7" t="s">
        <v>84</v>
      </c>
      <c r="P180" s="7" t="s">
        <v>88</v>
      </c>
      <c r="Q180" s="7" t="s">
        <v>604</v>
      </c>
      <c r="R180" s="7" t="s">
        <v>605</v>
      </c>
      <c r="S180" s="7" t="s">
        <v>606</v>
      </c>
      <c r="T180" s="7" t="s">
        <v>607</v>
      </c>
      <c r="U180" s="7" t="s">
        <v>93</v>
      </c>
      <c r="V180" s="7" t="s">
        <v>22</v>
      </c>
      <c r="W180" s="7" t="s">
        <v>599</v>
      </c>
      <c r="X180" s="7" t="s">
        <v>131</v>
      </c>
      <c r="Y180" s="7" t="s">
        <v>132</v>
      </c>
      <c r="Z180" s="7" t="s">
        <v>419</v>
      </c>
      <c r="AA180" s="7" t="b">
        <v>0</v>
      </c>
      <c r="AB180" s="7" t="b">
        <v>0</v>
      </c>
      <c r="AC180" s="7" t="s">
        <v>525</v>
      </c>
      <c r="AD180" s="7">
        <v>79</v>
      </c>
      <c r="AE180" s="7" t="s">
        <v>153</v>
      </c>
      <c r="AI180" s="7" t="s">
        <v>859</v>
      </c>
      <c r="AJ180" s="7" t="s">
        <v>100</v>
      </c>
      <c r="AK180" s="7" t="s">
        <v>970</v>
      </c>
      <c r="AL180" s="7" t="s">
        <v>100</v>
      </c>
      <c r="AM180" s="7" t="s">
        <v>100</v>
      </c>
      <c r="AN180" s="7" t="s">
        <v>102</v>
      </c>
      <c r="AP180" s="7" t="s">
        <v>971</v>
      </c>
      <c r="AQ180" s="7" t="s">
        <v>104</v>
      </c>
      <c r="AR180" s="7" t="s">
        <v>197</v>
      </c>
      <c r="AS180" s="7" t="s">
        <v>356</v>
      </c>
      <c r="AT180" s="7" t="s">
        <v>199</v>
      </c>
      <c r="AU180" s="7" t="s">
        <v>199</v>
      </c>
      <c r="AX180" s="7" t="s">
        <v>200</v>
      </c>
      <c r="AY180" s="7" t="s">
        <v>357</v>
      </c>
      <c r="AZ180" s="7" t="s">
        <v>104</v>
      </c>
      <c r="BA180" s="7" t="s">
        <v>197</v>
      </c>
      <c r="BB180" s="7" t="s">
        <v>356</v>
      </c>
      <c r="BC180" s="7" t="s">
        <v>199</v>
      </c>
      <c r="BD180" s="7" t="s">
        <v>199</v>
      </c>
      <c r="BF180" s="7" t="s">
        <v>203</v>
      </c>
      <c r="BG180" s="7">
        <v>20115</v>
      </c>
      <c r="BH180" s="7" t="s">
        <v>358</v>
      </c>
      <c r="BO180" s="7">
        <v>9</v>
      </c>
      <c r="BR180" s="7" t="s">
        <v>104</v>
      </c>
      <c r="BS180" s="7" t="s">
        <v>205</v>
      </c>
      <c r="BT180" s="7" t="s">
        <v>356</v>
      </c>
      <c r="BU180" s="7" t="s">
        <v>207</v>
      </c>
      <c r="BV180" s="7" t="s">
        <v>208</v>
      </c>
      <c r="BW180" s="7" t="s">
        <v>209</v>
      </c>
    </row>
    <row r="181" spans="1:75" s="7" customFormat="1" x14ac:dyDescent="0.35">
      <c r="A181" s="7" t="s">
        <v>972</v>
      </c>
      <c r="B181" s="8">
        <v>46005</v>
      </c>
      <c r="C181" s="9">
        <v>0.78475694444444455</v>
      </c>
      <c r="D181" s="7" t="s">
        <v>597</v>
      </c>
      <c r="E181" s="7" t="s">
        <v>598</v>
      </c>
      <c r="F181" s="11" t="s">
        <v>346</v>
      </c>
      <c r="G181" s="7">
        <f>COUNTIF($F$2:$F$278,F181)</f>
        <v>69</v>
      </c>
      <c r="H181" s="7" t="s">
        <v>347</v>
      </c>
      <c r="I181" s="7" t="s">
        <v>187</v>
      </c>
      <c r="J181" s="7" t="s">
        <v>83</v>
      </c>
      <c r="K181" s="7" t="s">
        <v>84</v>
      </c>
      <c r="M181" s="7" t="s">
        <v>85</v>
      </c>
      <c r="N181" s="7" t="s">
        <v>86</v>
      </c>
      <c r="O181" s="7" t="s">
        <v>84</v>
      </c>
      <c r="P181" s="7" t="s">
        <v>88</v>
      </c>
      <c r="Q181" s="7" t="s">
        <v>150</v>
      </c>
      <c r="R181" s="7" t="s">
        <v>151</v>
      </c>
      <c r="S181" s="7" t="s">
        <v>150</v>
      </c>
      <c r="T181" s="7" t="s">
        <v>151</v>
      </c>
      <c r="U181" s="7" t="s">
        <v>93</v>
      </c>
      <c r="V181" s="7" t="s">
        <v>22</v>
      </c>
      <c r="W181" s="7" t="s">
        <v>599</v>
      </c>
      <c r="X181" s="7" t="s">
        <v>131</v>
      </c>
      <c r="Y181" s="7" t="s">
        <v>132</v>
      </c>
      <c r="Z181" s="7" t="s">
        <v>304</v>
      </c>
      <c r="AA181" s="7" t="b">
        <v>0</v>
      </c>
      <c r="AB181" s="7" t="b">
        <v>0</v>
      </c>
      <c r="AC181" s="7" t="s">
        <v>525</v>
      </c>
      <c r="AD181" s="7">
        <v>132</v>
      </c>
      <c r="AE181" s="7" t="s">
        <v>153</v>
      </c>
      <c r="AI181" s="7" t="s">
        <v>859</v>
      </c>
      <c r="AJ181" s="7" t="s">
        <v>100</v>
      </c>
      <c r="AK181" s="7" t="s">
        <v>973</v>
      </c>
      <c r="AL181" s="7" t="s">
        <v>100</v>
      </c>
      <c r="AM181" s="7" t="s">
        <v>100</v>
      </c>
      <c r="AN181" s="7" t="s">
        <v>102</v>
      </c>
      <c r="AP181" s="7" t="s">
        <v>974</v>
      </c>
      <c r="AQ181" s="7" t="s">
        <v>104</v>
      </c>
      <c r="AR181" s="7" t="s">
        <v>197</v>
      </c>
      <c r="AS181" s="7" t="s">
        <v>356</v>
      </c>
      <c r="AT181" s="7" t="s">
        <v>199</v>
      </c>
      <c r="AU181" s="7" t="s">
        <v>199</v>
      </c>
      <c r="AX181" s="7" t="s">
        <v>200</v>
      </c>
      <c r="AY181" s="7" t="s">
        <v>357</v>
      </c>
      <c r="AZ181" s="7" t="s">
        <v>104</v>
      </c>
      <c r="BA181" s="7" t="s">
        <v>197</v>
      </c>
      <c r="BB181" s="7" t="s">
        <v>356</v>
      </c>
      <c r="BC181" s="7" t="s">
        <v>199</v>
      </c>
      <c r="BD181" s="7" t="s">
        <v>199</v>
      </c>
      <c r="BF181" s="7" t="s">
        <v>203</v>
      </c>
      <c r="BG181" s="7">
        <v>20115</v>
      </c>
      <c r="BH181" s="7" t="s">
        <v>358</v>
      </c>
      <c r="BO181" s="7">
        <v>9</v>
      </c>
      <c r="BR181" s="7" t="s">
        <v>104</v>
      </c>
      <c r="BS181" s="7" t="s">
        <v>205</v>
      </c>
      <c r="BT181" s="7" t="s">
        <v>356</v>
      </c>
      <c r="BU181" s="7" t="s">
        <v>207</v>
      </c>
      <c r="BV181" s="7" t="s">
        <v>208</v>
      </c>
      <c r="BW181" s="7" t="s">
        <v>209</v>
      </c>
    </row>
    <row r="182" spans="1:75" s="7" customFormat="1" x14ac:dyDescent="0.35">
      <c r="A182" s="7" t="s">
        <v>975</v>
      </c>
      <c r="B182" s="8">
        <v>46005</v>
      </c>
      <c r="C182" s="9">
        <v>0.7847453703703704</v>
      </c>
      <c r="D182" s="7" t="s">
        <v>597</v>
      </c>
      <c r="E182" s="7" t="s">
        <v>598</v>
      </c>
      <c r="F182" s="11" t="s">
        <v>346</v>
      </c>
      <c r="G182" s="7">
        <f>COUNTIF($F$2:$F$278,F182)</f>
        <v>69</v>
      </c>
      <c r="H182" s="7" t="s">
        <v>347</v>
      </c>
      <c r="I182" s="7" t="s">
        <v>187</v>
      </c>
      <c r="J182" s="7" t="s">
        <v>83</v>
      </c>
      <c r="K182" s="7" t="s">
        <v>84</v>
      </c>
      <c r="M182" s="7" t="s">
        <v>85</v>
      </c>
      <c r="N182" s="7" t="s">
        <v>86</v>
      </c>
      <c r="O182" s="7" t="s">
        <v>84</v>
      </c>
      <c r="P182" s="7" t="s">
        <v>88</v>
      </c>
      <c r="Q182" s="7" t="s">
        <v>150</v>
      </c>
      <c r="R182" s="7" t="s">
        <v>151</v>
      </c>
      <c r="S182" s="7" t="s">
        <v>150</v>
      </c>
      <c r="T182" s="7" t="s">
        <v>151</v>
      </c>
      <c r="U182" s="7" t="s">
        <v>93</v>
      </c>
      <c r="V182" s="7" t="s">
        <v>22</v>
      </c>
      <c r="W182" s="7" t="s">
        <v>599</v>
      </c>
      <c r="X182" s="7" t="s">
        <v>131</v>
      </c>
      <c r="Y182" s="7" t="s">
        <v>132</v>
      </c>
      <c r="Z182" s="7" t="s">
        <v>304</v>
      </c>
      <c r="AA182" s="7" t="b">
        <v>0</v>
      </c>
      <c r="AB182" s="7" t="b">
        <v>0</v>
      </c>
      <c r="AC182" s="7" t="s">
        <v>525</v>
      </c>
      <c r="AD182" s="7">
        <v>200</v>
      </c>
      <c r="AE182" s="7" t="s">
        <v>153</v>
      </c>
      <c r="AI182" s="7" t="s">
        <v>859</v>
      </c>
      <c r="AJ182" s="7" t="s">
        <v>100</v>
      </c>
      <c r="AK182" s="7" t="s">
        <v>976</v>
      </c>
      <c r="AL182" s="7" t="s">
        <v>100</v>
      </c>
      <c r="AM182" s="7" t="s">
        <v>100</v>
      </c>
      <c r="AN182" s="7" t="s">
        <v>102</v>
      </c>
      <c r="AP182" s="7" t="s">
        <v>974</v>
      </c>
      <c r="AQ182" s="7" t="s">
        <v>104</v>
      </c>
      <c r="AR182" s="7" t="s">
        <v>197</v>
      </c>
      <c r="AS182" s="7" t="s">
        <v>356</v>
      </c>
      <c r="AT182" s="7" t="s">
        <v>199</v>
      </c>
      <c r="AU182" s="7" t="s">
        <v>199</v>
      </c>
      <c r="AX182" s="7" t="s">
        <v>200</v>
      </c>
      <c r="AY182" s="7" t="s">
        <v>357</v>
      </c>
      <c r="AZ182" s="7" t="s">
        <v>104</v>
      </c>
      <c r="BA182" s="7" t="s">
        <v>197</v>
      </c>
      <c r="BB182" s="7" t="s">
        <v>356</v>
      </c>
      <c r="BC182" s="7" t="s">
        <v>199</v>
      </c>
      <c r="BD182" s="7" t="s">
        <v>199</v>
      </c>
      <c r="BF182" s="7" t="s">
        <v>203</v>
      </c>
      <c r="BG182" s="7">
        <v>20115</v>
      </c>
      <c r="BH182" s="7" t="s">
        <v>358</v>
      </c>
      <c r="BO182" s="7">
        <v>9</v>
      </c>
      <c r="BR182" s="7" t="s">
        <v>104</v>
      </c>
      <c r="BS182" s="7" t="s">
        <v>205</v>
      </c>
      <c r="BT182" s="7" t="s">
        <v>356</v>
      </c>
      <c r="BU182" s="7" t="s">
        <v>207</v>
      </c>
      <c r="BV182" s="7" t="s">
        <v>208</v>
      </c>
      <c r="BW182" s="7" t="s">
        <v>209</v>
      </c>
    </row>
    <row r="183" spans="1:75" s="7" customFormat="1" x14ac:dyDescent="0.35">
      <c r="A183" s="7" t="s">
        <v>977</v>
      </c>
      <c r="B183" s="8">
        <v>46005</v>
      </c>
      <c r="C183" s="9">
        <v>0.76590277777777782</v>
      </c>
      <c r="D183" s="7" t="s">
        <v>597</v>
      </c>
      <c r="E183" s="7" t="s">
        <v>598</v>
      </c>
      <c r="F183" s="11" t="s">
        <v>346</v>
      </c>
      <c r="G183" s="7">
        <f>COUNTIF($F$2:$F$278,F183)</f>
        <v>69</v>
      </c>
      <c r="H183" s="7" t="s">
        <v>347</v>
      </c>
      <c r="I183" s="7" t="s">
        <v>187</v>
      </c>
      <c r="J183" s="7" t="s">
        <v>83</v>
      </c>
      <c r="K183" s="7" t="s">
        <v>119</v>
      </c>
      <c r="L183" s="7">
        <v>70044</v>
      </c>
      <c r="N183" s="7" t="s">
        <v>86</v>
      </c>
      <c r="O183" s="7" t="s">
        <v>87</v>
      </c>
      <c r="P183" s="7" t="s">
        <v>88</v>
      </c>
      <c r="Q183" s="7" t="s">
        <v>222</v>
      </c>
      <c r="R183" s="7" t="s">
        <v>223</v>
      </c>
      <c r="S183" s="7" t="s">
        <v>978</v>
      </c>
      <c r="T183" s="7" t="s">
        <v>979</v>
      </c>
      <c r="U183" s="7" t="s">
        <v>980</v>
      </c>
      <c r="V183" s="7" t="s">
        <v>981</v>
      </c>
      <c r="W183" s="7" t="s">
        <v>599</v>
      </c>
      <c r="X183" s="7" t="s">
        <v>575</v>
      </c>
      <c r="Y183" s="7" t="s">
        <v>132</v>
      </c>
      <c r="Z183" s="7" t="s">
        <v>576</v>
      </c>
      <c r="AA183" s="7" t="b">
        <v>0</v>
      </c>
      <c r="AB183" s="7" t="b">
        <v>0</v>
      </c>
      <c r="AC183" s="7" t="s">
        <v>525</v>
      </c>
      <c r="AD183" s="7">
        <v>622</v>
      </c>
      <c r="AI183" s="7" t="s">
        <v>859</v>
      </c>
      <c r="AJ183" s="7" t="s">
        <v>100</v>
      </c>
      <c r="AK183" s="7" t="s">
        <v>982</v>
      </c>
      <c r="AL183" s="7" t="s">
        <v>100</v>
      </c>
      <c r="AM183" s="7" t="s">
        <v>100</v>
      </c>
      <c r="AN183" s="7" t="s">
        <v>100</v>
      </c>
      <c r="AP183" s="7" t="s">
        <v>983</v>
      </c>
      <c r="AQ183" s="7" t="s">
        <v>104</v>
      </c>
      <c r="AR183" s="7" t="s">
        <v>197</v>
      </c>
      <c r="AS183" s="7" t="s">
        <v>356</v>
      </c>
      <c r="AT183" s="7" t="s">
        <v>199</v>
      </c>
      <c r="AU183" s="7" t="s">
        <v>199</v>
      </c>
      <c r="AX183" s="7" t="s">
        <v>200</v>
      </c>
      <c r="AY183" s="7" t="s">
        <v>357</v>
      </c>
      <c r="AZ183" s="7" t="s">
        <v>104</v>
      </c>
      <c r="BA183" s="7" t="s">
        <v>197</v>
      </c>
      <c r="BB183" s="7" t="s">
        <v>356</v>
      </c>
      <c r="BC183" s="7" t="s">
        <v>199</v>
      </c>
      <c r="BD183" s="7" t="s">
        <v>199</v>
      </c>
      <c r="BF183" s="7" t="s">
        <v>203</v>
      </c>
      <c r="BG183" s="7">
        <v>20115</v>
      </c>
      <c r="BH183" s="7" t="s">
        <v>358</v>
      </c>
      <c r="BO183" s="7">
        <v>9</v>
      </c>
      <c r="BR183" s="7" t="s">
        <v>104</v>
      </c>
      <c r="BS183" s="7" t="s">
        <v>205</v>
      </c>
      <c r="BT183" s="7" t="s">
        <v>356</v>
      </c>
      <c r="BU183" s="7" t="s">
        <v>207</v>
      </c>
      <c r="BV183" s="7" t="s">
        <v>208</v>
      </c>
      <c r="BW183" s="7" t="s">
        <v>209</v>
      </c>
    </row>
    <row r="184" spans="1:75" s="7" customFormat="1" x14ac:dyDescent="0.35">
      <c r="A184" s="7" t="s">
        <v>984</v>
      </c>
      <c r="B184" s="8">
        <v>46005</v>
      </c>
      <c r="C184" s="9">
        <v>0.75641203703703708</v>
      </c>
      <c r="D184" s="7" t="s">
        <v>183</v>
      </c>
      <c r="E184" s="7" t="s">
        <v>184</v>
      </c>
      <c r="F184" s="11" t="s">
        <v>985</v>
      </c>
      <c r="G184" s="7">
        <f>COUNTIF($F$2:$F$278,F184)</f>
        <v>10</v>
      </c>
      <c r="H184" s="7" t="s">
        <v>986</v>
      </c>
      <c r="I184" s="7" t="s">
        <v>987</v>
      </c>
      <c r="J184" s="7" t="s">
        <v>83</v>
      </c>
      <c r="K184" s="7" t="s">
        <v>84</v>
      </c>
      <c r="M184" s="7" t="s">
        <v>85</v>
      </c>
      <c r="N184" s="7" t="s">
        <v>86</v>
      </c>
      <c r="O184" s="7" t="s">
        <v>84</v>
      </c>
      <c r="P184" s="7" t="s">
        <v>100</v>
      </c>
      <c r="Q184" s="7" t="s">
        <v>325</v>
      </c>
      <c r="R184" s="7" t="s">
        <v>326</v>
      </c>
      <c r="S184" s="7" t="s">
        <v>314</v>
      </c>
      <c r="T184" s="7" t="s">
        <v>315</v>
      </c>
      <c r="U184" s="7" t="s">
        <v>93</v>
      </c>
      <c r="V184" s="7" t="s">
        <v>22</v>
      </c>
      <c r="X184" s="7" t="s">
        <v>192</v>
      </c>
      <c r="Y184" s="7" t="s">
        <v>132</v>
      </c>
      <c r="Z184" s="7" t="s">
        <v>193</v>
      </c>
      <c r="AA184" s="7" t="b">
        <v>0</v>
      </c>
      <c r="AB184" s="7" t="b">
        <v>0</v>
      </c>
      <c r="AD184" s="7">
        <v>79</v>
      </c>
      <c r="AE184" s="7" t="s">
        <v>153</v>
      </c>
      <c r="AI184" s="7" t="s">
        <v>988</v>
      </c>
      <c r="AJ184" s="7" t="s">
        <v>100</v>
      </c>
      <c r="AK184" s="7" t="s">
        <v>989</v>
      </c>
      <c r="AL184" s="7" t="s">
        <v>100</v>
      </c>
      <c r="AM184" s="7" t="s">
        <v>100</v>
      </c>
      <c r="AN184" s="7" t="s">
        <v>124</v>
      </c>
      <c r="AO184" s="7">
        <v>1002</v>
      </c>
      <c r="AP184" s="7" t="s">
        <v>990</v>
      </c>
      <c r="AQ184" s="7" t="s">
        <v>104</v>
      </c>
      <c r="AR184" s="7" t="s">
        <v>991</v>
      </c>
      <c r="AS184" s="7" t="s">
        <v>992</v>
      </c>
      <c r="AT184" s="7" t="s">
        <v>993</v>
      </c>
      <c r="AU184" s="7" t="s">
        <v>993</v>
      </c>
      <c r="AX184" s="7" t="s">
        <v>994</v>
      </c>
      <c r="AY184" s="7" t="s">
        <v>995</v>
      </c>
      <c r="AZ184" s="7" t="s">
        <v>104</v>
      </c>
      <c r="BA184" s="7" t="s">
        <v>991</v>
      </c>
      <c r="BB184" s="7" t="s">
        <v>996</v>
      </c>
      <c r="BC184" s="7" t="s">
        <v>993</v>
      </c>
      <c r="BD184" s="7" t="s">
        <v>997</v>
      </c>
      <c r="BF184" s="7" t="s">
        <v>998</v>
      </c>
      <c r="BG184" s="7">
        <v>7029</v>
      </c>
      <c r="BH184" s="7" t="s">
        <v>999</v>
      </c>
      <c r="BO184" s="7">
        <v>6</v>
      </c>
      <c r="BR184" s="7" t="s">
        <v>104</v>
      </c>
      <c r="BS184" s="7" t="s">
        <v>1000</v>
      </c>
      <c r="BT184" s="7" t="s">
        <v>996</v>
      </c>
      <c r="BU184" s="7" t="s">
        <v>993</v>
      </c>
      <c r="BV184" s="7" t="s">
        <v>993</v>
      </c>
      <c r="BW184" s="7" t="s">
        <v>209</v>
      </c>
    </row>
    <row r="185" spans="1:75" s="7" customFormat="1" x14ac:dyDescent="0.35">
      <c r="A185" s="7" t="s">
        <v>1001</v>
      </c>
      <c r="B185" s="8">
        <v>46005</v>
      </c>
      <c r="C185" s="9">
        <v>0.75638888888888889</v>
      </c>
      <c r="D185" s="7" t="s">
        <v>183</v>
      </c>
      <c r="E185" s="7" t="s">
        <v>184</v>
      </c>
      <c r="F185" s="11" t="s">
        <v>985</v>
      </c>
      <c r="G185" s="7">
        <f>COUNTIF($F$2:$F$278,F185)</f>
        <v>10</v>
      </c>
      <c r="H185" s="7" t="s">
        <v>986</v>
      </c>
      <c r="I185" s="7" t="s">
        <v>987</v>
      </c>
      <c r="J185" s="7" t="s">
        <v>83</v>
      </c>
      <c r="K185" s="7" t="s">
        <v>84</v>
      </c>
      <c r="M185" s="7" t="s">
        <v>85</v>
      </c>
      <c r="N185" s="7" t="s">
        <v>86</v>
      </c>
      <c r="O185" s="7" t="s">
        <v>84</v>
      </c>
      <c r="P185" s="7" t="s">
        <v>100</v>
      </c>
      <c r="Q185" s="7" t="s">
        <v>330</v>
      </c>
      <c r="R185" s="7" t="s">
        <v>331</v>
      </c>
      <c r="S185" s="7" t="s">
        <v>91</v>
      </c>
      <c r="T185" s="7" t="s">
        <v>92</v>
      </c>
      <c r="U185" s="7" t="s">
        <v>93</v>
      </c>
      <c r="V185" s="7" t="s">
        <v>22</v>
      </c>
      <c r="X185" s="7" t="s">
        <v>192</v>
      </c>
      <c r="Y185" s="7" t="s">
        <v>132</v>
      </c>
      <c r="Z185" s="7" t="s">
        <v>193</v>
      </c>
      <c r="AA185" s="7" t="b">
        <v>0</v>
      </c>
      <c r="AB185" s="7" t="b">
        <v>0</v>
      </c>
      <c r="AD185" s="7">
        <v>53</v>
      </c>
      <c r="AE185" s="7" t="s">
        <v>153</v>
      </c>
      <c r="AI185" s="7" t="s">
        <v>988</v>
      </c>
      <c r="AJ185" s="7" t="s">
        <v>100</v>
      </c>
      <c r="AK185" s="7" t="s">
        <v>1002</v>
      </c>
      <c r="AL185" s="7" t="s">
        <v>100</v>
      </c>
      <c r="AM185" s="7" t="s">
        <v>100</v>
      </c>
      <c r="AN185" s="7" t="s">
        <v>124</v>
      </c>
      <c r="AO185" s="7">
        <v>1002</v>
      </c>
      <c r="AP185" s="7" t="s">
        <v>1003</v>
      </c>
      <c r="AQ185" s="7" t="s">
        <v>104</v>
      </c>
      <c r="AR185" s="7" t="s">
        <v>991</v>
      </c>
      <c r="AS185" s="7" t="s">
        <v>992</v>
      </c>
      <c r="AT185" s="7" t="s">
        <v>993</v>
      </c>
      <c r="AU185" s="7" t="s">
        <v>993</v>
      </c>
      <c r="AX185" s="7" t="s">
        <v>994</v>
      </c>
      <c r="AY185" s="7" t="s">
        <v>995</v>
      </c>
      <c r="AZ185" s="7" t="s">
        <v>104</v>
      </c>
      <c r="BA185" s="7" t="s">
        <v>991</v>
      </c>
      <c r="BB185" s="7" t="s">
        <v>996</v>
      </c>
      <c r="BC185" s="7" t="s">
        <v>993</v>
      </c>
      <c r="BD185" s="7" t="s">
        <v>997</v>
      </c>
      <c r="BF185" s="7" t="s">
        <v>998</v>
      </c>
      <c r="BG185" s="7">
        <v>7029</v>
      </c>
      <c r="BH185" s="7" t="s">
        <v>999</v>
      </c>
      <c r="BO185" s="7">
        <v>6</v>
      </c>
      <c r="BR185" s="7" t="s">
        <v>104</v>
      </c>
      <c r="BS185" s="7" t="s">
        <v>1000</v>
      </c>
      <c r="BT185" s="7" t="s">
        <v>996</v>
      </c>
      <c r="BU185" s="7" t="s">
        <v>993</v>
      </c>
      <c r="BV185" s="7" t="s">
        <v>993</v>
      </c>
      <c r="BW185" s="7" t="s">
        <v>209</v>
      </c>
    </row>
    <row r="186" spans="1:75" s="7" customFormat="1" x14ac:dyDescent="0.35">
      <c r="A186" s="7" t="s">
        <v>1004</v>
      </c>
      <c r="B186" s="8">
        <v>46005</v>
      </c>
      <c r="C186" s="9">
        <v>0.75630787037037039</v>
      </c>
      <c r="D186" s="7" t="s">
        <v>183</v>
      </c>
      <c r="E186" s="7" t="s">
        <v>184</v>
      </c>
      <c r="F186" s="11" t="s">
        <v>985</v>
      </c>
      <c r="G186" s="7">
        <f>COUNTIF($F$2:$F$278,F186)</f>
        <v>10</v>
      </c>
      <c r="H186" s="7" t="s">
        <v>986</v>
      </c>
      <c r="I186" s="7" t="s">
        <v>987</v>
      </c>
      <c r="J186" s="7" t="s">
        <v>83</v>
      </c>
      <c r="K186" s="7" t="s">
        <v>84</v>
      </c>
      <c r="M186" s="7" t="s">
        <v>85</v>
      </c>
      <c r="N186" s="7" t="s">
        <v>86</v>
      </c>
      <c r="O186" s="7" t="s">
        <v>84</v>
      </c>
      <c r="P186" s="7" t="s">
        <v>100</v>
      </c>
      <c r="Q186" s="7" t="s">
        <v>150</v>
      </c>
      <c r="R186" s="7" t="s">
        <v>151</v>
      </c>
      <c r="S186" s="7" t="s">
        <v>150</v>
      </c>
      <c r="T186" s="7" t="s">
        <v>151</v>
      </c>
      <c r="U186" s="7" t="s">
        <v>93</v>
      </c>
      <c r="V186" s="7" t="s">
        <v>22</v>
      </c>
      <c r="X186" s="7" t="s">
        <v>192</v>
      </c>
      <c r="Y186" s="7" t="s">
        <v>132</v>
      </c>
      <c r="Z186" s="7" t="s">
        <v>193</v>
      </c>
      <c r="AA186" s="7" t="b">
        <v>0</v>
      </c>
      <c r="AB186" s="7" t="b">
        <v>0</v>
      </c>
      <c r="AD186" s="7">
        <v>126</v>
      </c>
      <c r="AE186" s="7" t="s">
        <v>153</v>
      </c>
      <c r="AI186" s="7" t="s">
        <v>988</v>
      </c>
      <c r="AJ186" s="7" t="s">
        <v>100</v>
      </c>
      <c r="AK186" s="7" t="s">
        <v>1005</v>
      </c>
      <c r="AL186" s="7" t="s">
        <v>100</v>
      </c>
      <c r="AM186" s="7" t="s">
        <v>100</v>
      </c>
      <c r="AN186" s="7" t="s">
        <v>124</v>
      </c>
      <c r="AO186" s="7">
        <v>1002</v>
      </c>
      <c r="AP186" s="7" t="s">
        <v>1006</v>
      </c>
      <c r="AQ186" s="7" t="s">
        <v>104</v>
      </c>
      <c r="AR186" s="7" t="s">
        <v>991</v>
      </c>
      <c r="AS186" s="7" t="s">
        <v>992</v>
      </c>
      <c r="AT186" s="7" t="s">
        <v>993</v>
      </c>
      <c r="AU186" s="7" t="s">
        <v>993</v>
      </c>
      <c r="AX186" s="7" t="s">
        <v>994</v>
      </c>
      <c r="AY186" s="7" t="s">
        <v>995</v>
      </c>
      <c r="AZ186" s="7" t="s">
        <v>104</v>
      </c>
      <c r="BA186" s="7" t="s">
        <v>991</v>
      </c>
      <c r="BB186" s="7" t="s">
        <v>996</v>
      </c>
      <c r="BC186" s="7" t="s">
        <v>993</v>
      </c>
      <c r="BD186" s="7" t="s">
        <v>997</v>
      </c>
      <c r="BF186" s="7" t="s">
        <v>998</v>
      </c>
      <c r="BG186" s="7">
        <v>7029</v>
      </c>
      <c r="BH186" s="7" t="s">
        <v>999</v>
      </c>
      <c r="BO186" s="7">
        <v>6</v>
      </c>
      <c r="BR186" s="7" t="s">
        <v>104</v>
      </c>
      <c r="BS186" s="7" t="s">
        <v>1000</v>
      </c>
      <c r="BT186" s="7" t="s">
        <v>996</v>
      </c>
      <c r="BU186" s="7" t="s">
        <v>993</v>
      </c>
      <c r="BV186" s="7" t="s">
        <v>993</v>
      </c>
      <c r="BW186" s="7" t="s">
        <v>209</v>
      </c>
    </row>
    <row r="187" spans="1:75" s="7" customFormat="1" x14ac:dyDescent="0.35">
      <c r="A187" s="7" t="s">
        <v>1007</v>
      </c>
      <c r="B187" s="8">
        <v>46005</v>
      </c>
      <c r="C187" s="9">
        <v>0.75628472222222232</v>
      </c>
      <c r="D187" s="7" t="s">
        <v>183</v>
      </c>
      <c r="E187" s="7" t="s">
        <v>184</v>
      </c>
      <c r="F187" s="11" t="s">
        <v>985</v>
      </c>
      <c r="G187" s="7">
        <f>COUNTIF($F$2:$F$278,F187)</f>
        <v>10</v>
      </c>
      <c r="H187" s="7" t="s">
        <v>986</v>
      </c>
      <c r="I187" s="7" t="s">
        <v>987</v>
      </c>
      <c r="J187" s="7" t="s">
        <v>83</v>
      </c>
      <c r="K187" s="7" t="s">
        <v>84</v>
      </c>
      <c r="M187" s="7" t="s">
        <v>85</v>
      </c>
      <c r="N187" s="7" t="s">
        <v>86</v>
      </c>
      <c r="O187" s="7" t="s">
        <v>84</v>
      </c>
      <c r="P187" s="7" t="s">
        <v>100</v>
      </c>
      <c r="Q187" s="7" t="s">
        <v>150</v>
      </c>
      <c r="R187" s="7" t="s">
        <v>151</v>
      </c>
      <c r="S187" s="7" t="s">
        <v>150</v>
      </c>
      <c r="T187" s="7" t="s">
        <v>151</v>
      </c>
      <c r="U187" s="7" t="s">
        <v>93</v>
      </c>
      <c r="V187" s="7" t="s">
        <v>22</v>
      </c>
      <c r="X187" s="7" t="s">
        <v>192</v>
      </c>
      <c r="Y187" s="7" t="s">
        <v>132</v>
      </c>
      <c r="Z187" s="7" t="s">
        <v>193</v>
      </c>
      <c r="AA187" s="7" t="b">
        <v>0</v>
      </c>
      <c r="AB187" s="7" t="b">
        <v>0</v>
      </c>
      <c r="AD187" s="7">
        <v>106</v>
      </c>
      <c r="AE187" s="7" t="s">
        <v>134</v>
      </c>
      <c r="AH187" s="7" t="s">
        <v>184</v>
      </c>
      <c r="AI187" s="7" t="s">
        <v>988</v>
      </c>
      <c r="AJ187" s="7" t="s">
        <v>100</v>
      </c>
      <c r="AK187" s="7" t="s">
        <v>1008</v>
      </c>
      <c r="AL187" s="7" t="s">
        <v>100</v>
      </c>
      <c r="AM187" s="7" t="s">
        <v>100</v>
      </c>
      <c r="AN187" s="7" t="s">
        <v>124</v>
      </c>
      <c r="AO187" s="7">
        <v>1002</v>
      </c>
      <c r="AP187" s="7" t="s">
        <v>1006</v>
      </c>
      <c r="AQ187" s="7" t="s">
        <v>104</v>
      </c>
      <c r="AR187" s="7" t="s">
        <v>991</v>
      </c>
      <c r="AS187" s="7" t="s">
        <v>992</v>
      </c>
      <c r="AT187" s="7" t="s">
        <v>993</v>
      </c>
      <c r="AU187" s="7" t="s">
        <v>993</v>
      </c>
      <c r="AX187" s="7" t="s">
        <v>994</v>
      </c>
      <c r="AY187" s="7" t="s">
        <v>995</v>
      </c>
      <c r="AZ187" s="7" t="s">
        <v>104</v>
      </c>
      <c r="BA187" s="7" t="s">
        <v>991</v>
      </c>
      <c r="BB187" s="7" t="s">
        <v>996</v>
      </c>
      <c r="BC187" s="7" t="s">
        <v>993</v>
      </c>
      <c r="BD187" s="7" t="s">
        <v>997</v>
      </c>
      <c r="BF187" s="7" t="s">
        <v>998</v>
      </c>
      <c r="BG187" s="7">
        <v>7029</v>
      </c>
      <c r="BH187" s="7" t="s">
        <v>999</v>
      </c>
      <c r="BO187" s="7">
        <v>6</v>
      </c>
      <c r="BR187" s="7" t="s">
        <v>104</v>
      </c>
      <c r="BS187" s="7" t="s">
        <v>1000</v>
      </c>
      <c r="BT187" s="7" t="s">
        <v>996</v>
      </c>
      <c r="BU187" s="7" t="s">
        <v>993</v>
      </c>
      <c r="BV187" s="7" t="s">
        <v>993</v>
      </c>
      <c r="BW187" s="7" t="s">
        <v>209</v>
      </c>
    </row>
    <row r="188" spans="1:75" s="7" customFormat="1" x14ac:dyDescent="0.35">
      <c r="A188" s="7" t="s">
        <v>1009</v>
      </c>
      <c r="B188" s="8">
        <v>46005</v>
      </c>
      <c r="C188" s="9">
        <v>0.75626157407407402</v>
      </c>
      <c r="D188" s="7" t="s">
        <v>183</v>
      </c>
      <c r="E188" s="7" t="s">
        <v>184</v>
      </c>
      <c r="F188" s="11" t="s">
        <v>985</v>
      </c>
      <c r="G188" s="7">
        <f>COUNTIF($F$2:$F$278,F188)</f>
        <v>10</v>
      </c>
      <c r="H188" s="7" t="s">
        <v>986</v>
      </c>
      <c r="I188" s="7" t="s">
        <v>987</v>
      </c>
      <c r="J188" s="7" t="s">
        <v>83</v>
      </c>
      <c r="K188" s="7" t="s">
        <v>143</v>
      </c>
      <c r="L188" s="7">
        <v>50140</v>
      </c>
      <c r="M188" s="7" t="s">
        <v>85</v>
      </c>
      <c r="N188" s="7" t="s">
        <v>86</v>
      </c>
      <c r="O188" s="7" t="s">
        <v>84</v>
      </c>
      <c r="P188" s="7" t="s">
        <v>100</v>
      </c>
      <c r="Q188" s="7" t="s">
        <v>150</v>
      </c>
      <c r="R188" s="7" t="s">
        <v>151</v>
      </c>
      <c r="S188" s="7" t="s">
        <v>150</v>
      </c>
      <c r="T188" s="7" t="s">
        <v>151</v>
      </c>
      <c r="U188" s="7" t="s">
        <v>144</v>
      </c>
      <c r="V188" s="7" t="s">
        <v>22</v>
      </c>
      <c r="X188" s="7" t="s">
        <v>192</v>
      </c>
      <c r="Y188" s="7" t="s">
        <v>132</v>
      </c>
      <c r="Z188" s="7" t="s">
        <v>193</v>
      </c>
      <c r="AA188" s="7" t="b">
        <v>0</v>
      </c>
      <c r="AB188" s="7" t="b">
        <v>0</v>
      </c>
      <c r="AD188" s="7">
        <v>71</v>
      </c>
      <c r="AE188" s="7" t="s">
        <v>145</v>
      </c>
      <c r="AF188" s="7" t="s">
        <v>215</v>
      </c>
      <c r="AG188" s="7" t="s">
        <v>216</v>
      </c>
      <c r="AH188" s="7" t="s">
        <v>184</v>
      </c>
      <c r="AI188" s="7" t="s">
        <v>988</v>
      </c>
      <c r="AJ188" s="7" t="s">
        <v>100</v>
      </c>
      <c r="AK188" s="7" t="s">
        <v>1010</v>
      </c>
      <c r="AL188" s="7" t="s">
        <v>100</v>
      </c>
      <c r="AM188" s="7" t="s">
        <v>100</v>
      </c>
      <c r="AN188" s="7" t="s">
        <v>124</v>
      </c>
      <c r="AO188" s="7">
        <v>1002</v>
      </c>
      <c r="AP188" s="7" t="s">
        <v>1006</v>
      </c>
      <c r="AQ188" s="7" t="s">
        <v>104</v>
      </c>
      <c r="AR188" s="7" t="s">
        <v>991</v>
      </c>
      <c r="AS188" s="7" t="s">
        <v>992</v>
      </c>
      <c r="AT188" s="7" t="s">
        <v>993</v>
      </c>
      <c r="AU188" s="7" t="s">
        <v>993</v>
      </c>
      <c r="AX188" s="7" t="s">
        <v>994</v>
      </c>
      <c r="AY188" s="7" t="s">
        <v>995</v>
      </c>
      <c r="AZ188" s="7" t="s">
        <v>104</v>
      </c>
      <c r="BA188" s="7" t="s">
        <v>991</v>
      </c>
      <c r="BB188" s="7" t="s">
        <v>996</v>
      </c>
      <c r="BC188" s="7" t="s">
        <v>993</v>
      </c>
      <c r="BD188" s="7" t="s">
        <v>997</v>
      </c>
      <c r="BF188" s="7" t="s">
        <v>998</v>
      </c>
      <c r="BG188" s="7">
        <v>7029</v>
      </c>
      <c r="BH188" s="7" t="s">
        <v>999</v>
      </c>
      <c r="BO188" s="7">
        <v>6</v>
      </c>
      <c r="BR188" s="7" t="s">
        <v>104</v>
      </c>
      <c r="BS188" s="7" t="s">
        <v>1000</v>
      </c>
      <c r="BT188" s="7" t="s">
        <v>996</v>
      </c>
      <c r="BU188" s="7" t="s">
        <v>993</v>
      </c>
      <c r="BV188" s="7" t="s">
        <v>993</v>
      </c>
      <c r="BW188" s="7" t="s">
        <v>209</v>
      </c>
    </row>
    <row r="189" spans="1:75" s="7" customFormat="1" x14ac:dyDescent="0.35">
      <c r="A189" s="7" t="s">
        <v>1011</v>
      </c>
      <c r="B189" s="8">
        <v>46005</v>
      </c>
      <c r="C189" s="9">
        <v>0.71475694444444438</v>
      </c>
      <c r="D189" s="7" t="s">
        <v>810</v>
      </c>
      <c r="E189" s="7" t="s">
        <v>811</v>
      </c>
      <c r="F189" s="11" t="s">
        <v>346</v>
      </c>
      <c r="G189" s="7">
        <f>COUNTIF($F$2:$F$278,F189)</f>
        <v>69</v>
      </c>
      <c r="H189" s="7" t="s">
        <v>347</v>
      </c>
      <c r="I189" s="7" t="s">
        <v>187</v>
      </c>
      <c r="J189" s="7" t="s">
        <v>83</v>
      </c>
      <c r="K189" s="7" t="s">
        <v>84</v>
      </c>
      <c r="M189" s="7" t="s">
        <v>85</v>
      </c>
      <c r="N189" s="7" t="s">
        <v>86</v>
      </c>
      <c r="O189" s="7" t="s">
        <v>84</v>
      </c>
      <c r="P189" s="7" t="s">
        <v>100</v>
      </c>
      <c r="Q189" s="7" t="s">
        <v>898</v>
      </c>
      <c r="R189" s="7" t="s">
        <v>899</v>
      </c>
      <c r="S189" s="7" t="s">
        <v>921</v>
      </c>
      <c r="T189" s="7" t="s">
        <v>922</v>
      </c>
      <c r="U189" s="7" t="s">
        <v>93</v>
      </c>
      <c r="V189" s="7" t="s">
        <v>22</v>
      </c>
      <c r="X189" s="7" t="s">
        <v>192</v>
      </c>
      <c r="Y189" s="7" t="s">
        <v>132</v>
      </c>
      <c r="Z189" s="7" t="s">
        <v>193</v>
      </c>
      <c r="AA189" s="7" t="b">
        <v>0</v>
      </c>
      <c r="AB189" s="7" t="b">
        <v>0</v>
      </c>
      <c r="AD189" s="7">
        <v>130</v>
      </c>
      <c r="AE189" s="7" t="s">
        <v>153</v>
      </c>
      <c r="AI189" s="7" t="s">
        <v>1012</v>
      </c>
      <c r="AJ189" s="7" t="s">
        <v>100</v>
      </c>
      <c r="AK189" s="7" t="s">
        <v>1013</v>
      </c>
      <c r="AL189" s="7" t="s">
        <v>100</v>
      </c>
      <c r="AM189" s="7" t="s">
        <v>100</v>
      </c>
      <c r="AN189" s="7" t="s">
        <v>124</v>
      </c>
      <c r="AO189" s="7">
        <v>1002</v>
      </c>
      <c r="AP189" s="7" t="s">
        <v>1014</v>
      </c>
      <c r="AQ189" s="7" t="s">
        <v>104</v>
      </c>
      <c r="AR189" s="7" t="s">
        <v>197</v>
      </c>
      <c r="AS189" s="7" t="s">
        <v>356</v>
      </c>
      <c r="AT189" s="7" t="s">
        <v>199</v>
      </c>
      <c r="AU189" s="7" t="s">
        <v>199</v>
      </c>
      <c r="AX189" s="7" t="s">
        <v>200</v>
      </c>
      <c r="AY189" s="7" t="s">
        <v>357</v>
      </c>
      <c r="AZ189" s="7" t="s">
        <v>104</v>
      </c>
      <c r="BA189" s="7" t="s">
        <v>197</v>
      </c>
      <c r="BB189" s="7" t="s">
        <v>356</v>
      </c>
      <c r="BC189" s="7" t="s">
        <v>199</v>
      </c>
      <c r="BD189" s="7" t="s">
        <v>199</v>
      </c>
      <c r="BF189" s="7" t="s">
        <v>203</v>
      </c>
      <c r="BG189" s="7">
        <v>20115</v>
      </c>
      <c r="BH189" s="7" t="s">
        <v>358</v>
      </c>
      <c r="BO189" s="7">
        <v>9</v>
      </c>
      <c r="BR189" s="7" t="s">
        <v>104</v>
      </c>
      <c r="BS189" s="7" t="s">
        <v>205</v>
      </c>
      <c r="BT189" s="7" t="s">
        <v>356</v>
      </c>
      <c r="BU189" s="7" t="s">
        <v>207</v>
      </c>
      <c r="BV189" s="7" t="s">
        <v>208</v>
      </c>
      <c r="BW189" s="7" t="s">
        <v>209</v>
      </c>
    </row>
    <row r="190" spans="1:75" s="7" customFormat="1" x14ac:dyDescent="0.35">
      <c r="A190" s="7" t="s">
        <v>1015</v>
      </c>
      <c r="B190" s="8">
        <v>46005</v>
      </c>
      <c r="C190" s="9">
        <v>0.68745370370370373</v>
      </c>
      <c r="D190" s="7" t="s">
        <v>183</v>
      </c>
      <c r="E190" s="7" t="s">
        <v>184</v>
      </c>
      <c r="F190" s="11" t="s">
        <v>985</v>
      </c>
      <c r="G190" s="7">
        <f>COUNTIF($F$2:$F$278,F190)</f>
        <v>10</v>
      </c>
      <c r="H190" s="7" t="s">
        <v>986</v>
      </c>
      <c r="I190" s="7" t="s">
        <v>987</v>
      </c>
      <c r="J190" s="7" t="s">
        <v>83</v>
      </c>
      <c r="K190" s="7" t="s">
        <v>84</v>
      </c>
      <c r="M190" s="7" t="s">
        <v>85</v>
      </c>
      <c r="N190" s="7" t="s">
        <v>86</v>
      </c>
      <c r="O190" s="7" t="s">
        <v>84</v>
      </c>
      <c r="P190" s="7" t="s">
        <v>100</v>
      </c>
      <c r="Q190" s="7" t="s">
        <v>325</v>
      </c>
      <c r="R190" s="7" t="s">
        <v>326</v>
      </c>
      <c r="S190" s="7" t="s">
        <v>314</v>
      </c>
      <c r="T190" s="7" t="s">
        <v>315</v>
      </c>
      <c r="U190" s="7" t="s">
        <v>93</v>
      </c>
      <c r="V190" s="7" t="s">
        <v>22</v>
      </c>
      <c r="X190" s="7" t="s">
        <v>192</v>
      </c>
      <c r="Y190" s="7" t="s">
        <v>132</v>
      </c>
      <c r="Z190" s="7" t="s">
        <v>193</v>
      </c>
      <c r="AA190" s="7" t="b">
        <v>0</v>
      </c>
      <c r="AB190" s="7" t="b">
        <v>0</v>
      </c>
      <c r="AD190" s="7">
        <v>77</v>
      </c>
      <c r="AE190" s="7" t="s">
        <v>153</v>
      </c>
      <c r="AI190" s="7" t="s">
        <v>1016</v>
      </c>
      <c r="AJ190" s="7" t="s">
        <v>100</v>
      </c>
      <c r="AK190" s="7" t="s">
        <v>1017</v>
      </c>
      <c r="AL190" s="7" t="s">
        <v>100</v>
      </c>
      <c r="AM190" s="7" t="s">
        <v>100</v>
      </c>
      <c r="AN190" s="7" t="s">
        <v>124</v>
      </c>
      <c r="AO190" s="7">
        <v>1002</v>
      </c>
      <c r="AP190" s="7" t="s">
        <v>1018</v>
      </c>
      <c r="AQ190" s="7" t="s">
        <v>104</v>
      </c>
      <c r="AR190" s="7" t="s">
        <v>991</v>
      </c>
      <c r="AS190" s="7" t="s">
        <v>992</v>
      </c>
      <c r="AT190" s="7" t="s">
        <v>993</v>
      </c>
      <c r="AU190" s="7" t="s">
        <v>993</v>
      </c>
      <c r="AX190" s="7" t="s">
        <v>994</v>
      </c>
      <c r="AY190" s="7" t="s">
        <v>995</v>
      </c>
      <c r="AZ190" s="7" t="s">
        <v>104</v>
      </c>
      <c r="BA190" s="7" t="s">
        <v>991</v>
      </c>
      <c r="BB190" s="7" t="s">
        <v>996</v>
      </c>
      <c r="BC190" s="7" t="s">
        <v>993</v>
      </c>
      <c r="BD190" s="7" t="s">
        <v>997</v>
      </c>
      <c r="BF190" s="7" t="s">
        <v>998</v>
      </c>
      <c r="BG190" s="7">
        <v>7029</v>
      </c>
      <c r="BH190" s="7" t="s">
        <v>999</v>
      </c>
      <c r="BO190" s="7">
        <v>6</v>
      </c>
      <c r="BR190" s="7" t="s">
        <v>104</v>
      </c>
      <c r="BS190" s="7" t="s">
        <v>1000</v>
      </c>
      <c r="BT190" s="7" t="s">
        <v>996</v>
      </c>
      <c r="BU190" s="7" t="s">
        <v>993</v>
      </c>
      <c r="BV190" s="7" t="s">
        <v>993</v>
      </c>
      <c r="BW190" s="7" t="s">
        <v>209</v>
      </c>
    </row>
    <row r="191" spans="1:75" s="7" customFormat="1" x14ac:dyDescent="0.35">
      <c r="A191" s="7" t="s">
        <v>1019</v>
      </c>
      <c r="B191" s="8">
        <v>46005</v>
      </c>
      <c r="C191" s="9">
        <v>0.68740740740740736</v>
      </c>
      <c r="D191" s="7" t="s">
        <v>183</v>
      </c>
      <c r="E191" s="7" t="s">
        <v>184</v>
      </c>
      <c r="F191" s="11" t="s">
        <v>985</v>
      </c>
      <c r="G191" s="7">
        <f>COUNTIF($F$2:$F$278,F191)</f>
        <v>10</v>
      </c>
      <c r="H191" s="7" t="s">
        <v>986</v>
      </c>
      <c r="I191" s="7" t="s">
        <v>987</v>
      </c>
      <c r="J191" s="7" t="s">
        <v>83</v>
      </c>
      <c r="K191" s="7" t="s">
        <v>84</v>
      </c>
      <c r="M191" s="7" t="s">
        <v>85</v>
      </c>
      <c r="N191" s="7" t="s">
        <v>86</v>
      </c>
      <c r="O191" s="7" t="s">
        <v>84</v>
      </c>
      <c r="P191" s="7" t="s">
        <v>100</v>
      </c>
      <c r="Q191" s="7" t="s">
        <v>330</v>
      </c>
      <c r="R191" s="7" t="s">
        <v>331</v>
      </c>
      <c r="S191" s="7" t="s">
        <v>91</v>
      </c>
      <c r="T191" s="7" t="s">
        <v>92</v>
      </c>
      <c r="U191" s="7" t="s">
        <v>93</v>
      </c>
      <c r="V191" s="7" t="s">
        <v>22</v>
      </c>
      <c r="X191" s="7" t="s">
        <v>192</v>
      </c>
      <c r="Y191" s="7" t="s">
        <v>132</v>
      </c>
      <c r="Z191" s="7" t="s">
        <v>193</v>
      </c>
      <c r="AA191" s="7" t="b">
        <v>0</v>
      </c>
      <c r="AB191" s="7" t="b">
        <v>0</v>
      </c>
      <c r="AD191" s="7">
        <v>49</v>
      </c>
      <c r="AE191" s="7" t="s">
        <v>153</v>
      </c>
      <c r="AI191" s="7" t="s">
        <v>1016</v>
      </c>
      <c r="AJ191" s="7" t="s">
        <v>100</v>
      </c>
      <c r="AK191" s="7" t="s">
        <v>1020</v>
      </c>
      <c r="AL191" s="7" t="s">
        <v>100</v>
      </c>
      <c r="AM191" s="7" t="s">
        <v>100</v>
      </c>
      <c r="AN191" s="7" t="s">
        <v>124</v>
      </c>
      <c r="AO191" s="7">
        <v>1002</v>
      </c>
      <c r="AP191" s="7" t="s">
        <v>1021</v>
      </c>
      <c r="AQ191" s="7" t="s">
        <v>104</v>
      </c>
      <c r="AR191" s="7" t="s">
        <v>991</v>
      </c>
      <c r="AS191" s="7" t="s">
        <v>992</v>
      </c>
      <c r="AT191" s="7" t="s">
        <v>993</v>
      </c>
      <c r="AU191" s="7" t="s">
        <v>993</v>
      </c>
      <c r="AX191" s="7" t="s">
        <v>994</v>
      </c>
      <c r="AY191" s="7" t="s">
        <v>995</v>
      </c>
      <c r="AZ191" s="7" t="s">
        <v>104</v>
      </c>
      <c r="BA191" s="7" t="s">
        <v>991</v>
      </c>
      <c r="BB191" s="7" t="s">
        <v>996</v>
      </c>
      <c r="BC191" s="7" t="s">
        <v>993</v>
      </c>
      <c r="BD191" s="7" t="s">
        <v>997</v>
      </c>
      <c r="BF191" s="7" t="s">
        <v>998</v>
      </c>
      <c r="BG191" s="7">
        <v>7029</v>
      </c>
      <c r="BH191" s="7" t="s">
        <v>999</v>
      </c>
      <c r="BO191" s="7">
        <v>6</v>
      </c>
      <c r="BR191" s="7" t="s">
        <v>104</v>
      </c>
      <c r="BS191" s="7" t="s">
        <v>1000</v>
      </c>
      <c r="BT191" s="7" t="s">
        <v>996</v>
      </c>
      <c r="BU191" s="7" t="s">
        <v>993</v>
      </c>
      <c r="BV191" s="7" t="s">
        <v>993</v>
      </c>
      <c r="BW191" s="7" t="s">
        <v>209</v>
      </c>
    </row>
    <row r="192" spans="1:75" s="7" customFormat="1" x14ac:dyDescent="0.35">
      <c r="A192" s="7" t="s">
        <v>1022</v>
      </c>
      <c r="B192" s="8">
        <v>46005</v>
      </c>
      <c r="C192" s="9">
        <v>0.68731481481481482</v>
      </c>
      <c r="D192" s="7" t="s">
        <v>183</v>
      </c>
      <c r="E192" s="7" t="s">
        <v>184</v>
      </c>
      <c r="F192" s="11" t="s">
        <v>985</v>
      </c>
      <c r="G192" s="7">
        <f>COUNTIF($F$2:$F$278,F192)</f>
        <v>10</v>
      </c>
      <c r="H192" s="7" t="s">
        <v>986</v>
      </c>
      <c r="I192" s="7" t="s">
        <v>987</v>
      </c>
      <c r="J192" s="7" t="s">
        <v>83</v>
      </c>
      <c r="K192" s="7" t="s">
        <v>84</v>
      </c>
      <c r="M192" s="7" t="s">
        <v>85</v>
      </c>
      <c r="N192" s="7" t="s">
        <v>86</v>
      </c>
      <c r="O192" s="7" t="s">
        <v>84</v>
      </c>
      <c r="P192" s="7" t="s">
        <v>100</v>
      </c>
      <c r="Q192" s="7" t="s">
        <v>150</v>
      </c>
      <c r="R192" s="7" t="s">
        <v>151</v>
      </c>
      <c r="S192" s="7" t="s">
        <v>150</v>
      </c>
      <c r="T192" s="7" t="s">
        <v>151</v>
      </c>
      <c r="U192" s="7" t="s">
        <v>93</v>
      </c>
      <c r="V192" s="7" t="s">
        <v>22</v>
      </c>
      <c r="X192" s="7" t="s">
        <v>192</v>
      </c>
      <c r="Y192" s="7" t="s">
        <v>132</v>
      </c>
      <c r="Z192" s="7" t="s">
        <v>193</v>
      </c>
      <c r="AA192" s="7" t="b">
        <v>0</v>
      </c>
      <c r="AB192" s="7" t="b">
        <v>0</v>
      </c>
      <c r="AD192" s="7">
        <v>58</v>
      </c>
      <c r="AE192" s="7" t="s">
        <v>153</v>
      </c>
      <c r="AI192" s="7" t="s">
        <v>1016</v>
      </c>
      <c r="AJ192" s="7" t="s">
        <v>100</v>
      </c>
      <c r="AK192" s="7" t="s">
        <v>1023</v>
      </c>
      <c r="AL192" s="7" t="s">
        <v>100</v>
      </c>
      <c r="AM192" s="7" t="s">
        <v>100</v>
      </c>
      <c r="AN192" s="7" t="s">
        <v>124</v>
      </c>
      <c r="AO192" s="7">
        <v>1002</v>
      </c>
      <c r="AP192" s="7" t="s">
        <v>1024</v>
      </c>
      <c r="AQ192" s="7" t="s">
        <v>104</v>
      </c>
      <c r="AR192" s="7" t="s">
        <v>991</v>
      </c>
      <c r="AS192" s="7" t="s">
        <v>992</v>
      </c>
      <c r="AT192" s="7" t="s">
        <v>993</v>
      </c>
      <c r="AU192" s="7" t="s">
        <v>993</v>
      </c>
      <c r="AX192" s="7" t="s">
        <v>994</v>
      </c>
      <c r="AY192" s="7" t="s">
        <v>995</v>
      </c>
      <c r="AZ192" s="7" t="s">
        <v>104</v>
      </c>
      <c r="BA192" s="7" t="s">
        <v>991</v>
      </c>
      <c r="BB192" s="7" t="s">
        <v>996</v>
      </c>
      <c r="BC192" s="7" t="s">
        <v>993</v>
      </c>
      <c r="BD192" s="7" t="s">
        <v>997</v>
      </c>
      <c r="BF192" s="7" t="s">
        <v>998</v>
      </c>
      <c r="BG192" s="7">
        <v>7029</v>
      </c>
      <c r="BH192" s="7" t="s">
        <v>999</v>
      </c>
      <c r="BO192" s="7">
        <v>6</v>
      </c>
      <c r="BR192" s="7" t="s">
        <v>104</v>
      </c>
      <c r="BS192" s="7" t="s">
        <v>1000</v>
      </c>
      <c r="BT192" s="7" t="s">
        <v>996</v>
      </c>
      <c r="BU192" s="7" t="s">
        <v>993</v>
      </c>
      <c r="BV192" s="7" t="s">
        <v>993</v>
      </c>
      <c r="BW192" s="7" t="s">
        <v>209</v>
      </c>
    </row>
    <row r="193" spans="1:75" s="7" customFormat="1" x14ac:dyDescent="0.35">
      <c r="A193" s="7" t="s">
        <v>1022</v>
      </c>
      <c r="B193" s="8">
        <v>46005</v>
      </c>
      <c r="C193" s="9">
        <v>0.68731481481481482</v>
      </c>
      <c r="D193" s="7" t="s">
        <v>183</v>
      </c>
      <c r="E193" s="7" t="s">
        <v>184</v>
      </c>
      <c r="F193" s="11" t="s">
        <v>985</v>
      </c>
      <c r="G193" s="7">
        <f>COUNTIF($F$2:$F$278,F193)</f>
        <v>10</v>
      </c>
      <c r="H193" s="7" t="s">
        <v>986</v>
      </c>
      <c r="I193" s="7" t="s">
        <v>987</v>
      </c>
      <c r="J193" s="7" t="s">
        <v>83</v>
      </c>
      <c r="K193" s="7" t="s">
        <v>84</v>
      </c>
      <c r="M193" s="7" t="s">
        <v>85</v>
      </c>
      <c r="N193" s="7" t="s">
        <v>86</v>
      </c>
      <c r="O193" s="7" t="s">
        <v>84</v>
      </c>
      <c r="P193" s="7" t="s">
        <v>100</v>
      </c>
      <c r="Q193" s="7" t="s">
        <v>150</v>
      </c>
      <c r="R193" s="7" t="s">
        <v>151</v>
      </c>
      <c r="S193" s="7" t="s">
        <v>150</v>
      </c>
      <c r="T193" s="7" t="s">
        <v>151</v>
      </c>
      <c r="U193" s="7" t="s">
        <v>93</v>
      </c>
      <c r="V193" s="7" t="s">
        <v>22</v>
      </c>
      <c r="X193" s="7" t="s">
        <v>192</v>
      </c>
      <c r="Y193" s="7" t="s">
        <v>132</v>
      </c>
      <c r="Z193" s="7" t="s">
        <v>193</v>
      </c>
      <c r="AA193" s="7" t="b">
        <v>0</v>
      </c>
      <c r="AB193" s="7" t="b">
        <v>0</v>
      </c>
      <c r="AD193" s="7">
        <v>87</v>
      </c>
      <c r="AE193" s="7" t="s">
        <v>134</v>
      </c>
      <c r="AH193" s="7" t="s">
        <v>184</v>
      </c>
      <c r="AI193" s="7" t="s">
        <v>1016</v>
      </c>
      <c r="AJ193" s="7" t="s">
        <v>100</v>
      </c>
      <c r="AK193" s="7" t="s">
        <v>1025</v>
      </c>
      <c r="AL193" s="7" t="s">
        <v>100</v>
      </c>
      <c r="AM193" s="7" t="s">
        <v>100</v>
      </c>
      <c r="AN193" s="7" t="s">
        <v>124</v>
      </c>
      <c r="AO193" s="7">
        <v>1002</v>
      </c>
      <c r="AP193" s="7" t="s">
        <v>1024</v>
      </c>
      <c r="AQ193" s="7" t="s">
        <v>104</v>
      </c>
      <c r="AR193" s="7" t="s">
        <v>991</v>
      </c>
      <c r="AS193" s="7" t="s">
        <v>992</v>
      </c>
      <c r="AT193" s="7" t="s">
        <v>993</v>
      </c>
      <c r="AU193" s="7" t="s">
        <v>993</v>
      </c>
      <c r="AX193" s="7" t="s">
        <v>994</v>
      </c>
      <c r="AY193" s="7" t="s">
        <v>995</v>
      </c>
      <c r="AZ193" s="7" t="s">
        <v>104</v>
      </c>
      <c r="BA193" s="7" t="s">
        <v>991</v>
      </c>
      <c r="BB193" s="7" t="s">
        <v>996</v>
      </c>
      <c r="BC193" s="7" t="s">
        <v>993</v>
      </c>
      <c r="BD193" s="7" t="s">
        <v>997</v>
      </c>
      <c r="BF193" s="7" t="s">
        <v>998</v>
      </c>
      <c r="BG193" s="7">
        <v>7029</v>
      </c>
      <c r="BH193" s="7" t="s">
        <v>999</v>
      </c>
      <c r="BO193" s="7">
        <v>6</v>
      </c>
      <c r="BR193" s="7" t="s">
        <v>104</v>
      </c>
      <c r="BS193" s="7" t="s">
        <v>1000</v>
      </c>
      <c r="BT193" s="7" t="s">
        <v>996</v>
      </c>
      <c r="BU193" s="7" t="s">
        <v>993</v>
      </c>
      <c r="BV193" s="7" t="s">
        <v>993</v>
      </c>
      <c r="BW193" s="7" t="s">
        <v>209</v>
      </c>
    </row>
    <row r="194" spans="1:75" s="7" customFormat="1" x14ac:dyDescent="0.35">
      <c r="A194" s="7" t="s">
        <v>1026</v>
      </c>
      <c r="B194" s="8">
        <v>46005</v>
      </c>
      <c r="C194" s="9">
        <v>0.6872800925925926</v>
      </c>
      <c r="D194" s="7" t="s">
        <v>183</v>
      </c>
      <c r="E194" s="7" t="s">
        <v>184</v>
      </c>
      <c r="F194" s="11" t="s">
        <v>985</v>
      </c>
      <c r="G194" s="7">
        <f>COUNTIF($F$2:$F$278,F194)</f>
        <v>10</v>
      </c>
      <c r="H194" s="7" t="s">
        <v>986</v>
      </c>
      <c r="I194" s="7" t="s">
        <v>987</v>
      </c>
      <c r="J194" s="7" t="s">
        <v>83</v>
      </c>
      <c r="K194" s="7" t="s">
        <v>143</v>
      </c>
      <c r="L194" s="7">
        <v>50140</v>
      </c>
      <c r="M194" s="7" t="s">
        <v>85</v>
      </c>
      <c r="N194" s="7" t="s">
        <v>86</v>
      </c>
      <c r="O194" s="7" t="s">
        <v>84</v>
      </c>
      <c r="P194" s="7" t="s">
        <v>100</v>
      </c>
      <c r="Q194" s="7" t="s">
        <v>150</v>
      </c>
      <c r="R194" s="7" t="s">
        <v>151</v>
      </c>
      <c r="S194" s="7" t="s">
        <v>150</v>
      </c>
      <c r="T194" s="7" t="s">
        <v>151</v>
      </c>
      <c r="U194" s="7" t="s">
        <v>144</v>
      </c>
      <c r="V194" s="7" t="s">
        <v>22</v>
      </c>
      <c r="X194" s="7" t="s">
        <v>192</v>
      </c>
      <c r="Y194" s="7" t="s">
        <v>132</v>
      </c>
      <c r="Z194" s="7" t="s">
        <v>193</v>
      </c>
      <c r="AA194" s="7" t="b">
        <v>0</v>
      </c>
      <c r="AB194" s="7" t="b">
        <v>0</v>
      </c>
      <c r="AD194" s="7">
        <v>117</v>
      </c>
      <c r="AE194" s="7" t="s">
        <v>145</v>
      </c>
      <c r="AF194" s="7" t="s">
        <v>215</v>
      </c>
      <c r="AG194" s="7" t="s">
        <v>216</v>
      </c>
      <c r="AH194" s="7" t="s">
        <v>184</v>
      </c>
      <c r="AI194" s="7" t="s">
        <v>1016</v>
      </c>
      <c r="AJ194" s="7" t="s">
        <v>100</v>
      </c>
      <c r="AK194" s="7" t="s">
        <v>1027</v>
      </c>
      <c r="AL194" s="7" t="s">
        <v>100</v>
      </c>
      <c r="AM194" s="7" t="s">
        <v>100</v>
      </c>
      <c r="AN194" s="7" t="s">
        <v>124</v>
      </c>
      <c r="AO194" s="7">
        <v>1002</v>
      </c>
      <c r="AP194" s="7" t="s">
        <v>1024</v>
      </c>
      <c r="AQ194" s="7" t="s">
        <v>104</v>
      </c>
      <c r="AR194" s="7" t="s">
        <v>991</v>
      </c>
      <c r="AS194" s="7" t="s">
        <v>992</v>
      </c>
      <c r="AT194" s="7" t="s">
        <v>993</v>
      </c>
      <c r="AU194" s="7" t="s">
        <v>993</v>
      </c>
      <c r="AX194" s="7" t="s">
        <v>994</v>
      </c>
      <c r="AY194" s="7" t="s">
        <v>995</v>
      </c>
      <c r="AZ194" s="7" t="s">
        <v>104</v>
      </c>
      <c r="BA194" s="7" t="s">
        <v>991</v>
      </c>
      <c r="BB194" s="7" t="s">
        <v>996</v>
      </c>
      <c r="BC194" s="7" t="s">
        <v>993</v>
      </c>
      <c r="BD194" s="7" t="s">
        <v>997</v>
      </c>
      <c r="BF194" s="7" t="s">
        <v>998</v>
      </c>
      <c r="BG194" s="7">
        <v>7029</v>
      </c>
      <c r="BH194" s="7" t="s">
        <v>999</v>
      </c>
      <c r="BO194" s="7">
        <v>6</v>
      </c>
      <c r="BR194" s="7" t="s">
        <v>104</v>
      </c>
      <c r="BS194" s="7" t="s">
        <v>1000</v>
      </c>
      <c r="BT194" s="7" t="s">
        <v>996</v>
      </c>
      <c r="BU194" s="7" t="s">
        <v>993</v>
      </c>
      <c r="BV194" s="7" t="s">
        <v>993</v>
      </c>
      <c r="BW194" s="7" t="s">
        <v>209</v>
      </c>
    </row>
    <row r="195" spans="1:75" s="7" customFormat="1" x14ac:dyDescent="0.35">
      <c r="A195" s="7" t="s">
        <v>1028</v>
      </c>
      <c r="B195" s="8">
        <v>46005</v>
      </c>
      <c r="C195" s="9">
        <v>0.68577546296296299</v>
      </c>
      <c r="D195" s="7" t="s">
        <v>543</v>
      </c>
      <c r="E195" s="7" t="s">
        <v>544</v>
      </c>
      <c r="F195" s="11" t="s">
        <v>346</v>
      </c>
      <c r="G195" s="7">
        <f>COUNTIF($F$2:$F$278,F195)</f>
        <v>69</v>
      </c>
      <c r="H195" s="7" t="s">
        <v>347</v>
      </c>
      <c r="I195" s="7" t="s">
        <v>187</v>
      </c>
      <c r="J195" s="7" t="s">
        <v>83</v>
      </c>
      <c r="K195" s="7" t="s">
        <v>84</v>
      </c>
      <c r="M195" s="7" t="s">
        <v>85</v>
      </c>
      <c r="N195" s="7" t="s">
        <v>86</v>
      </c>
      <c r="O195" s="7" t="s">
        <v>87</v>
      </c>
      <c r="P195" s="7" t="s">
        <v>88</v>
      </c>
      <c r="Q195" s="7" t="s">
        <v>89</v>
      </c>
      <c r="R195" s="7" t="s">
        <v>90</v>
      </c>
      <c r="S195" s="7" t="s">
        <v>91</v>
      </c>
      <c r="T195" s="7" t="s">
        <v>92</v>
      </c>
      <c r="U195" s="7" t="s">
        <v>93</v>
      </c>
      <c r="V195" s="7" t="s">
        <v>94</v>
      </c>
      <c r="W195" s="7" t="s">
        <v>868</v>
      </c>
      <c r="Y195" s="7" t="s">
        <v>96</v>
      </c>
      <c r="Z195" s="7" t="s">
        <v>97</v>
      </c>
      <c r="AA195" s="7" t="b">
        <v>0</v>
      </c>
      <c r="AB195" s="7" t="b">
        <v>0</v>
      </c>
      <c r="AC195" s="7" t="s">
        <v>1331</v>
      </c>
      <c r="AD195" s="7">
        <v>99</v>
      </c>
      <c r="AE195" s="7" t="s">
        <v>98</v>
      </c>
      <c r="AI195" s="7" t="s">
        <v>869</v>
      </c>
      <c r="AJ195" s="7" t="s">
        <v>100</v>
      </c>
      <c r="AK195" s="7" t="s">
        <v>1029</v>
      </c>
      <c r="AL195" s="7" t="s">
        <v>100</v>
      </c>
      <c r="AM195" s="7" t="s">
        <v>100</v>
      </c>
      <c r="AN195" s="7" t="s">
        <v>102</v>
      </c>
      <c r="AP195" s="7" t="s">
        <v>1030</v>
      </c>
      <c r="AQ195" s="7" t="s">
        <v>104</v>
      </c>
      <c r="AR195" s="7" t="s">
        <v>197</v>
      </c>
      <c r="AS195" s="7" t="s">
        <v>356</v>
      </c>
      <c r="AT195" s="7" t="s">
        <v>199</v>
      </c>
      <c r="AU195" s="7" t="s">
        <v>199</v>
      </c>
      <c r="AX195" s="7" t="s">
        <v>200</v>
      </c>
      <c r="AY195" s="7" t="s">
        <v>357</v>
      </c>
      <c r="AZ195" s="7" t="s">
        <v>104</v>
      </c>
      <c r="BA195" s="7" t="s">
        <v>197</v>
      </c>
      <c r="BB195" s="7" t="s">
        <v>356</v>
      </c>
      <c r="BC195" s="7" t="s">
        <v>199</v>
      </c>
      <c r="BD195" s="7" t="s">
        <v>199</v>
      </c>
      <c r="BF195" s="7" t="s">
        <v>203</v>
      </c>
      <c r="BG195" s="7">
        <v>20115</v>
      </c>
      <c r="BH195" s="7" t="s">
        <v>358</v>
      </c>
      <c r="BO195" s="7">
        <v>9</v>
      </c>
      <c r="BR195" s="7" t="s">
        <v>104</v>
      </c>
      <c r="BS195" s="7" t="s">
        <v>205</v>
      </c>
      <c r="BT195" s="7" t="s">
        <v>356</v>
      </c>
      <c r="BU195" s="7" t="s">
        <v>207</v>
      </c>
      <c r="BV195" s="7" t="s">
        <v>208</v>
      </c>
      <c r="BW195" s="7" t="s">
        <v>209</v>
      </c>
    </row>
    <row r="196" spans="1:75" s="7" customFormat="1" x14ac:dyDescent="0.35">
      <c r="A196" s="7" t="s">
        <v>1031</v>
      </c>
      <c r="B196" s="8">
        <v>46005</v>
      </c>
      <c r="C196" s="9">
        <v>0.67898148148148152</v>
      </c>
      <c r="D196" s="7" t="s">
        <v>78</v>
      </c>
      <c r="E196" s="7" t="s">
        <v>79</v>
      </c>
      <c r="F196" s="7" t="s">
        <v>128</v>
      </c>
      <c r="G196" s="7">
        <f>COUNTIF($F$2:$F$278,F196)</f>
        <v>26</v>
      </c>
      <c r="H196" s="7" t="s">
        <v>81</v>
      </c>
      <c r="I196" s="7" t="s">
        <v>82</v>
      </c>
      <c r="J196" s="7" t="s">
        <v>83</v>
      </c>
      <c r="K196" s="7" t="s">
        <v>84</v>
      </c>
      <c r="M196" s="7" t="s">
        <v>85</v>
      </c>
      <c r="N196" s="7" t="s">
        <v>86</v>
      </c>
      <c r="O196" s="7" t="s">
        <v>87</v>
      </c>
      <c r="P196" s="7" t="s">
        <v>88</v>
      </c>
      <c r="Q196" s="7" t="s">
        <v>89</v>
      </c>
      <c r="R196" s="7" t="s">
        <v>90</v>
      </c>
      <c r="S196" s="7" t="s">
        <v>91</v>
      </c>
      <c r="T196" s="7" t="s">
        <v>92</v>
      </c>
      <c r="U196" s="7" t="s">
        <v>93</v>
      </c>
      <c r="V196" s="7" t="s">
        <v>94</v>
      </c>
      <c r="W196" s="7" t="s">
        <v>95</v>
      </c>
      <c r="Y196" s="7" t="s">
        <v>96</v>
      </c>
      <c r="Z196" s="7" t="s">
        <v>97</v>
      </c>
      <c r="AA196" s="7" t="b">
        <v>0</v>
      </c>
      <c r="AB196" s="7" t="b">
        <v>0</v>
      </c>
      <c r="AC196" s="11" t="s">
        <v>1331</v>
      </c>
      <c r="AD196" s="7">
        <v>72</v>
      </c>
      <c r="AE196" s="7" t="s">
        <v>98</v>
      </c>
      <c r="AI196" s="7" t="s">
        <v>99</v>
      </c>
      <c r="AJ196" s="7" t="s">
        <v>100</v>
      </c>
      <c r="AK196" s="7" t="s">
        <v>1032</v>
      </c>
      <c r="AL196" s="7" t="s">
        <v>100</v>
      </c>
      <c r="AM196" s="7" t="s">
        <v>100</v>
      </c>
      <c r="AN196" s="7" t="s">
        <v>102</v>
      </c>
      <c r="AP196" s="7" t="s">
        <v>1033</v>
      </c>
      <c r="AQ196" s="7" t="s">
        <v>104</v>
      </c>
      <c r="AR196" s="7" t="s">
        <v>105</v>
      </c>
      <c r="AS196" s="7" t="s">
        <v>137</v>
      </c>
      <c r="AT196" s="7" t="s">
        <v>107</v>
      </c>
      <c r="AU196" s="7" t="s">
        <v>107</v>
      </c>
      <c r="AX196" s="7" t="s">
        <v>108</v>
      </c>
      <c r="AY196" s="7" t="s">
        <v>138</v>
      </c>
      <c r="AZ196" s="7" t="s">
        <v>104</v>
      </c>
      <c r="BA196" s="7" t="s">
        <v>105</v>
      </c>
      <c r="BB196" s="7" t="s">
        <v>139</v>
      </c>
      <c r="BC196" s="7" t="s">
        <v>110</v>
      </c>
      <c r="BD196" s="7" t="s">
        <v>110</v>
      </c>
      <c r="BF196" s="7" t="s">
        <v>112</v>
      </c>
      <c r="BG196" s="7">
        <v>7922</v>
      </c>
      <c r="BH196" s="7" t="s">
        <v>140</v>
      </c>
      <c r="BO196" s="7">
        <v>5</v>
      </c>
      <c r="BR196" s="7" t="s">
        <v>104</v>
      </c>
      <c r="BS196" s="7" t="s">
        <v>141</v>
      </c>
      <c r="BT196" s="7" t="s">
        <v>106</v>
      </c>
      <c r="BU196" s="7" t="s">
        <v>110</v>
      </c>
      <c r="BV196" s="7" t="s">
        <v>110</v>
      </c>
      <c r="BW196" s="7" t="s">
        <v>117</v>
      </c>
    </row>
    <row r="197" spans="1:75" s="7" customFormat="1" x14ac:dyDescent="0.35">
      <c r="A197" s="7" t="s">
        <v>1034</v>
      </c>
      <c r="B197" s="8">
        <v>46005</v>
      </c>
      <c r="C197" s="9">
        <v>0.58953703703703708</v>
      </c>
      <c r="D197" s="7" t="s">
        <v>873</v>
      </c>
      <c r="E197" s="7" t="s">
        <v>874</v>
      </c>
      <c r="F197" s="11" t="s">
        <v>346</v>
      </c>
      <c r="G197" s="7">
        <f>COUNTIF($F$2:$F$278,F197)</f>
        <v>69</v>
      </c>
      <c r="H197" s="7" t="s">
        <v>347</v>
      </c>
      <c r="I197" s="7" t="s">
        <v>187</v>
      </c>
      <c r="J197" s="7" t="s">
        <v>83</v>
      </c>
      <c r="K197" s="7" t="s">
        <v>84</v>
      </c>
      <c r="M197" s="7" t="s">
        <v>85</v>
      </c>
      <c r="N197" s="7" t="s">
        <v>120</v>
      </c>
      <c r="O197" s="7" t="s">
        <v>87</v>
      </c>
      <c r="P197" s="7" t="s">
        <v>88</v>
      </c>
      <c r="Q197" s="7" t="s">
        <v>89</v>
      </c>
      <c r="R197" s="7" t="s">
        <v>90</v>
      </c>
      <c r="S197" s="7" t="s">
        <v>91</v>
      </c>
      <c r="T197" s="7" t="s">
        <v>92</v>
      </c>
      <c r="U197" s="7" t="s">
        <v>93</v>
      </c>
      <c r="V197" s="7" t="s">
        <v>94</v>
      </c>
      <c r="W197" s="7" t="s">
        <v>875</v>
      </c>
      <c r="Y197" s="7" t="s">
        <v>96</v>
      </c>
      <c r="Z197" s="7" t="s">
        <v>97</v>
      </c>
      <c r="AA197" s="7" t="b">
        <v>0</v>
      </c>
      <c r="AB197" s="7" t="b">
        <v>0</v>
      </c>
      <c r="AC197" s="7" t="s">
        <v>1331</v>
      </c>
      <c r="AD197" s="7">
        <v>147</v>
      </c>
      <c r="AE197" s="7" t="s">
        <v>153</v>
      </c>
      <c r="AI197" s="7" t="s">
        <v>876</v>
      </c>
      <c r="AJ197" s="7" t="s">
        <v>100</v>
      </c>
      <c r="AK197" s="7" t="s">
        <v>1035</v>
      </c>
      <c r="AL197" s="7" t="s">
        <v>100</v>
      </c>
      <c r="AM197" s="7" t="s">
        <v>100</v>
      </c>
      <c r="AN197" s="7" t="s">
        <v>102</v>
      </c>
      <c r="AP197" s="7" t="s">
        <v>1036</v>
      </c>
      <c r="AQ197" s="7" t="s">
        <v>104</v>
      </c>
      <c r="AR197" s="7" t="s">
        <v>197</v>
      </c>
      <c r="AS197" s="7" t="s">
        <v>356</v>
      </c>
      <c r="AT197" s="7" t="s">
        <v>199</v>
      </c>
      <c r="AU197" s="7" t="s">
        <v>199</v>
      </c>
      <c r="AX197" s="7" t="s">
        <v>200</v>
      </c>
      <c r="AY197" s="7" t="s">
        <v>357</v>
      </c>
      <c r="AZ197" s="7" t="s">
        <v>104</v>
      </c>
      <c r="BA197" s="7" t="s">
        <v>197</v>
      </c>
      <c r="BB197" s="7" t="s">
        <v>356</v>
      </c>
      <c r="BC197" s="7" t="s">
        <v>199</v>
      </c>
      <c r="BD197" s="7" t="s">
        <v>199</v>
      </c>
      <c r="BF197" s="7" t="s">
        <v>203</v>
      </c>
      <c r="BG197" s="7">
        <v>20115</v>
      </c>
      <c r="BH197" s="7" t="s">
        <v>358</v>
      </c>
      <c r="BO197" s="7">
        <v>9</v>
      </c>
      <c r="BR197" s="7" t="s">
        <v>104</v>
      </c>
      <c r="BS197" s="7" t="s">
        <v>205</v>
      </c>
      <c r="BT197" s="7" t="s">
        <v>356</v>
      </c>
      <c r="BU197" s="7" t="s">
        <v>207</v>
      </c>
      <c r="BV197" s="7" t="s">
        <v>208</v>
      </c>
      <c r="BW197" s="7" t="s">
        <v>209</v>
      </c>
    </row>
    <row r="198" spans="1:75" s="7" customFormat="1" x14ac:dyDescent="0.35">
      <c r="A198" s="7" t="s">
        <v>1037</v>
      </c>
      <c r="B198" s="8">
        <v>46005</v>
      </c>
      <c r="C198" s="9">
        <v>0.54040509259259262</v>
      </c>
      <c r="D198" s="7" t="s">
        <v>271</v>
      </c>
      <c r="E198" s="7" t="s">
        <v>272</v>
      </c>
      <c r="F198" s="7" t="s">
        <v>273</v>
      </c>
      <c r="G198" s="7">
        <f>COUNTIF($F$2:$F$278,F198)</f>
        <v>13</v>
      </c>
      <c r="H198" s="7" t="s">
        <v>274</v>
      </c>
      <c r="I198" s="7" t="s">
        <v>275</v>
      </c>
      <c r="J198" s="7" t="s">
        <v>83</v>
      </c>
      <c r="K198" s="7" t="s">
        <v>119</v>
      </c>
      <c r="L198" s="7">
        <v>50057</v>
      </c>
      <c r="M198" s="7" t="s">
        <v>85</v>
      </c>
      <c r="N198" s="7" t="s">
        <v>120</v>
      </c>
      <c r="O198" s="7" t="s">
        <v>87</v>
      </c>
      <c r="P198" s="7" t="s">
        <v>100</v>
      </c>
      <c r="Q198" s="7" t="s">
        <v>89</v>
      </c>
      <c r="R198" s="7" t="s">
        <v>90</v>
      </c>
      <c r="S198" s="7" t="s">
        <v>91</v>
      </c>
      <c r="T198" s="7" t="s">
        <v>92</v>
      </c>
      <c r="U198" s="7" t="s">
        <v>276</v>
      </c>
      <c r="V198" s="7" t="s">
        <v>94</v>
      </c>
      <c r="W198" s="7" t="s">
        <v>277</v>
      </c>
      <c r="Y198" s="7" t="s">
        <v>96</v>
      </c>
      <c r="Z198" s="7" t="s">
        <v>97</v>
      </c>
      <c r="AA198" s="7" t="b">
        <v>0</v>
      </c>
      <c r="AB198" s="7" t="b">
        <v>0</v>
      </c>
      <c r="AC198" s="11" t="s">
        <v>1331</v>
      </c>
      <c r="AD198" s="7">
        <v>61</v>
      </c>
      <c r="AE198" s="7" t="s">
        <v>278</v>
      </c>
      <c r="AJ198" s="7" t="s">
        <v>100</v>
      </c>
      <c r="AK198" s="7" t="s">
        <v>1038</v>
      </c>
      <c r="AL198" s="7" t="s">
        <v>100</v>
      </c>
      <c r="AM198" s="7" t="s">
        <v>100</v>
      </c>
      <c r="AN198" s="7" t="s">
        <v>124</v>
      </c>
      <c r="AP198" s="7" t="s">
        <v>1039</v>
      </c>
      <c r="AQ198" s="7" t="s">
        <v>104</v>
      </c>
      <c r="AR198" s="7" t="s">
        <v>281</v>
      </c>
      <c r="AS198" s="7" t="s">
        <v>282</v>
      </c>
      <c r="AT198" s="7" t="s">
        <v>283</v>
      </c>
      <c r="AU198" s="7" t="s">
        <v>283</v>
      </c>
      <c r="AX198" s="7" t="s">
        <v>284</v>
      </c>
      <c r="AY198" s="7" t="s">
        <v>285</v>
      </c>
      <c r="AZ198" s="7" t="s">
        <v>104</v>
      </c>
      <c r="BA198" s="7" t="s">
        <v>281</v>
      </c>
      <c r="BB198" s="7" t="s">
        <v>282</v>
      </c>
      <c r="BC198" s="7" t="s">
        <v>283</v>
      </c>
      <c r="BD198" s="7" t="s">
        <v>283</v>
      </c>
      <c r="BF198" s="7" t="s">
        <v>112</v>
      </c>
      <c r="BG198" s="7">
        <v>23465</v>
      </c>
      <c r="BH198" s="7" t="s">
        <v>286</v>
      </c>
      <c r="BO198" s="7">
        <v>7</v>
      </c>
      <c r="BR198" s="7" t="s">
        <v>104</v>
      </c>
      <c r="BS198" s="7" t="s">
        <v>287</v>
      </c>
      <c r="BT198" s="7" t="s">
        <v>288</v>
      </c>
      <c r="BU198" s="7" t="s">
        <v>283</v>
      </c>
      <c r="BV198" s="7" t="s">
        <v>283</v>
      </c>
      <c r="BW198" s="7" t="s">
        <v>209</v>
      </c>
    </row>
    <row r="199" spans="1:75" s="7" customFormat="1" x14ac:dyDescent="0.35">
      <c r="A199" s="7" t="s">
        <v>1040</v>
      </c>
      <c r="B199" s="8">
        <v>46005</v>
      </c>
      <c r="C199" s="9">
        <v>0.11673611111111111</v>
      </c>
      <c r="D199" s="7" t="s">
        <v>78</v>
      </c>
      <c r="E199" s="7" t="s">
        <v>79</v>
      </c>
      <c r="F199" s="7" t="s">
        <v>128</v>
      </c>
      <c r="G199" s="7">
        <f>COUNTIF($F$2:$F$278,F199)</f>
        <v>26</v>
      </c>
      <c r="H199" s="7" t="s">
        <v>81</v>
      </c>
      <c r="I199" s="7" t="s">
        <v>82</v>
      </c>
      <c r="J199" s="7" t="s">
        <v>83</v>
      </c>
      <c r="K199" s="7" t="s">
        <v>84</v>
      </c>
      <c r="M199" s="7" t="s">
        <v>85</v>
      </c>
      <c r="N199" s="7" t="s">
        <v>86</v>
      </c>
      <c r="O199" s="7" t="s">
        <v>87</v>
      </c>
      <c r="P199" s="7" t="s">
        <v>88</v>
      </c>
      <c r="Q199" s="7" t="s">
        <v>89</v>
      </c>
      <c r="R199" s="7" t="s">
        <v>90</v>
      </c>
      <c r="S199" s="7" t="s">
        <v>91</v>
      </c>
      <c r="T199" s="7" t="s">
        <v>92</v>
      </c>
      <c r="U199" s="7" t="s">
        <v>93</v>
      </c>
      <c r="V199" s="7" t="s">
        <v>94</v>
      </c>
      <c r="W199" s="7" t="s">
        <v>95</v>
      </c>
      <c r="Y199" s="7" t="s">
        <v>96</v>
      </c>
      <c r="Z199" s="7" t="s">
        <v>97</v>
      </c>
      <c r="AA199" s="7" t="b">
        <v>0</v>
      </c>
      <c r="AB199" s="7" t="b">
        <v>0</v>
      </c>
      <c r="AC199" s="11" t="s">
        <v>1331</v>
      </c>
      <c r="AD199" s="7">
        <v>95</v>
      </c>
      <c r="AE199" s="7" t="s">
        <v>98</v>
      </c>
      <c r="AI199" s="7" t="s">
        <v>99</v>
      </c>
      <c r="AJ199" s="7" t="s">
        <v>100</v>
      </c>
      <c r="AK199" s="7" t="s">
        <v>1041</v>
      </c>
      <c r="AL199" s="7" t="s">
        <v>100</v>
      </c>
      <c r="AM199" s="7" t="s">
        <v>100</v>
      </c>
      <c r="AN199" s="7" t="s">
        <v>102</v>
      </c>
      <c r="AP199" s="7" t="s">
        <v>1042</v>
      </c>
      <c r="AQ199" s="7" t="s">
        <v>104</v>
      </c>
      <c r="AR199" s="7" t="s">
        <v>105</v>
      </c>
      <c r="AS199" s="7" t="s">
        <v>137</v>
      </c>
      <c r="AT199" s="7" t="s">
        <v>107</v>
      </c>
      <c r="AU199" s="7" t="s">
        <v>107</v>
      </c>
      <c r="AX199" s="7" t="s">
        <v>108</v>
      </c>
      <c r="AY199" s="7" t="s">
        <v>138</v>
      </c>
      <c r="AZ199" s="7" t="s">
        <v>104</v>
      </c>
      <c r="BA199" s="7" t="s">
        <v>105</v>
      </c>
      <c r="BB199" s="7" t="s">
        <v>139</v>
      </c>
      <c r="BC199" s="7" t="s">
        <v>110</v>
      </c>
      <c r="BD199" s="7" t="s">
        <v>110</v>
      </c>
      <c r="BF199" s="7" t="s">
        <v>112</v>
      </c>
      <c r="BG199" s="7">
        <v>7922</v>
      </c>
      <c r="BH199" s="7" t="s">
        <v>140</v>
      </c>
      <c r="BO199" s="7">
        <v>5</v>
      </c>
      <c r="BR199" s="7" t="s">
        <v>104</v>
      </c>
      <c r="BS199" s="7" t="s">
        <v>141</v>
      </c>
      <c r="BT199" s="7" t="s">
        <v>106</v>
      </c>
      <c r="BU199" s="7" t="s">
        <v>110</v>
      </c>
      <c r="BV199" s="7" t="s">
        <v>110</v>
      </c>
      <c r="BW199" s="7" t="s">
        <v>117</v>
      </c>
    </row>
    <row r="200" spans="1:75" x14ac:dyDescent="0.35">
      <c r="A200" t="s">
        <v>1043</v>
      </c>
      <c r="B200" s="1">
        <v>46005</v>
      </c>
      <c r="C200" s="2">
        <v>1.0115740740740741E-2</v>
      </c>
      <c r="D200" t="s">
        <v>873</v>
      </c>
      <c r="E200" t="s">
        <v>874</v>
      </c>
      <c r="F200" t="s">
        <v>1044</v>
      </c>
      <c r="G200">
        <f>COUNTIF($F$2:$F$278,F200)</f>
        <v>2</v>
      </c>
      <c r="H200" t="s">
        <v>186</v>
      </c>
      <c r="I200" t="s">
        <v>187</v>
      </c>
      <c r="J200" t="s">
        <v>83</v>
      </c>
      <c r="K200" t="s">
        <v>84</v>
      </c>
      <c r="M200" t="s">
        <v>85</v>
      </c>
      <c r="N200" t="s">
        <v>120</v>
      </c>
      <c r="O200" t="s">
        <v>87</v>
      </c>
      <c r="P200" t="s">
        <v>88</v>
      </c>
      <c r="Q200" t="s">
        <v>169</v>
      </c>
      <c r="R200" t="s">
        <v>170</v>
      </c>
      <c r="T200" t="s">
        <v>171</v>
      </c>
      <c r="U200" t="s">
        <v>93</v>
      </c>
      <c r="V200" t="s">
        <v>94</v>
      </c>
      <c r="X200" t="s">
        <v>172</v>
      </c>
      <c r="Y200" t="s">
        <v>173</v>
      </c>
      <c r="Z200" t="s">
        <v>174</v>
      </c>
      <c r="AA200" t="b">
        <v>0</v>
      </c>
      <c r="AB200" t="b">
        <v>0</v>
      </c>
      <c r="AD200">
        <v>138</v>
      </c>
      <c r="AE200" t="s">
        <v>153</v>
      </c>
      <c r="AI200" t="s">
        <v>1045</v>
      </c>
      <c r="AJ200" t="s">
        <v>100</v>
      </c>
      <c r="AK200" t="s">
        <v>1046</v>
      </c>
      <c r="AL200" t="s">
        <v>100</v>
      </c>
      <c r="AM200" t="s">
        <v>100</v>
      </c>
      <c r="AN200" t="s">
        <v>124</v>
      </c>
      <c r="AO200">
        <v>1002</v>
      </c>
      <c r="AP200" t="s">
        <v>1047</v>
      </c>
      <c r="AQ200" t="s">
        <v>104</v>
      </c>
      <c r="AR200" t="s">
        <v>197</v>
      </c>
      <c r="AS200" t="s">
        <v>206</v>
      </c>
      <c r="AT200" t="s">
        <v>199</v>
      </c>
      <c r="AU200" t="s">
        <v>199</v>
      </c>
      <c r="AX200" t="s">
        <v>200</v>
      </c>
      <c r="AY200" t="s">
        <v>1048</v>
      </c>
      <c r="AZ200" t="s">
        <v>104</v>
      </c>
      <c r="BA200" t="s">
        <v>197</v>
      </c>
      <c r="BB200" t="s">
        <v>202</v>
      </c>
      <c r="BC200" t="s">
        <v>199</v>
      </c>
      <c r="BD200" t="s">
        <v>199</v>
      </c>
      <c r="BF200" t="s">
        <v>203</v>
      </c>
      <c r="BG200">
        <v>20115</v>
      </c>
      <c r="BH200" t="s">
        <v>552</v>
      </c>
      <c r="BO200">
        <v>2</v>
      </c>
      <c r="BR200" t="s">
        <v>104</v>
      </c>
      <c r="BS200" t="s">
        <v>205</v>
      </c>
      <c r="BT200" t="s">
        <v>553</v>
      </c>
      <c r="BU200" t="s">
        <v>199</v>
      </c>
      <c r="BV200" t="s">
        <v>208</v>
      </c>
      <c r="BW200" t="s">
        <v>209</v>
      </c>
    </row>
    <row r="201" spans="1:75" x14ac:dyDescent="0.35">
      <c r="A201" t="s">
        <v>1043</v>
      </c>
      <c r="B201" s="1">
        <v>46005</v>
      </c>
      <c r="C201" s="2">
        <v>1.0115740740740741E-2</v>
      </c>
      <c r="D201" t="s">
        <v>873</v>
      </c>
      <c r="E201" t="s">
        <v>874</v>
      </c>
      <c r="F201" t="s">
        <v>1044</v>
      </c>
      <c r="G201">
        <f>COUNTIF($F$2:$F$278,F201)</f>
        <v>2</v>
      </c>
      <c r="H201" t="s">
        <v>186</v>
      </c>
      <c r="I201" t="s">
        <v>187</v>
      </c>
      <c r="J201" t="s">
        <v>83</v>
      </c>
      <c r="K201" t="s">
        <v>84</v>
      </c>
      <c r="M201" t="s">
        <v>85</v>
      </c>
      <c r="N201" t="s">
        <v>86</v>
      </c>
      <c r="O201" t="s">
        <v>84</v>
      </c>
      <c r="P201" t="s">
        <v>100</v>
      </c>
      <c r="Q201" t="s">
        <v>386</v>
      </c>
      <c r="R201" t="s">
        <v>387</v>
      </c>
      <c r="S201" t="s">
        <v>224</v>
      </c>
      <c r="T201" t="s">
        <v>225</v>
      </c>
      <c r="U201" t="s">
        <v>93</v>
      </c>
      <c r="V201" t="s">
        <v>94</v>
      </c>
      <c r="X201" t="s">
        <v>172</v>
      </c>
      <c r="Y201" t="s">
        <v>173</v>
      </c>
      <c r="Z201" t="s">
        <v>174</v>
      </c>
      <c r="AA201" t="b">
        <v>0</v>
      </c>
      <c r="AB201" t="b">
        <v>0</v>
      </c>
      <c r="AD201">
        <v>88</v>
      </c>
      <c r="AE201" t="s">
        <v>352</v>
      </c>
      <c r="AF201" t="s">
        <v>146</v>
      </c>
      <c r="AH201" t="s">
        <v>874</v>
      </c>
      <c r="AI201" t="s">
        <v>1045</v>
      </c>
      <c r="AJ201" t="s">
        <v>100</v>
      </c>
      <c r="AK201" t="s">
        <v>1049</v>
      </c>
      <c r="AL201" t="s">
        <v>100</v>
      </c>
      <c r="AM201" t="s">
        <v>100</v>
      </c>
      <c r="AN201" t="s">
        <v>124</v>
      </c>
      <c r="AO201">
        <v>1002</v>
      </c>
      <c r="AP201" t="s">
        <v>1047</v>
      </c>
      <c r="AQ201" t="s">
        <v>104</v>
      </c>
      <c r="AR201" t="s">
        <v>197</v>
      </c>
      <c r="AS201" t="s">
        <v>206</v>
      </c>
      <c r="AT201" t="s">
        <v>199</v>
      </c>
      <c r="AU201" t="s">
        <v>199</v>
      </c>
      <c r="AX201" t="s">
        <v>200</v>
      </c>
      <c r="AY201" t="s">
        <v>1048</v>
      </c>
      <c r="AZ201" t="s">
        <v>104</v>
      </c>
      <c r="BA201" t="s">
        <v>197</v>
      </c>
      <c r="BB201" t="s">
        <v>202</v>
      </c>
      <c r="BC201" t="s">
        <v>199</v>
      </c>
      <c r="BD201" t="s">
        <v>199</v>
      </c>
      <c r="BF201" t="s">
        <v>203</v>
      </c>
      <c r="BG201">
        <v>20115</v>
      </c>
      <c r="BH201" t="s">
        <v>552</v>
      </c>
      <c r="BO201">
        <v>2</v>
      </c>
      <c r="BR201" t="s">
        <v>104</v>
      </c>
      <c r="BS201" t="s">
        <v>205</v>
      </c>
      <c r="BT201" t="s">
        <v>553</v>
      </c>
      <c r="BU201" t="s">
        <v>199</v>
      </c>
      <c r="BV201" t="s">
        <v>208</v>
      </c>
      <c r="BW201" t="s">
        <v>209</v>
      </c>
    </row>
    <row r="202" spans="1:75" s="7" customFormat="1" x14ac:dyDescent="0.35">
      <c r="A202" s="7" t="s">
        <v>1050</v>
      </c>
      <c r="B202" s="8">
        <v>46004</v>
      </c>
      <c r="C202" s="9">
        <v>0.83436342592592594</v>
      </c>
      <c r="D202" s="7" t="s">
        <v>78</v>
      </c>
      <c r="E202" s="7" t="s">
        <v>79</v>
      </c>
      <c r="F202" s="7" t="s">
        <v>128</v>
      </c>
      <c r="G202" s="7">
        <f>COUNTIF($F$2:$F$278,F202)</f>
        <v>26</v>
      </c>
      <c r="H202" s="7" t="s">
        <v>81</v>
      </c>
      <c r="I202" s="7" t="s">
        <v>82</v>
      </c>
      <c r="J202" s="7" t="s">
        <v>83</v>
      </c>
      <c r="K202" s="7" t="s">
        <v>84</v>
      </c>
      <c r="M202" s="7" t="s">
        <v>85</v>
      </c>
      <c r="N202" s="7" t="s">
        <v>86</v>
      </c>
      <c r="O202" s="7" t="s">
        <v>87</v>
      </c>
      <c r="P202" s="7" t="s">
        <v>88</v>
      </c>
      <c r="Q202" s="7" t="s">
        <v>89</v>
      </c>
      <c r="R202" s="7" t="s">
        <v>90</v>
      </c>
      <c r="S202" s="7" t="s">
        <v>91</v>
      </c>
      <c r="T202" s="7" t="s">
        <v>92</v>
      </c>
      <c r="U202" s="7" t="s">
        <v>93</v>
      </c>
      <c r="V202" s="7" t="s">
        <v>94</v>
      </c>
      <c r="W202" s="7" t="s">
        <v>95</v>
      </c>
      <c r="Y202" s="7" t="s">
        <v>96</v>
      </c>
      <c r="Z202" s="7" t="s">
        <v>97</v>
      </c>
      <c r="AA202" s="7" t="b">
        <v>0</v>
      </c>
      <c r="AB202" s="7" t="b">
        <v>0</v>
      </c>
      <c r="AC202" s="11" t="s">
        <v>1331</v>
      </c>
      <c r="AD202" s="7">
        <v>68</v>
      </c>
      <c r="AE202" s="7" t="s">
        <v>98</v>
      </c>
      <c r="AI202" s="7" t="s">
        <v>99</v>
      </c>
      <c r="AJ202" s="7" t="s">
        <v>100</v>
      </c>
      <c r="AK202" s="7" t="s">
        <v>1051</v>
      </c>
      <c r="AL202" s="7" t="s">
        <v>100</v>
      </c>
      <c r="AM202" s="7" t="s">
        <v>100</v>
      </c>
      <c r="AN202" s="7" t="s">
        <v>102</v>
      </c>
      <c r="AP202" s="7" t="s">
        <v>1052</v>
      </c>
      <c r="AQ202" s="7" t="s">
        <v>104</v>
      </c>
      <c r="AR202" s="7" t="s">
        <v>105</v>
      </c>
      <c r="AS202" s="7" t="s">
        <v>137</v>
      </c>
      <c r="AT202" s="7" t="s">
        <v>107</v>
      </c>
      <c r="AU202" s="7" t="s">
        <v>107</v>
      </c>
      <c r="AX202" s="7" t="s">
        <v>108</v>
      </c>
      <c r="AY202" s="7" t="s">
        <v>138</v>
      </c>
      <c r="AZ202" s="7" t="s">
        <v>104</v>
      </c>
      <c r="BA202" s="7" t="s">
        <v>105</v>
      </c>
      <c r="BB202" s="7" t="s">
        <v>139</v>
      </c>
      <c r="BC202" s="7" t="s">
        <v>110</v>
      </c>
      <c r="BD202" s="7" t="s">
        <v>110</v>
      </c>
      <c r="BF202" s="7" t="s">
        <v>112</v>
      </c>
      <c r="BG202" s="7">
        <v>7922</v>
      </c>
      <c r="BH202" s="7" t="s">
        <v>140</v>
      </c>
      <c r="BO202" s="7">
        <v>5</v>
      </c>
      <c r="BR202" s="7" t="s">
        <v>104</v>
      </c>
      <c r="BS202" s="7" t="s">
        <v>141</v>
      </c>
      <c r="BT202" s="7" t="s">
        <v>106</v>
      </c>
      <c r="BU202" s="7" t="s">
        <v>110</v>
      </c>
      <c r="BV202" s="7" t="s">
        <v>110</v>
      </c>
      <c r="BW202" s="7" t="s">
        <v>117</v>
      </c>
    </row>
    <row r="203" spans="1:75" s="7" customFormat="1" x14ac:dyDescent="0.35">
      <c r="A203" s="7" t="s">
        <v>1053</v>
      </c>
      <c r="B203" s="8">
        <v>46004</v>
      </c>
      <c r="C203" s="9">
        <v>0.79001157407407396</v>
      </c>
      <c r="D203" s="7" t="s">
        <v>536</v>
      </c>
      <c r="E203" s="7" t="s">
        <v>537</v>
      </c>
      <c r="F203" s="11" t="s">
        <v>346</v>
      </c>
      <c r="G203" s="7">
        <f>COUNTIF($F$2:$F$278,F203)</f>
        <v>69</v>
      </c>
      <c r="H203" s="7" t="s">
        <v>347</v>
      </c>
      <c r="I203" s="7" t="s">
        <v>187</v>
      </c>
      <c r="J203" s="7" t="s">
        <v>83</v>
      </c>
      <c r="K203" s="7" t="s">
        <v>84</v>
      </c>
      <c r="M203" s="7" t="s">
        <v>85</v>
      </c>
      <c r="N203" s="7" t="s">
        <v>86</v>
      </c>
      <c r="O203" s="7" t="s">
        <v>87</v>
      </c>
      <c r="P203" s="7" t="s">
        <v>88</v>
      </c>
      <c r="Q203" s="7" t="s">
        <v>89</v>
      </c>
      <c r="R203" s="7" t="s">
        <v>90</v>
      </c>
      <c r="S203" s="7" t="s">
        <v>91</v>
      </c>
      <c r="T203" s="7" t="s">
        <v>92</v>
      </c>
      <c r="U203" s="7" t="s">
        <v>93</v>
      </c>
      <c r="V203" s="7" t="s">
        <v>94</v>
      </c>
      <c r="W203" s="7" t="s">
        <v>538</v>
      </c>
      <c r="Y203" s="7" t="s">
        <v>96</v>
      </c>
      <c r="Z203" s="7" t="s">
        <v>97</v>
      </c>
      <c r="AA203" s="7" t="b">
        <v>0</v>
      </c>
      <c r="AB203" s="7" t="b">
        <v>0</v>
      </c>
      <c r="AC203" s="7" t="s">
        <v>1331</v>
      </c>
      <c r="AD203" s="7">
        <v>106</v>
      </c>
      <c r="AE203" s="7" t="s">
        <v>98</v>
      </c>
      <c r="AI203" s="7" t="s">
        <v>539</v>
      </c>
      <c r="AJ203" s="7" t="s">
        <v>100</v>
      </c>
      <c r="AK203" s="7" t="s">
        <v>1054</v>
      </c>
      <c r="AL203" s="7" t="s">
        <v>100</v>
      </c>
      <c r="AM203" s="7" t="s">
        <v>100</v>
      </c>
      <c r="AN203" s="7" t="s">
        <v>102</v>
      </c>
      <c r="AP203" s="7" t="s">
        <v>1055</v>
      </c>
      <c r="AQ203" s="7" t="s">
        <v>104</v>
      </c>
      <c r="AR203" s="7" t="s">
        <v>197</v>
      </c>
      <c r="AS203" s="7" t="s">
        <v>356</v>
      </c>
      <c r="AT203" s="7" t="s">
        <v>199</v>
      </c>
      <c r="AU203" s="7" t="s">
        <v>199</v>
      </c>
      <c r="AX203" s="7" t="s">
        <v>200</v>
      </c>
      <c r="AY203" s="7" t="s">
        <v>357</v>
      </c>
      <c r="AZ203" s="7" t="s">
        <v>104</v>
      </c>
      <c r="BA203" s="7" t="s">
        <v>197</v>
      </c>
      <c r="BB203" s="7" t="s">
        <v>356</v>
      </c>
      <c r="BC203" s="7" t="s">
        <v>199</v>
      </c>
      <c r="BD203" s="7" t="s">
        <v>199</v>
      </c>
      <c r="BF203" s="7" t="s">
        <v>203</v>
      </c>
      <c r="BG203" s="7">
        <v>20115</v>
      </c>
      <c r="BH203" s="7" t="s">
        <v>358</v>
      </c>
      <c r="BO203" s="7">
        <v>9</v>
      </c>
      <c r="BR203" s="7" t="s">
        <v>104</v>
      </c>
      <c r="BS203" s="7" t="s">
        <v>205</v>
      </c>
      <c r="BT203" s="7" t="s">
        <v>356</v>
      </c>
      <c r="BU203" s="7" t="s">
        <v>207</v>
      </c>
      <c r="BV203" s="7" t="s">
        <v>208</v>
      </c>
      <c r="BW203" s="7" t="s">
        <v>209</v>
      </c>
    </row>
    <row r="204" spans="1:75" s="7" customFormat="1" x14ac:dyDescent="0.35">
      <c r="A204" s="7" t="s">
        <v>1056</v>
      </c>
      <c r="B204" s="8">
        <v>46004</v>
      </c>
      <c r="C204" s="9">
        <v>0.7179282407407408</v>
      </c>
      <c r="D204" s="7" t="s">
        <v>810</v>
      </c>
      <c r="E204" s="7" t="s">
        <v>811</v>
      </c>
      <c r="F204" s="11" t="s">
        <v>346</v>
      </c>
      <c r="G204" s="7">
        <f>COUNTIF($F$2:$F$278,F204)</f>
        <v>69</v>
      </c>
      <c r="H204" s="7" t="s">
        <v>347</v>
      </c>
      <c r="I204" s="7" t="s">
        <v>187</v>
      </c>
      <c r="J204" s="7" t="s">
        <v>83</v>
      </c>
      <c r="K204" s="7" t="s">
        <v>84</v>
      </c>
      <c r="M204" s="7" t="s">
        <v>85</v>
      </c>
      <c r="N204" s="7" t="s">
        <v>86</v>
      </c>
      <c r="O204" s="7" t="s">
        <v>84</v>
      </c>
      <c r="P204" s="7" t="s">
        <v>100</v>
      </c>
      <c r="Q204" s="7" t="s">
        <v>1057</v>
      </c>
      <c r="R204" s="7" t="s">
        <v>1058</v>
      </c>
      <c r="S204" s="7" t="s">
        <v>314</v>
      </c>
      <c r="T204" s="7" t="s">
        <v>315</v>
      </c>
      <c r="U204" s="7" t="s">
        <v>93</v>
      </c>
      <c r="V204" s="7" t="s">
        <v>22</v>
      </c>
      <c r="X204" s="7" t="s">
        <v>192</v>
      </c>
      <c r="Y204" s="7" t="s">
        <v>132</v>
      </c>
      <c r="Z204" s="7" t="s">
        <v>193</v>
      </c>
      <c r="AA204" s="7" t="b">
        <v>0</v>
      </c>
      <c r="AB204" s="7" t="b">
        <v>0</v>
      </c>
      <c r="AD204" s="7">
        <v>50</v>
      </c>
      <c r="AE204" s="7" t="s">
        <v>153</v>
      </c>
      <c r="AI204" s="7" t="s">
        <v>1012</v>
      </c>
      <c r="AJ204" s="7" t="s">
        <v>100</v>
      </c>
      <c r="AK204" s="7" t="s">
        <v>1059</v>
      </c>
      <c r="AL204" s="7" t="s">
        <v>100</v>
      </c>
      <c r="AM204" s="7" t="s">
        <v>100</v>
      </c>
      <c r="AN204" s="7" t="s">
        <v>124</v>
      </c>
      <c r="AO204" s="7">
        <v>1002</v>
      </c>
      <c r="AP204" s="7" t="s">
        <v>1060</v>
      </c>
      <c r="AQ204" s="7" t="s">
        <v>104</v>
      </c>
      <c r="AR204" s="7" t="s">
        <v>197</v>
      </c>
      <c r="AS204" s="7" t="s">
        <v>356</v>
      </c>
      <c r="AT204" s="7" t="s">
        <v>199</v>
      </c>
      <c r="AU204" s="7" t="s">
        <v>199</v>
      </c>
      <c r="AX204" s="7" t="s">
        <v>200</v>
      </c>
      <c r="AY204" s="7" t="s">
        <v>357</v>
      </c>
      <c r="AZ204" s="7" t="s">
        <v>104</v>
      </c>
      <c r="BA204" s="7" t="s">
        <v>197</v>
      </c>
      <c r="BB204" s="7" t="s">
        <v>356</v>
      </c>
      <c r="BC204" s="7" t="s">
        <v>199</v>
      </c>
      <c r="BD204" s="7" t="s">
        <v>199</v>
      </c>
      <c r="BF204" s="7" t="s">
        <v>203</v>
      </c>
      <c r="BG204" s="7">
        <v>20115</v>
      </c>
      <c r="BH204" s="7" t="s">
        <v>358</v>
      </c>
      <c r="BO204" s="7">
        <v>9</v>
      </c>
      <c r="BR204" s="7" t="s">
        <v>104</v>
      </c>
      <c r="BS204" s="7" t="s">
        <v>205</v>
      </c>
      <c r="BT204" s="7" t="s">
        <v>356</v>
      </c>
      <c r="BU204" s="7" t="s">
        <v>207</v>
      </c>
      <c r="BV204" s="7" t="s">
        <v>208</v>
      </c>
      <c r="BW204" s="7" t="s">
        <v>209</v>
      </c>
    </row>
    <row r="205" spans="1:75" s="7" customFormat="1" x14ac:dyDescent="0.35">
      <c r="A205" s="7" t="s">
        <v>1061</v>
      </c>
      <c r="B205" s="8">
        <v>46004</v>
      </c>
      <c r="C205" s="9">
        <v>0.71769675925925924</v>
      </c>
      <c r="D205" s="7" t="s">
        <v>810</v>
      </c>
      <c r="E205" s="7" t="s">
        <v>811</v>
      </c>
      <c r="F205" s="11" t="s">
        <v>346</v>
      </c>
      <c r="G205" s="7">
        <f>COUNTIF($F$2:$F$278,F205)</f>
        <v>69</v>
      </c>
      <c r="H205" s="7" t="s">
        <v>347</v>
      </c>
      <c r="I205" s="7" t="s">
        <v>187</v>
      </c>
      <c r="J205" s="7" t="s">
        <v>83</v>
      </c>
      <c r="K205" s="7" t="s">
        <v>84</v>
      </c>
      <c r="M205" s="7" t="s">
        <v>85</v>
      </c>
      <c r="N205" s="7" t="s">
        <v>86</v>
      </c>
      <c r="O205" s="7" t="s">
        <v>84</v>
      </c>
      <c r="P205" s="7" t="s">
        <v>100</v>
      </c>
      <c r="Q205" s="7" t="s">
        <v>898</v>
      </c>
      <c r="R205" s="7" t="s">
        <v>899</v>
      </c>
      <c r="S205" s="7" t="s">
        <v>532</v>
      </c>
      <c r="T205" s="7" t="s">
        <v>533</v>
      </c>
      <c r="U205" s="7" t="s">
        <v>93</v>
      </c>
      <c r="V205" s="7" t="s">
        <v>22</v>
      </c>
      <c r="X205" s="7" t="s">
        <v>192</v>
      </c>
      <c r="Y205" s="7" t="s">
        <v>132</v>
      </c>
      <c r="Z205" s="7" t="s">
        <v>193</v>
      </c>
      <c r="AA205" s="7" t="b">
        <v>0</v>
      </c>
      <c r="AB205" s="7" t="b">
        <v>0</v>
      </c>
      <c r="AD205" s="7">
        <v>98</v>
      </c>
      <c r="AE205" s="7" t="s">
        <v>153</v>
      </c>
      <c r="AI205" s="7" t="s">
        <v>1012</v>
      </c>
      <c r="AJ205" s="7" t="s">
        <v>100</v>
      </c>
      <c r="AK205" s="7" t="s">
        <v>1062</v>
      </c>
      <c r="AL205" s="7" t="s">
        <v>100</v>
      </c>
      <c r="AM205" s="7" t="s">
        <v>100</v>
      </c>
      <c r="AN205" s="7" t="s">
        <v>124</v>
      </c>
      <c r="AO205" s="7">
        <v>1002</v>
      </c>
      <c r="AP205" s="7" t="s">
        <v>1063</v>
      </c>
      <c r="AQ205" s="7" t="s">
        <v>104</v>
      </c>
      <c r="AR205" s="7" t="s">
        <v>197</v>
      </c>
      <c r="AS205" s="7" t="s">
        <v>356</v>
      </c>
      <c r="AT205" s="7" t="s">
        <v>199</v>
      </c>
      <c r="AU205" s="7" t="s">
        <v>199</v>
      </c>
      <c r="AX205" s="7" t="s">
        <v>200</v>
      </c>
      <c r="AY205" s="7" t="s">
        <v>357</v>
      </c>
      <c r="AZ205" s="7" t="s">
        <v>104</v>
      </c>
      <c r="BA205" s="7" t="s">
        <v>197</v>
      </c>
      <c r="BB205" s="7" t="s">
        <v>356</v>
      </c>
      <c r="BC205" s="7" t="s">
        <v>199</v>
      </c>
      <c r="BD205" s="7" t="s">
        <v>199</v>
      </c>
      <c r="BF205" s="7" t="s">
        <v>203</v>
      </c>
      <c r="BG205" s="7">
        <v>20115</v>
      </c>
      <c r="BH205" s="7" t="s">
        <v>358</v>
      </c>
      <c r="BO205" s="7">
        <v>9</v>
      </c>
      <c r="BR205" s="7" t="s">
        <v>104</v>
      </c>
      <c r="BS205" s="7" t="s">
        <v>205</v>
      </c>
      <c r="BT205" s="7" t="s">
        <v>356</v>
      </c>
      <c r="BU205" s="7" t="s">
        <v>207</v>
      </c>
      <c r="BV205" s="7" t="s">
        <v>208</v>
      </c>
      <c r="BW205" s="7" t="s">
        <v>209</v>
      </c>
    </row>
    <row r="206" spans="1:75" x14ac:dyDescent="0.35">
      <c r="A206" t="s">
        <v>1064</v>
      </c>
      <c r="B206" s="1">
        <v>46004</v>
      </c>
      <c r="C206" s="2">
        <v>0.71759259259259256</v>
      </c>
      <c r="D206" t="s">
        <v>183</v>
      </c>
      <c r="E206" t="s">
        <v>184</v>
      </c>
      <c r="F206" t="s">
        <v>1065</v>
      </c>
      <c r="G206">
        <f>COUNTIF($F$2:$F$278,F206)</f>
        <v>6</v>
      </c>
      <c r="H206" t="s">
        <v>1066</v>
      </c>
      <c r="I206" t="s">
        <v>240</v>
      </c>
      <c r="J206" t="s">
        <v>83</v>
      </c>
      <c r="K206" t="s">
        <v>84</v>
      </c>
      <c r="M206" t="s">
        <v>85</v>
      </c>
      <c r="N206" t="s">
        <v>86</v>
      </c>
      <c r="O206" t="s">
        <v>84</v>
      </c>
      <c r="P206" t="s">
        <v>100</v>
      </c>
      <c r="Q206" t="s">
        <v>325</v>
      </c>
      <c r="R206" t="s">
        <v>326</v>
      </c>
      <c r="S206" t="s">
        <v>314</v>
      </c>
      <c r="T206" t="s">
        <v>315</v>
      </c>
      <c r="U206" t="s">
        <v>93</v>
      </c>
      <c r="V206" t="s">
        <v>22</v>
      </c>
      <c r="X206" t="s">
        <v>1067</v>
      </c>
      <c r="Y206" t="s">
        <v>132</v>
      </c>
      <c r="Z206" t="s">
        <v>1068</v>
      </c>
      <c r="AA206" t="b">
        <v>0</v>
      </c>
      <c r="AB206" t="b">
        <v>0</v>
      </c>
      <c r="AD206">
        <v>92</v>
      </c>
      <c r="AE206" t="s">
        <v>153</v>
      </c>
      <c r="AI206" t="s">
        <v>1069</v>
      </c>
      <c r="AJ206" t="s">
        <v>100</v>
      </c>
      <c r="AK206" t="s">
        <v>1070</v>
      </c>
      <c r="AL206" t="s">
        <v>100</v>
      </c>
      <c r="AM206" t="s">
        <v>100</v>
      </c>
      <c r="AN206" t="s">
        <v>124</v>
      </c>
      <c r="AO206">
        <v>1002</v>
      </c>
      <c r="AP206" t="s">
        <v>1071</v>
      </c>
      <c r="AQ206" t="s">
        <v>104</v>
      </c>
      <c r="AR206" t="s">
        <v>246</v>
      </c>
      <c r="AS206" t="s">
        <v>247</v>
      </c>
      <c r="AT206" t="s">
        <v>248</v>
      </c>
      <c r="AU206" t="s">
        <v>248</v>
      </c>
      <c r="AX206" t="s">
        <v>249</v>
      </c>
      <c r="AY206" t="s">
        <v>250</v>
      </c>
      <c r="AZ206" t="s">
        <v>104</v>
      </c>
      <c r="BA206" t="s">
        <v>246</v>
      </c>
      <c r="BB206" t="s">
        <v>247</v>
      </c>
      <c r="BC206" t="s">
        <v>251</v>
      </c>
      <c r="BD206" t="s">
        <v>251</v>
      </c>
      <c r="BF206" t="s">
        <v>252</v>
      </c>
      <c r="BG206">
        <v>7018</v>
      </c>
      <c r="BH206" t="s">
        <v>253</v>
      </c>
      <c r="BO206">
        <v>3</v>
      </c>
      <c r="BR206" t="s">
        <v>104</v>
      </c>
      <c r="BS206" t="s">
        <v>254</v>
      </c>
      <c r="BT206" t="s">
        <v>247</v>
      </c>
      <c r="BU206" t="s">
        <v>251</v>
      </c>
      <c r="BV206" t="s">
        <v>255</v>
      </c>
      <c r="BW206" t="s">
        <v>209</v>
      </c>
    </row>
    <row r="207" spans="1:75" x14ac:dyDescent="0.35">
      <c r="A207" t="s">
        <v>1072</v>
      </c>
      <c r="B207" s="1">
        <v>46004</v>
      </c>
      <c r="C207" s="2">
        <v>0.71754629629629629</v>
      </c>
      <c r="D207" t="s">
        <v>183</v>
      </c>
      <c r="E207" t="s">
        <v>184</v>
      </c>
      <c r="F207" t="s">
        <v>1065</v>
      </c>
      <c r="G207">
        <f>COUNTIF($F$2:$F$278,F207)</f>
        <v>6</v>
      </c>
      <c r="H207" t="s">
        <v>1066</v>
      </c>
      <c r="I207" t="s">
        <v>240</v>
      </c>
      <c r="J207" t="s">
        <v>83</v>
      </c>
      <c r="K207" t="s">
        <v>84</v>
      </c>
      <c r="M207" t="s">
        <v>85</v>
      </c>
      <c r="N207" t="s">
        <v>86</v>
      </c>
      <c r="O207" t="s">
        <v>84</v>
      </c>
      <c r="P207" t="s">
        <v>100</v>
      </c>
      <c r="Q207" t="s">
        <v>330</v>
      </c>
      <c r="R207" t="s">
        <v>331</v>
      </c>
      <c r="S207" t="s">
        <v>91</v>
      </c>
      <c r="T207" t="s">
        <v>92</v>
      </c>
      <c r="U207" t="s">
        <v>93</v>
      </c>
      <c r="V207" t="s">
        <v>22</v>
      </c>
      <c r="X207" t="s">
        <v>1067</v>
      </c>
      <c r="Y207" t="s">
        <v>132</v>
      </c>
      <c r="Z207" t="s">
        <v>1068</v>
      </c>
      <c r="AA207" t="b">
        <v>0</v>
      </c>
      <c r="AB207" t="b">
        <v>0</v>
      </c>
      <c r="AD207">
        <v>84</v>
      </c>
      <c r="AE207" t="s">
        <v>153</v>
      </c>
      <c r="AI207" t="s">
        <v>1069</v>
      </c>
      <c r="AJ207" t="s">
        <v>100</v>
      </c>
      <c r="AK207" t="s">
        <v>1073</v>
      </c>
      <c r="AL207" t="s">
        <v>100</v>
      </c>
      <c r="AM207" t="s">
        <v>100</v>
      </c>
      <c r="AN207" t="s">
        <v>124</v>
      </c>
      <c r="AO207">
        <v>1002</v>
      </c>
      <c r="AP207" t="s">
        <v>1074</v>
      </c>
      <c r="AQ207" t="s">
        <v>104</v>
      </c>
      <c r="AR207" t="s">
        <v>246</v>
      </c>
      <c r="AS207" t="s">
        <v>247</v>
      </c>
      <c r="AT207" t="s">
        <v>248</v>
      </c>
      <c r="AU207" t="s">
        <v>248</v>
      </c>
      <c r="AX207" t="s">
        <v>249</v>
      </c>
      <c r="AY207" t="s">
        <v>250</v>
      </c>
      <c r="AZ207" t="s">
        <v>104</v>
      </c>
      <c r="BA207" t="s">
        <v>246</v>
      </c>
      <c r="BB207" t="s">
        <v>247</v>
      </c>
      <c r="BC207" t="s">
        <v>251</v>
      </c>
      <c r="BD207" t="s">
        <v>251</v>
      </c>
      <c r="BF207" t="s">
        <v>252</v>
      </c>
      <c r="BG207">
        <v>7018</v>
      </c>
      <c r="BH207" t="s">
        <v>253</v>
      </c>
      <c r="BO207">
        <v>3</v>
      </c>
      <c r="BR207" t="s">
        <v>104</v>
      </c>
      <c r="BS207" t="s">
        <v>254</v>
      </c>
      <c r="BT207" t="s">
        <v>247</v>
      </c>
      <c r="BU207" t="s">
        <v>251</v>
      </c>
      <c r="BV207" t="s">
        <v>255</v>
      </c>
      <c r="BW207" t="s">
        <v>209</v>
      </c>
    </row>
    <row r="208" spans="1:75" x14ac:dyDescent="0.35">
      <c r="A208" t="s">
        <v>1075</v>
      </c>
      <c r="B208" s="1">
        <v>46004</v>
      </c>
      <c r="C208" s="2">
        <v>0.71747685185185184</v>
      </c>
      <c r="D208" t="s">
        <v>183</v>
      </c>
      <c r="E208" t="s">
        <v>184</v>
      </c>
      <c r="F208" t="s">
        <v>1065</v>
      </c>
      <c r="G208">
        <f>COUNTIF($F$2:$F$278,F208)</f>
        <v>6</v>
      </c>
      <c r="H208" t="s">
        <v>1066</v>
      </c>
      <c r="I208" t="s">
        <v>240</v>
      </c>
      <c r="J208" t="s">
        <v>83</v>
      </c>
      <c r="K208" t="s">
        <v>84</v>
      </c>
      <c r="M208" t="s">
        <v>85</v>
      </c>
      <c r="N208" t="s">
        <v>86</v>
      </c>
      <c r="O208" t="s">
        <v>84</v>
      </c>
      <c r="P208" t="s">
        <v>100</v>
      </c>
      <c r="Q208" t="s">
        <v>150</v>
      </c>
      <c r="R208" t="s">
        <v>151</v>
      </c>
      <c r="S208" t="s">
        <v>150</v>
      </c>
      <c r="T208" t="s">
        <v>151</v>
      </c>
      <c r="U208" t="s">
        <v>93</v>
      </c>
      <c r="V208" t="s">
        <v>22</v>
      </c>
      <c r="X208" t="s">
        <v>1067</v>
      </c>
      <c r="Y208" t="s">
        <v>132</v>
      </c>
      <c r="Z208" t="s">
        <v>1068</v>
      </c>
      <c r="AA208" t="b">
        <v>0</v>
      </c>
      <c r="AB208" t="b">
        <v>0</v>
      </c>
      <c r="AD208">
        <v>87</v>
      </c>
      <c r="AE208" t="s">
        <v>153</v>
      </c>
      <c r="AI208" t="s">
        <v>1069</v>
      </c>
      <c r="AJ208" t="s">
        <v>100</v>
      </c>
      <c r="AK208" t="s">
        <v>1076</v>
      </c>
      <c r="AL208" t="s">
        <v>100</v>
      </c>
      <c r="AM208" t="s">
        <v>100</v>
      </c>
      <c r="AN208" t="s">
        <v>124</v>
      </c>
      <c r="AO208">
        <v>1002</v>
      </c>
      <c r="AP208" t="s">
        <v>1077</v>
      </c>
      <c r="AQ208" t="s">
        <v>104</v>
      </c>
      <c r="AR208" t="s">
        <v>246</v>
      </c>
      <c r="AS208" t="s">
        <v>247</v>
      </c>
      <c r="AT208" t="s">
        <v>248</v>
      </c>
      <c r="AU208" t="s">
        <v>248</v>
      </c>
      <c r="AX208" t="s">
        <v>249</v>
      </c>
      <c r="AY208" t="s">
        <v>250</v>
      </c>
      <c r="AZ208" t="s">
        <v>104</v>
      </c>
      <c r="BA208" t="s">
        <v>246</v>
      </c>
      <c r="BB208" t="s">
        <v>247</v>
      </c>
      <c r="BC208" t="s">
        <v>251</v>
      </c>
      <c r="BD208" t="s">
        <v>251</v>
      </c>
      <c r="BF208" t="s">
        <v>252</v>
      </c>
      <c r="BG208">
        <v>7018</v>
      </c>
      <c r="BH208" t="s">
        <v>253</v>
      </c>
      <c r="BO208">
        <v>3</v>
      </c>
      <c r="BR208" t="s">
        <v>104</v>
      </c>
      <c r="BS208" t="s">
        <v>254</v>
      </c>
      <c r="BT208" t="s">
        <v>247</v>
      </c>
      <c r="BU208" t="s">
        <v>251</v>
      </c>
      <c r="BV208" t="s">
        <v>255</v>
      </c>
      <c r="BW208" t="s">
        <v>209</v>
      </c>
    </row>
    <row r="209" spans="1:75" x14ac:dyDescent="0.35">
      <c r="A209" t="s">
        <v>1075</v>
      </c>
      <c r="B209" s="1">
        <v>46004</v>
      </c>
      <c r="C209" s="2">
        <v>0.71747685185185184</v>
      </c>
      <c r="D209" t="s">
        <v>183</v>
      </c>
      <c r="E209" t="s">
        <v>184</v>
      </c>
      <c r="F209" t="s">
        <v>1065</v>
      </c>
      <c r="G209">
        <f>COUNTIF($F$2:$F$278,F209)</f>
        <v>6</v>
      </c>
      <c r="H209" t="s">
        <v>1066</v>
      </c>
      <c r="I209" t="s">
        <v>240</v>
      </c>
      <c r="J209" t="s">
        <v>83</v>
      </c>
      <c r="K209" t="s">
        <v>84</v>
      </c>
      <c r="M209" t="s">
        <v>85</v>
      </c>
      <c r="N209" t="s">
        <v>86</v>
      </c>
      <c r="O209" t="s">
        <v>84</v>
      </c>
      <c r="P209" t="s">
        <v>100</v>
      </c>
      <c r="Q209" t="s">
        <v>150</v>
      </c>
      <c r="R209" t="s">
        <v>151</v>
      </c>
      <c r="S209" t="s">
        <v>150</v>
      </c>
      <c r="T209" t="s">
        <v>151</v>
      </c>
      <c r="U209" t="s">
        <v>93</v>
      </c>
      <c r="V209" t="s">
        <v>22</v>
      </c>
      <c r="X209" t="s">
        <v>1067</v>
      </c>
      <c r="Y209" t="s">
        <v>132</v>
      </c>
      <c r="Z209" t="s">
        <v>1068</v>
      </c>
      <c r="AA209" t="b">
        <v>0</v>
      </c>
      <c r="AB209" t="b">
        <v>0</v>
      </c>
      <c r="AD209">
        <v>90</v>
      </c>
      <c r="AE209" t="s">
        <v>153</v>
      </c>
      <c r="AI209" t="s">
        <v>1069</v>
      </c>
      <c r="AJ209" t="s">
        <v>100</v>
      </c>
      <c r="AK209" t="s">
        <v>1078</v>
      </c>
      <c r="AL209" t="s">
        <v>100</v>
      </c>
      <c r="AM209" t="s">
        <v>100</v>
      </c>
      <c r="AN209" t="s">
        <v>124</v>
      </c>
      <c r="AO209">
        <v>1002</v>
      </c>
      <c r="AP209" t="s">
        <v>1079</v>
      </c>
      <c r="AQ209" t="s">
        <v>104</v>
      </c>
      <c r="AR209" t="s">
        <v>246</v>
      </c>
      <c r="AS209" t="s">
        <v>247</v>
      </c>
      <c r="AT209" t="s">
        <v>248</v>
      </c>
      <c r="AU209" t="s">
        <v>248</v>
      </c>
      <c r="AX209" t="s">
        <v>249</v>
      </c>
      <c r="AY209" t="s">
        <v>250</v>
      </c>
      <c r="AZ209" t="s">
        <v>104</v>
      </c>
      <c r="BA209" t="s">
        <v>246</v>
      </c>
      <c r="BB209" t="s">
        <v>247</v>
      </c>
      <c r="BC209" t="s">
        <v>251</v>
      </c>
      <c r="BD209" t="s">
        <v>251</v>
      </c>
      <c r="BF209" t="s">
        <v>252</v>
      </c>
      <c r="BG209">
        <v>7018</v>
      </c>
      <c r="BH209" t="s">
        <v>253</v>
      </c>
      <c r="BO209">
        <v>3</v>
      </c>
      <c r="BR209" t="s">
        <v>104</v>
      </c>
      <c r="BS209" t="s">
        <v>254</v>
      </c>
      <c r="BT209" t="s">
        <v>247</v>
      </c>
      <c r="BU209" t="s">
        <v>251</v>
      </c>
      <c r="BV209" t="s">
        <v>255</v>
      </c>
      <c r="BW209" t="s">
        <v>209</v>
      </c>
    </row>
    <row r="210" spans="1:75" x14ac:dyDescent="0.35">
      <c r="A210" t="s">
        <v>1080</v>
      </c>
      <c r="B210" s="1">
        <v>46004</v>
      </c>
      <c r="C210" s="2">
        <v>0.7174652777777778</v>
      </c>
      <c r="D210" t="s">
        <v>183</v>
      </c>
      <c r="E210" t="s">
        <v>184</v>
      </c>
      <c r="F210" t="s">
        <v>1065</v>
      </c>
      <c r="G210">
        <f>COUNTIF($F$2:$F$278,F210)</f>
        <v>6</v>
      </c>
      <c r="H210" t="s">
        <v>1066</v>
      </c>
      <c r="I210" t="s">
        <v>240</v>
      </c>
      <c r="J210" t="s">
        <v>83</v>
      </c>
      <c r="K210" t="s">
        <v>84</v>
      </c>
      <c r="M210" t="s">
        <v>85</v>
      </c>
      <c r="N210" t="s">
        <v>86</v>
      </c>
      <c r="O210" t="s">
        <v>84</v>
      </c>
      <c r="P210" t="s">
        <v>100</v>
      </c>
      <c r="Q210" t="s">
        <v>150</v>
      </c>
      <c r="R210" t="s">
        <v>151</v>
      </c>
      <c r="S210" t="s">
        <v>150</v>
      </c>
      <c r="T210" t="s">
        <v>151</v>
      </c>
      <c r="U210" t="s">
        <v>93</v>
      </c>
      <c r="V210" t="s">
        <v>22</v>
      </c>
      <c r="X210" t="s">
        <v>1067</v>
      </c>
      <c r="Y210" t="s">
        <v>132</v>
      </c>
      <c r="Z210" t="s">
        <v>1068</v>
      </c>
      <c r="AA210" t="b">
        <v>0</v>
      </c>
      <c r="AB210" t="b">
        <v>0</v>
      </c>
      <c r="AD210">
        <v>84</v>
      </c>
      <c r="AE210" t="s">
        <v>134</v>
      </c>
      <c r="AH210" t="s">
        <v>184</v>
      </c>
      <c r="AI210" t="s">
        <v>1069</v>
      </c>
      <c r="AJ210" t="s">
        <v>100</v>
      </c>
      <c r="AK210" t="s">
        <v>1081</v>
      </c>
      <c r="AL210" t="s">
        <v>100</v>
      </c>
      <c r="AM210" t="s">
        <v>100</v>
      </c>
      <c r="AN210" t="s">
        <v>124</v>
      </c>
      <c r="AO210">
        <v>1002</v>
      </c>
      <c r="AP210" t="s">
        <v>260</v>
      </c>
      <c r="AQ210" t="s">
        <v>104</v>
      </c>
      <c r="AR210" t="s">
        <v>246</v>
      </c>
      <c r="AS210" t="s">
        <v>247</v>
      </c>
      <c r="AT210" t="s">
        <v>248</v>
      </c>
      <c r="AU210" t="s">
        <v>248</v>
      </c>
      <c r="AX210" t="s">
        <v>249</v>
      </c>
      <c r="AY210" t="s">
        <v>250</v>
      </c>
      <c r="AZ210" t="s">
        <v>104</v>
      </c>
      <c r="BA210" t="s">
        <v>246</v>
      </c>
      <c r="BB210" t="s">
        <v>247</v>
      </c>
      <c r="BC210" t="s">
        <v>251</v>
      </c>
      <c r="BD210" t="s">
        <v>251</v>
      </c>
      <c r="BF210" t="s">
        <v>252</v>
      </c>
      <c r="BG210">
        <v>7018</v>
      </c>
      <c r="BH210" t="s">
        <v>253</v>
      </c>
      <c r="BO210">
        <v>3</v>
      </c>
      <c r="BR210" t="s">
        <v>104</v>
      </c>
      <c r="BS210" t="s">
        <v>254</v>
      </c>
      <c r="BT210" t="s">
        <v>247</v>
      </c>
      <c r="BU210" t="s">
        <v>251</v>
      </c>
      <c r="BV210" t="s">
        <v>255</v>
      </c>
      <c r="BW210" t="s">
        <v>209</v>
      </c>
    </row>
    <row r="211" spans="1:75" s="7" customFormat="1" x14ac:dyDescent="0.35">
      <c r="A211" s="7" t="s">
        <v>1082</v>
      </c>
      <c r="B211" s="8">
        <v>46004</v>
      </c>
      <c r="C211" s="9">
        <v>0.71745370370370365</v>
      </c>
      <c r="D211" s="7" t="s">
        <v>810</v>
      </c>
      <c r="E211" s="7" t="s">
        <v>811</v>
      </c>
      <c r="F211" s="11" t="s">
        <v>346</v>
      </c>
      <c r="G211" s="7">
        <f>COUNTIF($F$2:$F$278,F211)</f>
        <v>69</v>
      </c>
      <c r="H211" s="7" t="s">
        <v>347</v>
      </c>
      <c r="I211" s="7" t="s">
        <v>187</v>
      </c>
      <c r="J211" s="7" t="s">
        <v>83</v>
      </c>
      <c r="K211" s="7" t="s">
        <v>84</v>
      </c>
      <c r="M211" s="7" t="s">
        <v>85</v>
      </c>
      <c r="N211" s="7" t="s">
        <v>86</v>
      </c>
      <c r="O211" s="7" t="s">
        <v>84</v>
      </c>
      <c r="P211" s="7" t="s">
        <v>100</v>
      </c>
      <c r="Q211" s="7" t="s">
        <v>604</v>
      </c>
      <c r="R211" s="7" t="s">
        <v>605</v>
      </c>
      <c r="S211" s="7" t="s">
        <v>606</v>
      </c>
      <c r="T211" s="7" t="s">
        <v>607</v>
      </c>
      <c r="U211" s="7" t="s">
        <v>93</v>
      </c>
      <c r="V211" s="7" t="s">
        <v>22</v>
      </c>
      <c r="X211" s="7" t="s">
        <v>192</v>
      </c>
      <c r="Y211" s="7" t="s">
        <v>132</v>
      </c>
      <c r="Z211" s="7" t="s">
        <v>193</v>
      </c>
      <c r="AA211" s="7" t="b">
        <v>0</v>
      </c>
      <c r="AB211" s="7" t="b">
        <v>0</v>
      </c>
      <c r="AD211" s="7">
        <v>72</v>
      </c>
      <c r="AE211" s="7" t="s">
        <v>153</v>
      </c>
      <c r="AI211" s="7" t="s">
        <v>1012</v>
      </c>
      <c r="AJ211" s="7" t="s">
        <v>100</v>
      </c>
      <c r="AK211" s="7" t="s">
        <v>1083</v>
      </c>
      <c r="AL211" s="7" t="s">
        <v>100</v>
      </c>
      <c r="AM211" s="7" t="s">
        <v>100</v>
      </c>
      <c r="AN211" s="7" t="s">
        <v>124</v>
      </c>
      <c r="AO211" s="7">
        <v>1002</v>
      </c>
      <c r="AP211" s="7" t="s">
        <v>1084</v>
      </c>
      <c r="AQ211" s="7" t="s">
        <v>104</v>
      </c>
      <c r="AR211" s="7" t="s">
        <v>197</v>
      </c>
      <c r="AS211" s="7" t="s">
        <v>356</v>
      </c>
      <c r="AT211" s="7" t="s">
        <v>199</v>
      </c>
      <c r="AU211" s="7" t="s">
        <v>199</v>
      </c>
      <c r="AX211" s="7" t="s">
        <v>200</v>
      </c>
      <c r="AY211" s="7" t="s">
        <v>357</v>
      </c>
      <c r="AZ211" s="7" t="s">
        <v>104</v>
      </c>
      <c r="BA211" s="7" t="s">
        <v>197</v>
      </c>
      <c r="BB211" s="7" t="s">
        <v>356</v>
      </c>
      <c r="BC211" s="7" t="s">
        <v>199</v>
      </c>
      <c r="BD211" s="7" t="s">
        <v>199</v>
      </c>
      <c r="BF211" s="7" t="s">
        <v>203</v>
      </c>
      <c r="BG211" s="7">
        <v>20115</v>
      </c>
      <c r="BH211" s="7" t="s">
        <v>358</v>
      </c>
      <c r="BO211" s="7">
        <v>9</v>
      </c>
      <c r="BR211" s="7" t="s">
        <v>104</v>
      </c>
      <c r="BS211" s="7" t="s">
        <v>205</v>
      </c>
      <c r="BT211" s="7" t="s">
        <v>356</v>
      </c>
      <c r="BU211" s="7" t="s">
        <v>207</v>
      </c>
      <c r="BV211" s="7" t="s">
        <v>208</v>
      </c>
      <c r="BW211" s="7" t="s">
        <v>209</v>
      </c>
    </row>
    <row r="212" spans="1:75" x14ac:dyDescent="0.35">
      <c r="A212" t="s">
        <v>1085</v>
      </c>
      <c r="B212" s="1">
        <v>46004</v>
      </c>
      <c r="C212" s="2">
        <v>0.71744212962962972</v>
      </c>
      <c r="D212" t="s">
        <v>183</v>
      </c>
      <c r="E212" t="s">
        <v>184</v>
      </c>
      <c r="F212" t="s">
        <v>1065</v>
      </c>
      <c r="G212">
        <f>COUNTIF($F$2:$F$278,F212)</f>
        <v>6</v>
      </c>
      <c r="H212" t="s">
        <v>1066</v>
      </c>
      <c r="I212" t="s">
        <v>240</v>
      </c>
      <c r="J212" t="s">
        <v>83</v>
      </c>
      <c r="K212" t="s">
        <v>143</v>
      </c>
      <c r="L212">
        <v>50140</v>
      </c>
      <c r="M212" t="s">
        <v>85</v>
      </c>
      <c r="N212" t="s">
        <v>86</v>
      </c>
      <c r="O212" t="s">
        <v>84</v>
      </c>
      <c r="P212" t="s">
        <v>100</v>
      </c>
      <c r="Q212" t="s">
        <v>150</v>
      </c>
      <c r="R212" t="s">
        <v>151</v>
      </c>
      <c r="S212" t="s">
        <v>150</v>
      </c>
      <c r="T212" t="s">
        <v>151</v>
      </c>
      <c r="U212" t="s">
        <v>144</v>
      </c>
      <c r="V212" t="s">
        <v>22</v>
      </c>
      <c r="X212" t="s">
        <v>1067</v>
      </c>
      <c r="Y212" t="s">
        <v>132</v>
      </c>
      <c r="Z212" t="s">
        <v>1068</v>
      </c>
      <c r="AA212" t="b">
        <v>0</v>
      </c>
      <c r="AB212" t="b">
        <v>0</v>
      </c>
      <c r="AD212">
        <v>92</v>
      </c>
      <c r="AE212" t="s">
        <v>145</v>
      </c>
      <c r="AF212" t="s">
        <v>215</v>
      </c>
      <c r="AG212" t="s">
        <v>216</v>
      </c>
      <c r="AH212" t="s">
        <v>184</v>
      </c>
      <c r="AI212" t="s">
        <v>1069</v>
      </c>
      <c r="AJ212" t="s">
        <v>100</v>
      </c>
      <c r="AK212" t="s">
        <v>1086</v>
      </c>
      <c r="AL212" t="s">
        <v>100</v>
      </c>
      <c r="AM212" t="s">
        <v>100</v>
      </c>
      <c r="AN212" t="s">
        <v>124</v>
      </c>
      <c r="AO212">
        <v>1002</v>
      </c>
      <c r="AP212" t="s">
        <v>260</v>
      </c>
      <c r="AQ212" t="s">
        <v>104</v>
      </c>
      <c r="AR212" t="s">
        <v>246</v>
      </c>
      <c r="AS212" t="s">
        <v>247</v>
      </c>
      <c r="AT212" t="s">
        <v>248</v>
      </c>
      <c r="AU212" t="s">
        <v>248</v>
      </c>
      <c r="AX212" t="s">
        <v>249</v>
      </c>
      <c r="AY212" t="s">
        <v>250</v>
      </c>
      <c r="AZ212" t="s">
        <v>104</v>
      </c>
      <c r="BA212" t="s">
        <v>246</v>
      </c>
      <c r="BB212" t="s">
        <v>247</v>
      </c>
      <c r="BC212" t="s">
        <v>251</v>
      </c>
      <c r="BD212" t="s">
        <v>251</v>
      </c>
      <c r="BF212" t="s">
        <v>252</v>
      </c>
      <c r="BG212">
        <v>7018</v>
      </c>
      <c r="BH212" t="s">
        <v>253</v>
      </c>
      <c r="BO212">
        <v>3</v>
      </c>
      <c r="BR212" t="s">
        <v>104</v>
      </c>
      <c r="BS212" t="s">
        <v>254</v>
      </c>
      <c r="BT212" t="s">
        <v>247</v>
      </c>
      <c r="BU212" t="s">
        <v>251</v>
      </c>
      <c r="BV212" t="s">
        <v>255</v>
      </c>
      <c r="BW212" t="s">
        <v>209</v>
      </c>
    </row>
    <row r="213" spans="1:75" s="7" customFormat="1" x14ac:dyDescent="0.35">
      <c r="A213" s="7" t="s">
        <v>1087</v>
      </c>
      <c r="B213" s="8">
        <v>46004</v>
      </c>
      <c r="C213" s="9">
        <v>0.71740740740740738</v>
      </c>
      <c r="D213" s="7" t="s">
        <v>810</v>
      </c>
      <c r="E213" s="7" t="s">
        <v>811</v>
      </c>
      <c r="F213" s="11" t="s">
        <v>346</v>
      </c>
      <c r="G213" s="7">
        <f>COUNTIF($F$2:$F$278,F213)</f>
        <v>69</v>
      </c>
      <c r="H213" s="7" t="s">
        <v>347</v>
      </c>
      <c r="I213" s="7" t="s">
        <v>187</v>
      </c>
      <c r="J213" s="7" t="s">
        <v>83</v>
      </c>
      <c r="K213" s="7" t="s">
        <v>84</v>
      </c>
      <c r="M213" s="7" t="s">
        <v>85</v>
      </c>
      <c r="N213" s="7" t="s">
        <v>86</v>
      </c>
      <c r="O213" s="7" t="s">
        <v>84</v>
      </c>
      <c r="P213" s="7" t="s">
        <v>100</v>
      </c>
      <c r="Q213" s="7" t="s">
        <v>150</v>
      </c>
      <c r="R213" s="7" t="s">
        <v>151</v>
      </c>
      <c r="S213" s="7" t="s">
        <v>150</v>
      </c>
      <c r="T213" s="7" t="s">
        <v>151</v>
      </c>
      <c r="U213" s="7" t="s">
        <v>93</v>
      </c>
      <c r="V213" s="7" t="s">
        <v>22</v>
      </c>
      <c r="X213" s="7" t="s">
        <v>192</v>
      </c>
      <c r="Y213" s="7" t="s">
        <v>132</v>
      </c>
      <c r="Z213" s="7" t="s">
        <v>193</v>
      </c>
      <c r="AA213" s="7" t="b">
        <v>0</v>
      </c>
      <c r="AB213" s="7" t="b">
        <v>0</v>
      </c>
      <c r="AD213" s="7">
        <v>96</v>
      </c>
      <c r="AE213" s="7" t="s">
        <v>153</v>
      </c>
      <c r="AI213" s="7" t="s">
        <v>1012</v>
      </c>
      <c r="AJ213" s="7" t="s">
        <v>100</v>
      </c>
      <c r="AK213" s="7" t="s">
        <v>1088</v>
      </c>
      <c r="AL213" s="7" t="s">
        <v>100</v>
      </c>
      <c r="AM213" s="7" t="s">
        <v>100</v>
      </c>
      <c r="AN213" s="7" t="s">
        <v>124</v>
      </c>
      <c r="AO213" s="7">
        <v>1002</v>
      </c>
      <c r="AP213" s="7" t="s">
        <v>1089</v>
      </c>
      <c r="AQ213" s="7" t="s">
        <v>104</v>
      </c>
      <c r="AR213" s="7" t="s">
        <v>197</v>
      </c>
      <c r="AS213" s="7" t="s">
        <v>356</v>
      </c>
      <c r="AT213" s="7" t="s">
        <v>199</v>
      </c>
      <c r="AU213" s="7" t="s">
        <v>199</v>
      </c>
      <c r="AX213" s="7" t="s">
        <v>200</v>
      </c>
      <c r="AY213" s="7" t="s">
        <v>357</v>
      </c>
      <c r="AZ213" s="7" t="s">
        <v>104</v>
      </c>
      <c r="BA213" s="7" t="s">
        <v>197</v>
      </c>
      <c r="BB213" s="7" t="s">
        <v>356</v>
      </c>
      <c r="BC213" s="7" t="s">
        <v>199</v>
      </c>
      <c r="BD213" s="7" t="s">
        <v>199</v>
      </c>
      <c r="BF213" s="7" t="s">
        <v>203</v>
      </c>
      <c r="BG213" s="7">
        <v>20115</v>
      </c>
      <c r="BH213" s="7" t="s">
        <v>358</v>
      </c>
      <c r="BO213" s="7">
        <v>9</v>
      </c>
      <c r="BR213" s="7" t="s">
        <v>104</v>
      </c>
      <c r="BS213" s="7" t="s">
        <v>205</v>
      </c>
      <c r="BT213" s="7" t="s">
        <v>356</v>
      </c>
      <c r="BU213" s="7" t="s">
        <v>207</v>
      </c>
      <c r="BV213" s="7" t="s">
        <v>208</v>
      </c>
      <c r="BW213" s="7" t="s">
        <v>209</v>
      </c>
    </row>
    <row r="214" spans="1:75" s="7" customFormat="1" x14ac:dyDescent="0.35">
      <c r="A214" s="7" t="s">
        <v>1090</v>
      </c>
      <c r="B214" s="8">
        <v>46004</v>
      </c>
      <c r="C214" s="9">
        <v>0.71739583333333334</v>
      </c>
      <c r="D214" s="7" t="s">
        <v>810</v>
      </c>
      <c r="E214" s="7" t="s">
        <v>811</v>
      </c>
      <c r="F214" s="11" t="s">
        <v>346</v>
      </c>
      <c r="G214" s="7">
        <f>COUNTIF($F$2:$F$278,F214)</f>
        <v>69</v>
      </c>
      <c r="H214" s="7" t="s">
        <v>347</v>
      </c>
      <c r="I214" s="7" t="s">
        <v>187</v>
      </c>
      <c r="J214" s="7" t="s">
        <v>83</v>
      </c>
      <c r="K214" s="7" t="s">
        <v>84</v>
      </c>
      <c r="M214" s="7" t="s">
        <v>85</v>
      </c>
      <c r="N214" s="7" t="s">
        <v>86</v>
      </c>
      <c r="O214" s="7" t="s">
        <v>84</v>
      </c>
      <c r="P214" s="7" t="s">
        <v>100</v>
      </c>
      <c r="Q214" s="7" t="s">
        <v>150</v>
      </c>
      <c r="R214" s="7" t="s">
        <v>151</v>
      </c>
      <c r="S214" s="7" t="s">
        <v>150</v>
      </c>
      <c r="T214" s="7" t="s">
        <v>151</v>
      </c>
      <c r="U214" s="7" t="s">
        <v>93</v>
      </c>
      <c r="V214" s="7" t="s">
        <v>22</v>
      </c>
      <c r="X214" s="7" t="s">
        <v>192</v>
      </c>
      <c r="Y214" s="7" t="s">
        <v>132</v>
      </c>
      <c r="Z214" s="7" t="s">
        <v>193</v>
      </c>
      <c r="AA214" s="7" t="b">
        <v>0</v>
      </c>
      <c r="AB214" s="7" t="b">
        <v>0</v>
      </c>
      <c r="AD214" s="7">
        <v>193</v>
      </c>
      <c r="AE214" s="7" t="s">
        <v>352</v>
      </c>
      <c r="AF214" s="7" t="s">
        <v>146</v>
      </c>
      <c r="AG214" s="7" t="s">
        <v>1091</v>
      </c>
      <c r="AH214" s="7" t="s">
        <v>811</v>
      </c>
      <c r="AI214" s="7" t="s">
        <v>1012</v>
      </c>
      <c r="AJ214" s="7" t="s">
        <v>100</v>
      </c>
      <c r="AK214" s="7" t="s">
        <v>1092</v>
      </c>
      <c r="AL214" s="7" t="s">
        <v>100</v>
      </c>
      <c r="AM214" s="7" t="s">
        <v>100</v>
      </c>
      <c r="AN214" s="7" t="s">
        <v>124</v>
      </c>
      <c r="AO214" s="7">
        <v>1002</v>
      </c>
      <c r="AP214" s="7" t="s">
        <v>1089</v>
      </c>
      <c r="AQ214" s="7" t="s">
        <v>104</v>
      </c>
      <c r="AR214" s="7" t="s">
        <v>197</v>
      </c>
      <c r="AS214" s="7" t="s">
        <v>356</v>
      </c>
      <c r="AT214" s="7" t="s">
        <v>199</v>
      </c>
      <c r="AU214" s="7" t="s">
        <v>199</v>
      </c>
      <c r="AX214" s="7" t="s">
        <v>200</v>
      </c>
      <c r="AY214" s="7" t="s">
        <v>357</v>
      </c>
      <c r="AZ214" s="7" t="s">
        <v>104</v>
      </c>
      <c r="BA214" s="7" t="s">
        <v>197</v>
      </c>
      <c r="BB214" s="7" t="s">
        <v>356</v>
      </c>
      <c r="BC214" s="7" t="s">
        <v>199</v>
      </c>
      <c r="BD214" s="7" t="s">
        <v>199</v>
      </c>
      <c r="BF214" s="7" t="s">
        <v>203</v>
      </c>
      <c r="BG214" s="7">
        <v>20115</v>
      </c>
      <c r="BH214" s="7" t="s">
        <v>358</v>
      </c>
      <c r="BO214" s="7">
        <v>9</v>
      </c>
      <c r="BR214" s="7" t="s">
        <v>104</v>
      </c>
      <c r="BS214" s="7" t="s">
        <v>205</v>
      </c>
      <c r="BT214" s="7" t="s">
        <v>356</v>
      </c>
      <c r="BU214" s="7" t="s">
        <v>207</v>
      </c>
      <c r="BV214" s="7" t="s">
        <v>208</v>
      </c>
      <c r="BW214" s="7" t="s">
        <v>209</v>
      </c>
    </row>
    <row r="215" spans="1:75" s="7" customFormat="1" x14ac:dyDescent="0.35">
      <c r="A215" s="7" t="s">
        <v>1093</v>
      </c>
      <c r="B215" s="8">
        <v>46004</v>
      </c>
      <c r="C215" s="9">
        <v>0.7162384259259259</v>
      </c>
      <c r="D215" s="7" t="s">
        <v>810</v>
      </c>
      <c r="E215" s="7" t="s">
        <v>811</v>
      </c>
      <c r="F215" s="11" t="s">
        <v>346</v>
      </c>
      <c r="G215" s="7">
        <f>COUNTIF($F$2:$F$278,F215)</f>
        <v>69</v>
      </c>
      <c r="H215" s="7" t="s">
        <v>347</v>
      </c>
      <c r="I215" s="7" t="s">
        <v>187</v>
      </c>
      <c r="J215" s="7" t="s">
        <v>83</v>
      </c>
      <c r="K215" s="7" t="s">
        <v>84</v>
      </c>
      <c r="M215" s="7" t="s">
        <v>85</v>
      </c>
      <c r="N215" s="7" t="s">
        <v>86</v>
      </c>
      <c r="O215" s="7" t="s">
        <v>84</v>
      </c>
      <c r="P215" s="7" t="s">
        <v>100</v>
      </c>
      <c r="Q215" s="7" t="s">
        <v>530</v>
      </c>
      <c r="R215" s="7" t="s">
        <v>531</v>
      </c>
      <c r="S215" s="7" t="s">
        <v>532</v>
      </c>
      <c r="T215" s="7" t="s">
        <v>533</v>
      </c>
      <c r="U215" s="7" t="s">
        <v>93</v>
      </c>
      <c r="V215" s="7" t="s">
        <v>94</v>
      </c>
      <c r="X215" s="7" t="s">
        <v>350</v>
      </c>
      <c r="Y215" s="7" t="s">
        <v>132</v>
      </c>
      <c r="Z215" s="7" t="s">
        <v>351</v>
      </c>
      <c r="AA215" s="7" t="b">
        <v>0</v>
      </c>
      <c r="AB215" s="7" t="b">
        <v>0</v>
      </c>
      <c r="AD215" s="7">
        <v>122</v>
      </c>
      <c r="AE215" s="7" t="s">
        <v>1094</v>
      </c>
      <c r="AI215" s="7" t="s">
        <v>1095</v>
      </c>
      <c r="AJ215" s="7" t="s">
        <v>100</v>
      </c>
      <c r="AK215" s="7" t="s">
        <v>1096</v>
      </c>
      <c r="AL215" s="7" t="s">
        <v>100</v>
      </c>
      <c r="AM215" s="7" t="s">
        <v>100</v>
      </c>
      <c r="AN215" s="7" t="s">
        <v>124</v>
      </c>
      <c r="AO215" s="7">
        <v>1002</v>
      </c>
      <c r="AP215" s="7" t="s">
        <v>1097</v>
      </c>
      <c r="AQ215" s="7" t="s">
        <v>104</v>
      </c>
      <c r="AR215" s="7" t="s">
        <v>197</v>
      </c>
      <c r="AS215" s="7" t="s">
        <v>356</v>
      </c>
      <c r="AT215" s="7" t="s">
        <v>199</v>
      </c>
      <c r="AU215" s="7" t="s">
        <v>199</v>
      </c>
      <c r="AX215" s="7" t="s">
        <v>200</v>
      </c>
      <c r="AY215" s="7" t="s">
        <v>357</v>
      </c>
      <c r="AZ215" s="7" t="s">
        <v>104</v>
      </c>
      <c r="BA215" s="7" t="s">
        <v>197</v>
      </c>
      <c r="BB215" s="7" t="s">
        <v>356</v>
      </c>
      <c r="BC215" s="7" t="s">
        <v>199</v>
      </c>
      <c r="BD215" s="7" t="s">
        <v>199</v>
      </c>
      <c r="BF215" s="7" t="s">
        <v>203</v>
      </c>
      <c r="BG215" s="7">
        <v>20115</v>
      </c>
      <c r="BH215" s="7" t="s">
        <v>358</v>
      </c>
      <c r="BO215" s="7">
        <v>9</v>
      </c>
      <c r="BR215" s="7" t="s">
        <v>104</v>
      </c>
      <c r="BS215" s="7" t="s">
        <v>205</v>
      </c>
      <c r="BT215" s="7" t="s">
        <v>356</v>
      </c>
      <c r="BU215" s="7" t="s">
        <v>207</v>
      </c>
      <c r="BV215" s="7" t="s">
        <v>208</v>
      </c>
      <c r="BW215" s="7" t="s">
        <v>209</v>
      </c>
    </row>
    <row r="216" spans="1:75" s="7" customFormat="1" x14ac:dyDescent="0.35">
      <c r="A216" s="7" t="s">
        <v>1098</v>
      </c>
      <c r="B216" s="8">
        <v>46004</v>
      </c>
      <c r="C216" s="9">
        <v>0.71561342592592592</v>
      </c>
      <c r="D216" s="7" t="s">
        <v>810</v>
      </c>
      <c r="E216" s="7" t="s">
        <v>811</v>
      </c>
      <c r="F216" s="11" t="s">
        <v>346</v>
      </c>
      <c r="G216" s="7">
        <f>COUNTIF($F$2:$F$278,F216)</f>
        <v>69</v>
      </c>
      <c r="H216" s="7" t="s">
        <v>347</v>
      </c>
      <c r="I216" s="7" t="s">
        <v>187</v>
      </c>
      <c r="J216" s="7" t="s">
        <v>83</v>
      </c>
      <c r="K216" s="7" t="s">
        <v>84</v>
      </c>
      <c r="M216" s="7" t="s">
        <v>85</v>
      </c>
      <c r="N216" s="7" t="s">
        <v>86</v>
      </c>
      <c r="O216" s="7" t="s">
        <v>84</v>
      </c>
      <c r="P216" s="7" t="s">
        <v>100</v>
      </c>
      <c r="Q216" s="7" t="s">
        <v>530</v>
      </c>
      <c r="R216" s="7" t="s">
        <v>531</v>
      </c>
      <c r="S216" s="7" t="s">
        <v>532</v>
      </c>
      <c r="T216" s="7" t="s">
        <v>533</v>
      </c>
      <c r="U216" s="7" t="s">
        <v>93</v>
      </c>
      <c r="V216" s="7" t="s">
        <v>94</v>
      </c>
      <c r="X216" s="7" t="s">
        <v>350</v>
      </c>
      <c r="Y216" s="7" t="s">
        <v>132</v>
      </c>
      <c r="Z216" s="7" t="s">
        <v>351</v>
      </c>
      <c r="AA216" s="7" t="b">
        <v>0</v>
      </c>
      <c r="AB216" s="7" t="b">
        <v>0</v>
      </c>
      <c r="AD216" s="7">
        <v>151</v>
      </c>
      <c r="AE216" s="7" t="s">
        <v>1094</v>
      </c>
      <c r="AI216" s="7" t="s">
        <v>1099</v>
      </c>
      <c r="AJ216" s="7" t="s">
        <v>100</v>
      </c>
      <c r="AK216" s="7" t="s">
        <v>1100</v>
      </c>
      <c r="AL216" s="7" t="s">
        <v>100</v>
      </c>
      <c r="AM216" s="7" t="s">
        <v>100</v>
      </c>
      <c r="AN216" s="7" t="s">
        <v>124</v>
      </c>
      <c r="AO216" s="7">
        <v>1002</v>
      </c>
      <c r="AP216" s="7" t="s">
        <v>1101</v>
      </c>
      <c r="AQ216" s="7" t="s">
        <v>104</v>
      </c>
      <c r="AR216" s="7" t="s">
        <v>197</v>
      </c>
      <c r="AS216" s="7" t="s">
        <v>356</v>
      </c>
      <c r="AT216" s="7" t="s">
        <v>199</v>
      </c>
      <c r="AU216" s="7" t="s">
        <v>199</v>
      </c>
      <c r="AX216" s="7" t="s">
        <v>200</v>
      </c>
      <c r="AY216" s="7" t="s">
        <v>357</v>
      </c>
      <c r="AZ216" s="7" t="s">
        <v>104</v>
      </c>
      <c r="BA216" s="7" t="s">
        <v>197</v>
      </c>
      <c r="BB216" s="7" t="s">
        <v>356</v>
      </c>
      <c r="BC216" s="7" t="s">
        <v>199</v>
      </c>
      <c r="BD216" s="7" t="s">
        <v>199</v>
      </c>
      <c r="BF216" s="7" t="s">
        <v>203</v>
      </c>
      <c r="BG216" s="7">
        <v>20115</v>
      </c>
      <c r="BH216" s="7" t="s">
        <v>358</v>
      </c>
      <c r="BO216" s="7">
        <v>9</v>
      </c>
      <c r="BR216" s="7" t="s">
        <v>104</v>
      </c>
      <c r="BS216" s="7" t="s">
        <v>205</v>
      </c>
      <c r="BT216" s="7" t="s">
        <v>356</v>
      </c>
      <c r="BU216" s="7" t="s">
        <v>207</v>
      </c>
      <c r="BV216" s="7" t="s">
        <v>208</v>
      </c>
      <c r="BW216" s="7" t="s">
        <v>209</v>
      </c>
    </row>
    <row r="217" spans="1:75" s="7" customFormat="1" x14ac:dyDescent="0.35">
      <c r="A217" s="7" t="s">
        <v>1102</v>
      </c>
      <c r="B217" s="8">
        <v>46004</v>
      </c>
      <c r="C217" s="9">
        <v>0.7131249999999999</v>
      </c>
      <c r="D217" s="7" t="s">
        <v>810</v>
      </c>
      <c r="E217" s="7" t="s">
        <v>811</v>
      </c>
      <c r="F217" s="11" t="s">
        <v>346</v>
      </c>
      <c r="G217" s="7">
        <f>COUNTIF($F$2:$F$278,F217)</f>
        <v>69</v>
      </c>
      <c r="H217" s="7" t="s">
        <v>347</v>
      </c>
      <c r="I217" s="7" t="s">
        <v>187</v>
      </c>
      <c r="J217" s="7" t="s">
        <v>83</v>
      </c>
      <c r="K217" s="7" t="s">
        <v>84</v>
      </c>
      <c r="M217" s="7" t="s">
        <v>85</v>
      </c>
      <c r="N217" s="7" t="s">
        <v>86</v>
      </c>
      <c r="O217" s="7" t="s">
        <v>84</v>
      </c>
      <c r="P217" s="7" t="s">
        <v>100</v>
      </c>
      <c r="Q217" s="7" t="s">
        <v>530</v>
      </c>
      <c r="R217" s="7" t="s">
        <v>531</v>
      </c>
      <c r="S217" s="7" t="s">
        <v>532</v>
      </c>
      <c r="T217" s="7" t="s">
        <v>533</v>
      </c>
      <c r="U217" s="7" t="s">
        <v>93</v>
      </c>
      <c r="V217" s="7" t="s">
        <v>94</v>
      </c>
      <c r="X217" s="7" t="s">
        <v>350</v>
      </c>
      <c r="Y217" s="7" t="s">
        <v>132</v>
      </c>
      <c r="Z217" s="7" t="s">
        <v>351</v>
      </c>
      <c r="AA217" s="7" t="b">
        <v>0</v>
      </c>
      <c r="AB217" s="7" t="b">
        <v>0</v>
      </c>
      <c r="AD217" s="7">
        <v>134</v>
      </c>
      <c r="AE217" s="7" t="s">
        <v>153</v>
      </c>
      <c r="AI217" s="7" t="s">
        <v>1103</v>
      </c>
      <c r="AJ217" s="7" t="s">
        <v>100</v>
      </c>
      <c r="AK217" s="7" t="s">
        <v>1104</v>
      </c>
      <c r="AL217" s="7" t="s">
        <v>100</v>
      </c>
      <c r="AM217" s="7" t="s">
        <v>100</v>
      </c>
      <c r="AN217" s="7" t="s">
        <v>124</v>
      </c>
      <c r="AO217" s="7">
        <v>1002</v>
      </c>
      <c r="AP217" s="7" t="s">
        <v>1105</v>
      </c>
      <c r="AQ217" s="7" t="s">
        <v>104</v>
      </c>
      <c r="AR217" s="7" t="s">
        <v>197</v>
      </c>
      <c r="AS217" s="7" t="s">
        <v>356</v>
      </c>
      <c r="AT217" s="7" t="s">
        <v>199</v>
      </c>
      <c r="AU217" s="7" t="s">
        <v>199</v>
      </c>
      <c r="AX217" s="7" t="s">
        <v>200</v>
      </c>
      <c r="AY217" s="7" t="s">
        <v>357</v>
      </c>
      <c r="AZ217" s="7" t="s">
        <v>104</v>
      </c>
      <c r="BA217" s="7" t="s">
        <v>197</v>
      </c>
      <c r="BB217" s="7" t="s">
        <v>356</v>
      </c>
      <c r="BC217" s="7" t="s">
        <v>199</v>
      </c>
      <c r="BD217" s="7" t="s">
        <v>199</v>
      </c>
      <c r="BF217" s="7" t="s">
        <v>203</v>
      </c>
      <c r="BG217" s="7">
        <v>20115</v>
      </c>
      <c r="BH217" s="7" t="s">
        <v>358</v>
      </c>
      <c r="BO217" s="7">
        <v>9</v>
      </c>
      <c r="BR217" s="7" t="s">
        <v>104</v>
      </c>
      <c r="BS217" s="7" t="s">
        <v>205</v>
      </c>
      <c r="BT217" s="7" t="s">
        <v>356</v>
      </c>
      <c r="BU217" s="7" t="s">
        <v>207</v>
      </c>
      <c r="BV217" s="7" t="s">
        <v>208</v>
      </c>
      <c r="BW217" s="7" t="s">
        <v>209</v>
      </c>
    </row>
    <row r="218" spans="1:75" s="7" customFormat="1" x14ac:dyDescent="0.35">
      <c r="A218" s="7" t="s">
        <v>1106</v>
      </c>
      <c r="B218" s="8">
        <v>46004</v>
      </c>
      <c r="C218" s="9">
        <v>0.70614583333333336</v>
      </c>
      <c r="D218" s="7" t="s">
        <v>810</v>
      </c>
      <c r="E218" s="7" t="s">
        <v>811</v>
      </c>
      <c r="F218" s="11" t="s">
        <v>346</v>
      </c>
      <c r="G218" s="7">
        <f>COUNTIF($F$2:$F$278,F218)</f>
        <v>69</v>
      </c>
      <c r="H218" s="7" t="s">
        <v>347</v>
      </c>
      <c r="I218" s="7" t="s">
        <v>187</v>
      </c>
      <c r="J218" s="7" t="s">
        <v>83</v>
      </c>
      <c r="K218" s="7" t="s">
        <v>84</v>
      </c>
      <c r="M218" s="7" t="s">
        <v>85</v>
      </c>
      <c r="N218" s="7" t="s">
        <v>86</v>
      </c>
      <c r="O218" s="7" t="s">
        <v>87</v>
      </c>
      <c r="P218" s="7" t="s">
        <v>100</v>
      </c>
      <c r="Q218" s="7" t="s">
        <v>169</v>
      </c>
      <c r="R218" s="7" t="s">
        <v>170</v>
      </c>
      <c r="S218" s="7" t="s">
        <v>1107</v>
      </c>
      <c r="T218" s="7" t="s">
        <v>1108</v>
      </c>
      <c r="U218" s="7" t="s">
        <v>93</v>
      </c>
      <c r="V218" s="7" t="s">
        <v>94</v>
      </c>
      <c r="X218" s="7" t="s">
        <v>350</v>
      </c>
      <c r="Y218" s="7" t="s">
        <v>132</v>
      </c>
      <c r="Z218" s="7" t="s">
        <v>351</v>
      </c>
      <c r="AA218" s="7" t="b">
        <v>0</v>
      </c>
      <c r="AB218" s="7" t="b">
        <v>0</v>
      </c>
      <c r="AD218" s="7">
        <v>58</v>
      </c>
      <c r="AE218" s="7" t="s">
        <v>153</v>
      </c>
      <c r="AI218" s="7" t="s">
        <v>1103</v>
      </c>
      <c r="AJ218" s="7" t="s">
        <v>100</v>
      </c>
      <c r="AK218" s="7" t="s">
        <v>1109</v>
      </c>
      <c r="AL218" s="7" t="s">
        <v>100</v>
      </c>
      <c r="AM218" s="7" t="s">
        <v>100</v>
      </c>
      <c r="AN218" s="7" t="s">
        <v>124</v>
      </c>
      <c r="AO218" s="7">
        <v>1002</v>
      </c>
      <c r="AP218" s="7" t="s">
        <v>1105</v>
      </c>
      <c r="AQ218" s="7" t="s">
        <v>104</v>
      </c>
      <c r="AR218" s="7" t="s">
        <v>197</v>
      </c>
      <c r="AS218" s="7" t="s">
        <v>356</v>
      </c>
      <c r="AT218" s="7" t="s">
        <v>199</v>
      </c>
      <c r="AU218" s="7" t="s">
        <v>199</v>
      </c>
      <c r="AX218" s="7" t="s">
        <v>200</v>
      </c>
      <c r="AY218" s="7" t="s">
        <v>357</v>
      </c>
      <c r="AZ218" s="7" t="s">
        <v>104</v>
      </c>
      <c r="BA218" s="7" t="s">
        <v>197</v>
      </c>
      <c r="BB218" s="7" t="s">
        <v>356</v>
      </c>
      <c r="BC218" s="7" t="s">
        <v>199</v>
      </c>
      <c r="BD218" s="7" t="s">
        <v>199</v>
      </c>
      <c r="BF218" s="7" t="s">
        <v>203</v>
      </c>
      <c r="BG218" s="7">
        <v>20115</v>
      </c>
      <c r="BH218" s="7" t="s">
        <v>358</v>
      </c>
      <c r="BO218" s="7">
        <v>9</v>
      </c>
      <c r="BR218" s="7" t="s">
        <v>104</v>
      </c>
      <c r="BS218" s="7" t="s">
        <v>205</v>
      </c>
      <c r="BT218" s="7" t="s">
        <v>356</v>
      </c>
      <c r="BU218" s="7" t="s">
        <v>207</v>
      </c>
      <c r="BV218" s="7" t="s">
        <v>208</v>
      </c>
      <c r="BW218" s="7" t="s">
        <v>209</v>
      </c>
    </row>
    <row r="219" spans="1:75" s="7" customFormat="1" x14ac:dyDescent="0.35">
      <c r="A219" s="7" t="s">
        <v>1106</v>
      </c>
      <c r="B219" s="8">
        <v>46004</v>
      </c>
      <c r="C219" s="9">
        <v>0.70614583333333336</v>
      </c>
      <c r="D219" s="7" t="s">
        <v>810</v>
      </c>
      <c r="E219" s="7" t="s">
        <v>811</v>
      </c>
      <c r="F219" s="11" t="s">
        <v>346</v>
      </c>
      <c r="G219" s="7">
        <f>COUNTIF($F$2:$F$278,F219)</f>
        <v>69</v>
      </c>
      <c r="H219" s="7" t="s">
        <v>347</v>
      </c>
      <c r="I219" s="7" t="s">
        <v>187</v>
      </c>
      <c r="J219" s="7" t="s">
        <v>83</v>
      </c>
      <c r="K219" s="7" t="s">
        <v>84</v>
      </c>
      <c r="M219" s="7" t="s">
        <v>85</v>
      </c>
      <c r="N219" s="7" t="s">
        <v>86</v>
      </c>
      <c r="O219" s="7" t="s">
        <v>87</v>
      </c>
      <c r="P219" s="7" t="s">
        <v>100</v>
      </c>
      <c r="Q219" s="7" t="s">
        <v>169</v>
      </c>
      <c r="R219" s="7" t="s">
        <v>170</v>
      </c>
      <c r="S219" s="7" t="s">
        <v>1110</v>
      </c>
      <c r="T219" s="7" t="s">
        <v>1111</v>
      </c>
      <c r="U219" s="7" t="s">
        <v>93</v>
      </c>
      <c r="V219" s="7" t="s">
        <v>94</v>
      </c>
      <c r="X219" s="7" t="s">
        <v>350</v>
      </c>
      <c r="Y219" s="7" t="s">
        <v>132</v>
      </c>
      <c r="Z219" s="7" t="s">
        <v>351</v>
      </c>
      <c r="AA219" s="7" t="b">
        <v>0</v>
      </c>
      <c r="AB219" s="7" t="b">
        <v>0</v>
      </c>
      <c r="AD219" s="7">
        <v>74</v>
      </c>
      <c r="AE219" s="7" t="s">
        <v>153</v>
      </c>
      <c r="AI219" s="7" t="s">
        <v>1103</v>
      </c>
      <c r="AJ219" s="7" t="s">
        <v>100</v>
      </c>
      <c r="AK219" s="7" t="s">
        <v>1112</v>
      </c>
      <c r="AL219" s="7" t="s">
        <v>100</v>
      </c>
      <c r="AM219" s="7" t="s">
        <v>100</v>
      </c>
      <c r="AN219" s="7" t="s">
        <v>124</v>
      </c>
      <c r="AO219" s="7">
        <v>1002</v>
      </c>
      <c r="AP219" s="7" t="s">
        <v>1105</v>
      </c>
      <c r="AQ219" s="7" t="s">
        <v>104</v>
      </c>
      <c r="AR219" s="7" t="s">
        <v>197</v>
      </c>
      <c r="AS219" s="7" t="s">
        <v>356</v>
      </c>
      <c r="AT219" s="7" t="s">
        <v>199</v>
      </c>
      <c r="AU219" s="7" t="s">
        <v>199</v>
      </c>
      <c r="AX219" s="7" t="s">
        <v>200</v>
      </c>
      <c r="AY219" s="7" t="s">
        <v>357</v>
      </c>
      <c r="AZ219" s="7" t="s">
        <v>104</v>
      </c>
      <c r="BA219" s="7" t="s">
        <v>197</v>
      </c>
      <c r="BB219" s="7" t="s">
        <v>356</v>
      </c>
      <c r="BC219" s="7" t="s">
        <v>199</v>
      </c>
      <c r="BD219" s="7" t="s">
        <v>199</v>
      </c>
      <c r="BF219" s="7" t="s">
        <v>203</v>
      </c>
      <c r="BG219" s="7">
        <v>20115</v>
      </c>
      <c r="BH219" s="7" t="s">
        <v>358</v>
      </c>
      <c r="BO219" s="7">
        <v>9</v>
      </c>
      <c r="BR219" s="7" t="s">
        <v>104</v>
      </c>
      <c r="BS219" s="7" t="s">
        <v>205</v>
      </c>
      <c r="BT219" s="7" t="s">
        <v>356</v>
      </c>
      <c r="BU219" s="7" t="s">
        <v>207</v>
      </c>
      <c r="BV219" s="7" t="s">
        <v>208</v>
      </c>
      <c r="BW219" s="7" t="s">
        <v>209</v>
      </c>
    </row>
    <row r="220" spans="1:75" s="7" customFormat="1" x14ac:dyDescent="0.35">
      <c r="A220" s="7" t="s">
        <v>1113</v>
      </c>
      <c r="B220" s="8">
        <v>46004</v>
      </c>
      <c r="C220" s="9">
        <v>0.70600694444444445</v>
      </c>
      <c r="D220" s="7" t="s">
        <v>810</v>
      </c>
      <c r="E220" s="7" t="s">
        <v>811</v>
      </c>
      <c r="F220" s="11" t="s">
        <v>346</v>
      </c>
      <c r="G220" s="7">
        <f>COUNTIF($F$2:$F$278,F220)</f>
        <v>69</v>
      </c>
      <c r="H220" s="7" t="s">
        <v>347</v>
      </c>
      <c r="I220" s="7" t="s">
        <v>187</v>
      </c>
      <c r="J220" s="7" t="s">
        <v>83</v>
      </c>
      <c r="K220" s="7" t="s">
        <v>84</v>
      </c>
      <c r="M220" s="7" t="s">
        <v>85</v>
      </c>
      <c r="N220" s="7" t="s">
        <v>86</v>
      </c>
      <c r="O220" s="7" t="s">
        <v>84</v>
      </c>
      <c r="P220" s="7" t="s">
        <v>100</v>
      </c>
      <c r="Q220" s="7" t="s">
        <v>530</v>
      </c>
      <c r="R220" s="7" t="s">
        <v>531</v>
      </c>
      <c r="S220" s="7" t="s">
        <v>532</v>
      </c>
      <c r="T220" s="7" t="s">
        <v>533</v>
      </c>
      <c r="U220" s="7" t="s">
        <v>93</v>
      </c>
      <c r="V220" s="7" t="s">
        <v>94</v>
      </c>
      <c r="X220" s="7" t="s">
        <v>350</v>
      </c>
      <c r="Y220" s="7" t="s">
        <v>132</v>
      </c>
      <c r="Z220" s="7" t="s">
        <v>351</v>
      </c>
      <c r="AA220" s="7" t="b">
        <v>0</v>
      </c>
      <c r="AB220" s="7" t="b">
        <v>0</v>
      </c>
      <c r="AD220" s="7">
        <v>157</v>
      </c>
      <c r="AE220" s="7" t="s">
        <v>1094</v>
      </c>
      <c r="AI220" s="7" t="s">
        <v>1103</v>
      </c>
      <c r="AJ220" s="7" t="s">
        <v>100</v>
      </c>
      <c r="AK220" s="7" t="s">
        <v>1114</v>
      </c>
      <c r="AL220" s="7" t="s">
        <v>100</v>
      </c>
      <c r="AM220" s="7" t="s">
        <v>100</v>
      </c>
      <c r="AN220" s="7" t="s">
        <v>124</v>
      </c>
      <c r="AO220" s="7">
        <v>1002</v>
      </c>
      <c r="AP220" s="7" t="s">
        <v>1105</v>
      </c>
      <c r="AQ220" s="7" t="s">
        <v>104</v>
      </c>
      <c r="AR220" s="7" t="s">
        <v>197</v>
      </c>
      <c r="AS220" s="7" t="s">
        <v>356</v>
      </c>
      <c r="AT220" s="7" t="s">
        <v>199</v>
      </c>
      <c r="AU220" s="7" t="s">
        <v>199</v>
      </c>
      <c r="AX220" s="7" t="s">
        <v>200</v>
      </c>
      <c r="AY220" s="7" t="s">
        <v>357</v>
      </c>
      <c r="AZ220" s="7" t="s">
        <v>104</v>
      </c>
      <c r="BA220" s="7" t="s">
        <v>197</v>
      </c>
      <c r="BB220" s="7" t="s">
        <v>356</v>
      </c>
      <c r="BC220" s="7" t="s">
        <v>199</v>
      </c>
      <c r="BD220" s="7" t="s">
        <v>199</v>
      </c>
      <c r="BF220" s="7" t="s">
        <v>203</v>
      </c>
      <c r="BG220" s="7">
        <v>20115</v>
      </c>
      <c r="BH220" s="7" t="s">
        <v>358</v>
      </c>
      <c r="BO220" s="7">
        <v>9</v>
      </c>
      <c r="BR220" s="7" t="s">
        <v>104</v>
      </c>
      <c r="BS220" s="7" t="s">
        <v>205</v>
      </c>
      <c r="BT220" s="7" t="s">
        <v>356</v>
      </c>
      <c r="BU220" s="7" t="s">
        <v>207</v>
      </c>
      <c r="BV220" s="7" t="s">
        <v>208</v>
      </c>
      <c r="BW220" s="7" t="s">
        <v>209</v>
      </c>
    </row>
    <row r="221" spans="1:75" x14ac:dyDescent="0.35">
      <c r="A221" t="s">
        <v>1115</v>
      </c>
      <c r="B221" s="1">
        <v>46004</v>
      </c>
      <c r="C221" s="2">
        <v>0.68313657407407413</v>
      </c>
      <c r="D221" t="s">
        <v>543</v>
      </c>
      <c r="E221" t="s">
        <v>544</v>
      </c>
      <c r="F221" t="s">
        <v>1116</v>
      </c>
      <c r="G221">
        <f>COUNTIF($F$2:$F$278,F221)</f>
        <v>6</v>
      </c>
      <c r="H221" t="s">
        <v>546</v>
      </c>
      <c r="I221" t="s">
        <v>187</v>
      </c>
      <c r="J221" t="s">
        <v>83</v>
      </c>
      <c r="K221" t="s">
        <v>84</v>
      </c>
      <c r="M221" t="s">
        <v>85</v>
      </c>
      <c r="N221" t="s">
        <v>86</v>
      </c>
      <c r="O221" t="s">
        <v>84</v>
      </c>
      <c r="P221" t="s">
        <v>100</v>
      </c>
      <c r="Q221" t="s">
        <v>129</v>
      </c>
      <c r="R221" t="s">
        <v>130</v>
      </c>
      <c r="S221" t="s">
        <v>91</v>
      </c>
      <c r="T221" t="s">
        <v>92</v>
      </c>
      <c r="U221" t="s">
        <v>93</v>
      </c>
      <c r="V221" t="s">
        <v>22</v>
      </c>
      <c r="X221" t="s">
        <v>131</v>
      </c>
      <c r="Y221" t="s">
        <v>132</v>
      </c>
      <c r="Z221" t="s">
        <v>547</v>
      </c>
      <c r="AA221" t="b">
        <v>0</v>
      </c>
      <c r="AB221" t="b">
        <v>0</v>
      </c>
      <c r="AD221">
        <v>80</v>
      </c>
      <c r="AE221" t="s">
        <v>153</v>
      </c>
      <c r="AH221" t="s">
        <v>544</v>
      </c>
      <c r="AI221" t="s">
        <v>548</v>
      </c>
      <c r="AJ221" t="s">
        <v>100</v>
      </c>
      <c r="AK221" t="s">
        <v>1117</v>
      </c>
      <c r="AL221" t="s">
        <v>100</v>
      </c>
      <c r="AM221" t="s">
        <v>100</v>
      </c>
      <c r="AN221" t="s">
        <v>124</v>
      </c>
      <c r="AO221">
        <v>1002</v>
      </c>
      <c r="AP221" t="s">
        <v>1118</v>
      </c>
      <c r="AQ221" t="s">
        <v>104</v>
      </c>
      <c r="AR221" t="s">
        <v>197</v>
      </c>
      <c r="AS221" t="s">
        <v>206</v>
      </c>
      <c r="AT221" t="s">
        <v>199</v>
      </c>
      <c r="AU221" t="s">
        <v>199</v>
      </c>
      <c r="AX221" t="s">
        <v>200</v>
      </c>
      <c r="AY221" t="s">
        <v>551</v>
      </c>
      <c r="AZ221" t="s">
        <v>104</v>
      </c>
      <c r="BA221" t="s">
        <v>197</v>
      </c>
      <c r="BB221" t="s">
        <v>206</v>
      </c>
      <c r="BC221" t="s">
        <v>199</v>
      </c>
      <c r="BD221" t="s">
        <v>199</v>
      </c>
      <c r="BF221" t="s">
        <v>203</v>
      </c>
      <c r="BG221">
        <v>20115</v>
      </c>
      <c r="BH221" t="s">
        <v>552</v>
      </c>
      <c r="BO221">
        <v>2</v>
      </c>
      <c r="BR221" t="s">
        <v>104</v>
      </c>
      <c r="BS221" t="s">
        <v>205</v>
      </c>
      <c r="BT221" t="s">
        <v>553</v>
      </c>
      <c r="BU221" t="s">
        <v>199</v>
      </c>
      <c r="BV221" t="s">
        <v>208</v>
      </c>
      <c r="BW221" t="s">
        <v>209</v>
      </c>
    </row>
    <row r="222" spans="1:75" x14ac:dyDescent="0.35">
      <c r="A222" t="s">
        <v>1119</v>
      </c>
      <c r="B222" s="1">
        <v>46004</v>
      </c>
      <c r="C222" s="2">
        <v>0.68312499999999998</v>
      </c>
      <c r="D222" t="s">
        <v>543</v>
      </c>
      <c r="E222" t="s">
        <v>544</v>
      </c>
      <c r="F222" t="s">
        <v>1116</v>
      </c>
      <c r="G222">
        <f>COUNTIF($F$2:$F$278,F222)</f>
        <v>6</v>
      </c>
      <c r="H222" t="s">
        <v>546</v>
      </c>
      <c r="I222" t="s">
        <v>187</v>
      </c>
      <c r="J222" t="s">
        <v>83</v>
      </c>
      <c r="K222" t="s">
        <v>143</v>
      </c>
      <c r="L222">
        <v>50140</v>
      </c>
      <c r="M222" t="s">
        <v>85</v>
      </c>
      <c r="N222" t="s">
        <v>86</v>
      </c>
      <c r="O222" t="s">
        <v>84</v>
      </c>
      <c r="P222" t="s">
        <v>100</v>
      </c>
      <c r="Q222" t="s">
        <v>129</v>
      </c>
      <c r="R222" t="s">
        <v>130</v>
      </c>
      <c r="S222" t="s">
        <v>91</v>
      </c>
      <c r="T222" t="s">
        <v>92</v>
      </c>
      <c r="U222" t="s">
        <v>144</v>
      </c>
      <c r="V222" t="s">
        <v>22</v>
      </c>
      <c r="X222" t="s">
        <v>131</v>
      </c>
      <c r="Y222" t="s">
        <v>132</v>
      </c>
      <c r="Z222" t="s">
        <v>547</v>
      </c>
      <c r="AA222" t="b">
        <v>0</v>
      </c>
      <c r="AB222" t="b">
        <v>0</v>
      </c>
      <c r="AD222">
        <v>93</v>
      </c>
      <c r="AE222" t="s">
        <v>145</v>
      </c>
      <c r="AH222" t="s">
        <v>544</v>
      </c>
      <c r="AI222" t="s">
        <v>1120</v>
      </c>
      <c r="AJ222" t="s">
        <v>100</v>
      </c>
      <c r="AK222" t="s">
        <v>1121</v>
      </c>
      <c r="AL222" t="s">
        <v>100</v>
      </c>
      <c r="AM222" t="s">
        <v>100</v>
      </c>
      <c r="AN222" t="s">
        <v>124</v>
      </c>
      <c r="AO222">
        <v>1002</v>
      </c>
      <c r="AP222" t="s">
        <v>1118</v>
      </c>
      <c r="AQ222" t="s">
        <v>104</v>
      </c>
      <c r="AR222" t="s">
        <v>197</v>
      </c>
      <c r="AS222" t="s">
        <v>206</v>
      </c>
      <c r="AT222" t="s">
        <v>199</v>
      </c>
      <c r="AU222" t="s">
        <v>199</v>
      </c>
      <c r="AX222" t="s">
        <v>200</v>
      </c>
      <c r="AY222" t="s">
        <v>551</v>
      </c>
      <c r="AZ222" t="s">
        <v>104</v>
      </c>
      <c r="BA222" t="s">
        <v>197</v>
      </c>
      <c r="BB222" t="s">
        <v>206</v>
      </c>
      <c r="BC222" t="s">
        <v>199</v>
      </c>
      <c r="BD222" t="s">
        <v>199</v>
      </c>
      <c r="BF222" t="s">
        <v>203</v>
      </c>
      <c r="BG222">
        <v>20115</v>
      </c>
      <c r="BH222" t="s">
        <v>552</v>
      </c>
      <c r="BO222">
        <v>2</v>
      </c>
      <c r="BR222" t="s">
        <v>104</v>
      </c>
      <c r="BS222" t="s">
        <v>205</v>
      </c>
      <c r="BT222" t="s">
        <v>553</v>
      </c>
      <c r="BU222" t="s">
        <v>199</v>
      </c>
      <c r="BV222" t="s">
        <v>208</v>
      </c>
      <c r="BW222" t="s">
        <v>209</v>
      </c>
    </row>
    <row r="223" spans="1:75" s="7" customFormat="1" x14ac:dyDescent="0.35">
      <c r="A223" s="7" t="s">
        <v>1122</v>
      </c>
      <c r="B223" s="8">
        <v>46004</v>
      </c>
      <c r="C223" s="9">
        <v>0.66699074074074083</v>
      </c>
      <c r="D223" s="7" t="s">
        <v>810</v>
      </c>
      <c r="E223" s="7" t="s">
        <v>811</v>
      </c>
      <c r="F223" s="11" t="s">
        <v>346</v>
      </c>
      <c r="G223" s="7">
        <f>COUNTIF($F$2:$F$278,F223)</f>
        <v>69</v>
      </c>
      <c r="H223" s="7" t="s">
        <v>347</v>
      </c>
      <c r="I223" s="7" t="s">
        <v>187</v>
      </c>
      <c r="J223" s="7" t="s">
        <v>83</v>
      </c>
      <c r="K223" s="7" t="s">
        <v>84</v>
      </c>
      <c r="M223" s="7" t="s">
        <v>85</v>
      </c>
      <c r="N223" s="7" t="s">
        <v>86</v>
      </c>
      <c r="O223" s="7" t="s">
        <v>87</v>
      </c>
      <c r="P223" s="7" t="s">
        <v>88</v>
      </c>
      <c r="Q223" s="7" t="s">
        <v>169</v>
      </c>
      <c r="R223" s="7" t="s">
        <v>170</v>
      </c>
      <c r="T223" s="7" t="s">
        <v>171</v>
      </c>
      <c r="U223" s="7" t="s">
        <v>93</v>
      </c>
      <c r="V223" s="7" t="s">
        <v>94</v>
      </c>
      <c r="W223" s="7" t="s">
        <v>1123</v>
      </c>
      <c r="X223" s="7" t="s">
        <v>226</v>
      </c>
      <c r="Y223" s="7" t="s">
        <v>132</v>
      </c>
      <c r="Z223" s="7" t="s">
        <v>227</v>
      </c>
      <c r="AA223" s="7" t="b">
        <v>0</v>
      </c>
      <c r="AB223" s="7" t="b">
        <v>0</v>
      </c>
      <c r="AC223" s="7" t="s">
        <v>1331</v>
      </c>
      <c r="AD223" s="7">
        <v>148</v>
      </c>
      <c r="AE223" s="7" t="s">
        <v>153</v>
      </c>
      <c r="AI223" s="7" t="s">
        <v>1124</v>
      </c>
      <c r="AJ223" s="7" t="s">
        <v>100</v>
      </c>
      <c r="AK223" s="7" t="s">
        <v>1125</v>
      </c>
      <c r="AL223" s="7" t="s">
        <v>100</v>
      </c>
      <c r="AM223" s="7" t="s">
        <v>100</v>
      </c>
      <c r="AN223" s="7" t="s">
        <v>102</v>
      </c>
      <c r="AP223" s="7" t="s">
        <v>1126</v>
      </c>
      <c r="AQ223" s="7" t="s">
        <v>104</v>
      </c>
      <c r="AR223" s="7" t="s">
        <v>197</v>
      </c>
      <c r="AS223" s="7" t="s">
        <v>356</v>
      </c>
      <c r="AT223" s="7" t="s">
        <v>199</v>
      </c>
      <c r="AU223" s="7" t="s">
        <v>199</v>
      </c>
      <c r="AX223" s="7" t="s">
        <v>200</v>
      </c>
      <c r="AY223" s="7" t="s">
        <v>357</v>
      </c>
      <c r="AZ223" s="7" t="s">
        <v>104</v>
      </c>
      <c r="BA223" s="7" t="s">
        <v>197</v>
      </c>
      <c r="BB223" s="7" t="s">
        <v>356</v>
      </c>
      <c r="BC223" s="7" t="s">
        <v>199</v>
      </c>
      <c r="BD223" s="7" t="s">
        <v>199</v>
      </c>
      <c r="BF223" s="7" t="s">
        <v>203</v>
      </c>
      <c r="BG223" s="7">
        <v>20115</v>
      </c>
      <c r="BH223" s="7" t="s">
        <v>358</v>
      </c>
      <c r="BO223" s="7">
        <v>9</v>
      </c>
      <c r="BR223" s="7" t="s">
        <v>104</v>
      </c>
      <c r="BS223" s="7" t="s">
        <v>205</v>
      </c>
      <c r="BT223" s="7" t="s">
        <v>356</v>
      </c>
      <c r="BU223" s="7" t="s">
        <v>207</v>
      </c>
      <c r="BV223" s="7" t="s">
        <v>208</v>
      </c>
      <c r="BW223" s="7" t="s">
        <v>209</v>
      </c>
    </row>
    <row r="224" spans="1:75" s="7" customFormat="1" x14ac:dyDescent="0.35">
      <c r="A224" s="7" t="s">
        <v>1127</v>
      </c>
      <c r="B224" s="8">
        <v>46004</v>
      </c>
      <c r="C224" s="9">
        <v>0.66697916666666668</v>
      </c>
      <c r="D224" s="7" t="s">
        <v>810</v>
      </c>
      <c r="E224" s="7" t="s">
        <v>811</v>
      </c>
      <c r="F224" s="11" t="s">
        <v>346</v>
      </c>
      <c r="G224" s="7">
        <f>COUNTIF($F$2:$F$278,F224)</f>
        <v>69</v>
      </c>
      <c r="H224" s="7" t="s">
        <v>347</v>
      </c>
      <c r="I224" s="7" t="s">
        <v>187</v>
      </c>
      <c r="J224" s="7" t="s">
        <v>83</v>
      </c>
      <c r="K224" s="7" t="s">
        <v>84</v>
      </c>
      <c r="M224" s="7" t="s">
        <v>85</v>
      </c>
      <c r="N224" s="7" t="s">
        <v>86</v>
      </c>
      <c r="O224" s="7" t="s">
        <v>84</v>
      </c>
      <c r="P224" s="7" t="s">
        <v>100</v>
      </c>
      <c r="Q224" s="7" t="s">
        <v>530</v>
      </c>
      <c r="R224" s="7" t="s">
        <v>531</v>
      </c>
      <c r="S224" s="7" t="s">
        <v>224</v>
      </c>
      <c r="T224" s="7" t="s">
        <v>225</v>
      </c>
      <c r="U224" s="7" t="s">
        <v>93</v>
      </c>
      <c r="V224" s="7" t="s">
        <v>94</v>
      </c>
      <c r="W224" s="7" t="s">
        <v>1123</v>
      </c>
      <c r="X224" s="7" t="s">
        <v>226</v>
      </c>
      <c r="Y224" s="7" t="s">
        <v>132</v>
      </c>
      <c r="Z224" s="7" t="s">
        <v>227</v>
      </c>
      <c r="AA224" s="7" t="b">
        <v>0</v>
      </c>
      <c r="AB224" s="7" t="b">
        <v>0</v>
      </c>
      <c r="AC224" s="7" t="s">
        <v>1331</v>
      </c>
      <c r="AD224" s="7">
        <v>112</v>
      </c>
      <c r="AE224" s="7" t="s">
        <v>352</v>
      </c>
      <c r="AF224" s="7" t="s">
        <v>215</v>
      </c>
      <c r="AG224" s="7" t="s">
        <v>1091</v>
      </c>
      <c r="AH224" s="7" t="s">
        <v>811</v>
      </c>
      <c r="AI224" s="7" t="s">
        <v>1124</v>
      </c>
      <c r="AJ224" s="7" t="s">
        <v>100</v>
      </c>
      <c r="AK224" s="7" t="s">
        <v>1128</v>
      </c>
      <c r="AL224" s="7" t="s">
        <v>100</v>
      </c>
      <c r="AM224" s="7" t="s">
        <v>100</v>
      </c>
      <c r="AN224" s="7" t="s">
        <v>102</v>
      </c>
      <c r="AP224" s="7" t="s">
        <v>1126</v>
      </c>
      <c r="AQ224" s="7" t="s">
        <v>104</v>
      </c>
      <c r="AR224" s="7" t="s">
        <v>197</v>
      </c>
      <c r="AS224" s="7" t="s">
        <v>356</v>
      </c>
      <c r="AT224" s="7" t="s">
        <v>199</v>
      </c>
      <c r="AU224" s="7" t="s">
        <v>199</v>
      </c>
      <c r="AX224" s="7" t="s">
        <v>200</v>
      </c>
      <c r="AY224" s="7" t="s">
        <v>357</v>
      </c>
      <c r="AZ224" s="7" t="s">
        <v>104</v>
      </c>
      <c r="BA224" s="7" t="s">
        <v>197</v>
      </c>
      <c r="BB224" s="7" t="s">
        <v>356</v>
      </c>
      <c r="BC224" s="7" t="s">
        <v>199</v>
      </c>
      <c r="BD224" s="7" t="s">
        <v>199</v>
      </c>
      <c r="BF224" s="7" t="s">
        <v>203</v>
      </c>
      <c r="BG224" s="7">
        <v>20115</v>
      </c>
      <c r="BH224" s="7" t="s">
        <v>358</v>
      </c>
      <c r="BO224" s="7">
        <v>9</v>
      </c>
      <c r="BR224" s="7" t="s">
        <v>104</v>
      </c>
      <c r="BS224" s="7" t="s">
        <v>205</v>
      </c>
      <c r="BT224" s="7" t="s">
        <v>356</v>
      </c>
      <c r="BU224" s="7" t="s">
        <v>207</v>
      </c>
      <c r="BV224" s="7" t="s">
        <v>208</v>
      </c>
      <c r="BW224" s="7" t="s">
        <v>209</v>
      </c>
    </row>
    <row r="225" spans="1:75" s="7" customFormat="1" x14ac:dyDescent="0.35">
      <c r="A225" s="7" t="s">
        <v>1129</v>
      </c>
      <c r="B225" s="8">
        <v>46004</v>
      </c>
      <c r="C225" s="9">
        <v>0.66468749999999999</v>
      </c>
      <c r="D225" s="7" t="s">
        <v>78</v>
      </c>
      <c r="E225" s="7" t="s">
        <v>79</v>
      </c>
      <c r="F225" s="7" t="s">
        <v>128</v>
      </c>
      <c r="G225" s="7">
        <f>COUNTIF($F$2:$F$278,F225)</f>
        <v>26</v>
      </c>
      <c r="H225" s="7" t="s">
        <v>81</v>
      </c>
      <c r="I225" s="7" t="s">
        <v>82</v>
      </c>
      <c r="J225" s="7" t="s">
        <v>83</v>
      </c>
      <c r="K225" s="7" t="s">
        <v>84</v>
      </c>
      <c r="M225" s="7" t="s">
        <v>85</v>
      </c>
      <c r="N225" s="7" t="s">
        <v>86</v>
      </c>
      <c r="O225" s="7" t="s">
        <v>87</v>
      </c>
      <c r="P225" s="7" t="s">
        <v>88</v>
      </c>
      <c r="Q225" s="7" t="s">
        <v>89</v>
      </c>
      <c r="R225" s="7" t="s">
        <v>90</v>
      </c>
      <c r="S225" s="7" t="s">
        <v>91</v>
      </c>
      <c r="T225" s="7" t="s">
        <v>92</v>
      </c>
      <c r="U225" s="7" t="s">
        <v>93</v>
      </c>
      <c r="V225" s="7" t="s">
        <v>94</v>
      </c>
      <c r="W225" s="7" t="s">
        <v>95</v>
      </c>
      <c r="Y225" s="7" t="s">
        <v>96</v>
      </c>
      <c r="Z225" s="7" t="s">
        <v>97</v>
      </c>
      <c r="AA225" s="7" t="b">
        <v>0</v>
      </c>
      <c r="AB225" s="7" t="b">
        <v>0</v>
      </c>
      <c r="AC225" s="11" t="s">
        <v>1331</v>
      </c>
      <c r="AD225" s="7">
        <v>76</v>
      </c>
      <c r="AE225" s="7" t="s">
        <v>98</v>
      </c>
      <c r="AI225" s="7" t="s">
        <v>99</v>
      </c>
      <c r="AJ225" s="7" t="s">
        <v>100</v>
      </c>
      <c r="AK225" s="7" t="s">
        <v>1130</v>
      </c>
      <c r="AL225" s="7" t="s">
        <v>100</v>
      </c>
      <c r="AM225" s="7" t="s">
        <v>100</v>
      </c>
      <c r="AN225" s="7" t="s">
        <v>102</v>
      </c>
      <c r="AP225" s="7" t="s">
        <v>1131</v>
      </c>
      <c r="AQ225" s="7" t="s">
        <v>104</v>
      </c>
      <c r="AR225" s="7" t="s">
        <v>105</v>
      </c>
      <c r="AS225" s="7" t="s">
        <v>137</v>
      </c>
      <c r="AT225" s="7" t="s">
        <v>107</v>
      </c>
      <c r="AU225" s="7" t="s">
        <v>107</v>
      </c>
      <c r="AX225" s="7" t="s">
        <v>108</v>
      </c>
      <c r="AY225" s="7" t="s">
        <v>138</v>
      </c>
      <c r="AZ225" s="7" t="s">
        <v>104</v>
      </c>
      <c r="BA225" s="7" t="s">
        <v>105</v>
      </c>
      <c r="BB225" s="7" t="s">
        <v>139</v>
      </c>
      <c r="BC225" s="7" t="s">
        <v>110</v>
      </c>
      <c r="BD225" s="7" t="s">
        <v>110</v>
      </c>
      <c r="BF225" s="7" t="s">
        <v>112</v>
      </c>
      <c r="BG225" s="7">
        <v>7922</v>
      </c>
      <c r="BH225" s="7" t="s">
        <v>140</v>
      </c>
      <c r="BO225" s="7">
        <v>5</v>
      </c>
      <c r="BR225" s="7" t="s">
        <v>104</v>
      </c>
      <c r="BS225" s="7" t="s">
        <v>141</v>
      </c>
      <c r="BT225" s="7" t="s">
        <v>106</v>
      </c>
      <c r="BU225" s="7" t="s">
        <v>110</v>
      </c>
      <c r="BV225" s="7" t="s">
        <v>110</v>
      </c>
      <c r="BW225" s="7" t="s">
        <v>117</v>
      </c>
    </row>
    <row r="226" spans="1:75" s="7" customFormat="1" x14ac:dyDescent="0.35">
      <c r="A226" s="7" t="s">
        <v>1132</v>
      </c>
      <c r="B226" s="8">
        <v>46004</v>
      </c>
      <c r="C226" s="9">
        <v>0.66407407407407404</v>
      </c>
      <c r="D226" s="7" t="s">
        <v>810</v>
      </c>
      <c r="E226" s="7" t="s">
        <v>811</v>
      </c>
      <c r="F226" s="11" t="s">
        <v>346</v>
      </c>
      <c r="G226" s="7">
        <f>COUNTIF($F$2:$F$278,F226)</f>
        <v>69</v>
      </c>
      <c r="H226" s="7" t="s">
        <v>347</v>
      </c>
      <c r="I226" s="7" t="s">
        <v>187</v>
      </c>
      <c r="J226" s="7" t="s">
        <v>83</v>
      </c>
      <c r="K226" s="7" t="s">
        <v>84</v>
      </c>
      <c r="M226" s="7" t="s">
        <v>85</v>
      </c>
      <c r="N226" s="7" t="s">
        <v>86</v>
      </c>
      <c r="O226" s="7" t="s">
        <v>87</v>
      </c>
      <c r="P226" s="7" t="s">
        <v>88</v>
      </c>
      <c r="Q226" s="7" t="s">
        <v>89</v>
      </c>
      <c r="R226" s="7" t="s">
        <v>90</v>
      </c>
      <c r="S226" s="7" t="s">
        <v>91</v>
      </c>
      <c r="T226" s="7" t="s">
        <v>92</v>
      </c>
      <c r="U226" s="7" t="s">
        <v>93</v>
      </c>
      <c r="V226" s="7" t="s">
        <v>94</v>
      </c>
      <c r="W226" s="7" t="s">
        <v>1123</v>
      </c>
      <c r="Y226" s="7" t="s">
        <v>96</v>
      </c>
      <c r="Z226" s="7" t="s">
        <v>97</v>
      </c>
      <c r="AA226" s="7" t="b">
        <v>0</v>
      </c>
      <c r="AB226" s="7" t="b">
        <v>0</v>
      </c>
      <c r="AC226" s="7" t="s">
        <v>1331</v>
      </c>
      <c r="AD226" s="7">
        <v>120</v>
      </c>
      <c r="AE226" s="7" t="s">
        <v>98</v>
      </c>
      <c r="AI226" s="7" t="s">
        <v>1124</v>
      </c>
      <c r="AJ226" s="7" t="s">
        <v>100</v>
      </c>
      <c r="AK226" s="7" t="s">
        <v>1133</v>
      </c>
      <c r="AL226" s="7" t="s">
        <v>100</v>
      </c>
      <c r="AM226" s="7" t="s">
        <v>100</v>
      </c>
      <c r="AN226" s="7" t="s">
        <v>102</v>
      </c>
      <c r="AP226" s="7" t="s">
        <v>1134</v>
      </c>
      <c r="AQ226" s="7" t="s">
        <v>104</v>
      </c>
      <c r="AR226" s="7" t="s">
        <v>197</v>
      </c>
      <c r="AS226" s="7" t="s">
        <v>356</v>
      </c>
      <c r="AT226" s="7" t="s">
        <v>199</v>
      </c>
      <c r="AU226" s="7" t="s">
        <v>199</v>
      </c>
      <c r="AX226" s="7" t="s">
        <v>200</v>
      </c>
      <c r="AY226" s="7" t="s">
        <v>357</v>
      </c>
      <c r="AZ226" s="7" t="s">
        <v>104</v>
      </c>
      <c r="BA226" s="7" t="s">
        <v>197</v>
      </c>
      <c r="BB226" s="7" t="s">
        <v>356</v>
      </c>
      <c r="BC226" s="7" t="s">
        <v>199</v>
      </c>
      <c r="BD226" s="7" t="s">
        <v>199</v>
      </c>
      <c r="BF226" s="7" t="s">
        <v>203</v>
      </c>
      <c r="BG226" s="7">
        <v>20115</v>
      </c>
      <c r="BH226" s="7" t="s">
        <v>358</v>
      </c>
      <c r="BO226" s="7">
        <v>9</v>
      </c>
      <c r="BR226" s="7" t="s">
        <v>104</v>
      </c>
      <c r="BS226" s="7" t="s">
        <v>205</v>
      </c>
      <c r="BT226" s="7" t="s">
        <v>356</v>
      </c>
      <c r="BU226" s="7" t="s">
        <v>207</v>
      </c>
      <c r="BV226" s="7" t="s">
        <v>208</v>
      </c>
      <c r="BW226" s="7" t="s">
        <v>209</v>
      </c>
    </row>
    <row r="227" spans="1:75" x14ac:dyDescent="0.35">
      <c r="A227" t="s">
        <v>1135</v>
      </c>
      <c r="B227" s="1">
        <v>46004</v>
      </c>
      <c r="C227" s="2">
        <v>0.6322916666666667</v>
      </c>
      <c r="D227" t="s">
        <v>543</v>
      </c>
      <c r="E227" t="s">
        <v>544</v>
      </c>
      <c r="F227" t="s">
        <v>1116</v>
      </c>
      <c r="G227">
        <f>COUNTIF($F$2:$F$278,F227)</f>
        <v>6</v>
      </c>
      <c r="H227" t="s">
        <v>546</v>
      </c>
      <c r="I227" t="s">
        <v>187</v>
      </c>
      <c r="J227" t="s">
        <v>83</v>
      </c>
      <c r="K227" t="s">
        <v>84</v>
      </c>
      <c r="M227" t="s">
        <v>85</v>
      </c>
      <c r="N227" t="s">
        <v>86</v>
      </c>
      <c r="O227" t="s">
        <v>84</v>
      </c>
      <c r="P227" t="s">
        <v>100</v>
      </c>
      <c r="Q227" t="s">
        <v>129</v>
      </c>
      <c r="R227" t="s">
        <v>130</v>
      </c>
      <c r="S227" t="s">
        <v>91</v>
      </c>
      <c r="T227" t="s">
        <v>92</v>
      </c>
      <c r="U227" t="s">
        <v>93</v>
      </c>
      <c r="V227" t="s">
        <v>22</v>
      </c>
      <c r="X227" t="s">
        <v>131</v>
      </c>
      <c r="Y227" t="s">
        <v>132</v>
      </c>
      <c r="Z227" t="s">
        <v>547</v>
      </c>
      <c r="AA227" t="b">
        <v>0</v>
      </c>
      <c r="AB227" t="b">
        <v>0</v>
      </c>
      <c r="AD227">
        <v>90</v>
      </c>
      <c r="AE227" t="s">
        <v>153</v>
      </c>
      <c r="AH227" t="s">
        <v>544</v>
      </c>
      <c r="AI227" t="s">
        <v>548</v>
      </c>
      <c r="AJ227" t="s">
        <v>100</v>
      </c>
      <c r="AK227" t="s">
        <v>1136</v>
      </c>
      <c r="AL227" t="s">
        <v>100</v>
      </c>
      <c r="AM227" t="s">
        <v>100</v>
      </c>
      <c r="AN227" t="s">
        <v>124</v>
      </c>
      <c r="AO227">
        <v>1002</v>
      </c>
      <c r="AP227" t="s">
        <v>1137</v>
      </c>
      <c r="AQ227" t="s">
        <v>104</v>
      </c>
      <c r="AR227" t="s">
        <v>197</v>
      </c>
      <c r="AS227" t="s">
        <v>206</v>
      </c>
      <c r="AT227" t="s">
        <v>199</v>
      </c>
      <c r="AU227" t="s">
        <v>199</v>
      </c>
      <c r="AX227" t="s">
        <v>200</v>
      </c>
      <c r="AY227" t="s">
        <v>551</v>
      </c>
      <c r="AZ227" t="s">
        <v>104</v>
      </c>
      <c r="BA227" t="s">
        <v>197</v>
      </c>
      <c r="BB227" t="s">
        <v>206</v>
      </c>
      <c r="BC227" t="s">
        <v>199</v>
      </c>
      <c r="BD227" t="s">
        <v>199</v>
      </c>
      <c r="BF227" t="s">
        <v>203</v>
      </c>
      <c r="BG227">
        <v>20115</v>
      </c>
      <c r="BH227" t="s">
        <v>552</v>
      </c>
      <c r="BO227">
        <v>2</v>
      </c>
      <c r="BR227" t="s">
        <v>104</v>
      </c>
      <c r="BS227" t="s">
        <v>205</v>
      </c>
      <c r="BT227" t="s">
        <v>553</v>
      </c>
      <c r="BU227" t="s">
        <v>199</v>
      </c>
      <c r="BV227" t="s">
        <v>208</v>
      </c>
      <c r="BW227" t="s">
        <v>209</v>
      </c>
    </row>
    <row r="228" spans="1:75" x14ac:dyDescent="0.35">
      <c r="A228" t="s">
        <v>1138</v>
      </c>
      <c r="B228" s="1">
        <v>46004</v>
      </c>
      <c r="C228" s="2">
        <v>0.63225694444444447</v>
      </c>
      <c r="D228" t="s">
        <v>543</v>
      </c>
      <c r="E228" t="s">
        <v>544</v>
      </c>
      <c r="F228" t="s">
        <v>1116</v>
      </c>
      <c r="G228">
        <f>COUNTIF($F$2:$F$278,F228)</f>
        <v>6</v>
      </c>
      <c r="H228" t="s">
        <v>546</v>
      </c>
      <c r="I228" t="s">
        <v>187</v>
      </c>
      <c r="J228" t="s">
        <v>83</v>
      </c>
      <c r="K228" t="s">
        <v>143</v>
      </c>
      <c r="L228">
        <v>50140</v>
      </c>
      <c r="M228" t="s">
        <v>85</v>
      </c>
      <c r="N228" t="s">
        <v>86</v>
      </c>
      <c r="O228" t="s">
        <v>84</v>
      </c>
      <c r="P228" t="s">
        <v>100</v>
      </c>
      <c r="Q228" t="s">
        <v>129</v>
      </c>
      <c r="R228" t="s">
        <v>130</v>
      </c>
      <c r="S228" t="s">
        <v>91</v>
      </c>
      <c r="T228" t="s">
        <v>92</v>
      </c>
      <c r="U228" t="s">
        <v>144</v>
      </c>
      <c r="V228" t="s">
        <v>22</v>
      </c>
      <c r="X228" t="s">
        <v>131</v>
      </c>
      <c r="Y228" t="s">
        <v>132</v>
      </c>
      <c r="Z228" t="s">
        <v>547</v>
      </c>
      <c r="AA228" t="b">
        <v>0</v>
      </c>
      <c r="AB228" t="b">
        <v>0</v>
      </c>
      <c r="AD228">
        <v>78</v>
      </c>
      <c r="AE228" t="s">
        <v>145</v>
      </c>
      <c r="AH228" t="s">
        <v>544</v>
      </c>
      <c r="AI228" t="s">
        <v>1139</v>
      </c>
      <c r="AJ228" t="s">
        <v>100</v>
      </c>
      <c r="AK228" t="s">
        <v>1140</v>
      </c>
      <c r="AL228" t="s">
        <v>100</v>
      </c>
      <c r="AM228" t="s">
        <v>100</v>
      </c>
      <c r="AN228" t="s">
        <v>124</v>
      </c>
      <c r="AO228">
        <v>1002</v>
      </c>
      <c r="AP228" t="s">
        <v>1137</v>
      </c>
      <c r="AQ228" t="s">
        <v>104</v>
      </c>
      <c r="AR228" t="s">
        <v>197</v>
      </c>
      <c r="AS228" t="s">
        <v>206</v>
      </c>
      <c r="AT228" t="s">
        <v>199</v>
      </c>
      <c r="AU228" t="s">
        <v>199</v>
      </c>
      <c r="AX228" t="s">
        <v>200</v>
      </c>
      <c r="AY228" t="s">
        <v>551</v>
      </c>
      <c r="AZ228" t="s">
        <v>104</v>
      </c>
      <c r="BA228" t="s">
        <v>197</v>
      </c>
      <c r="BB228" t="s">
        <v>206</v>
      </c>
      <c r="BC228" t="s">
        <v>199</v>
      </c>
      <c r="BD228" t="s">
        <v>199</v>
      </c>
      <c r="BF228" t="s">
        <v>203</v>
      </c>
      <c r="BG228">
        <v>20115</v>
      </c>
      <c r="BH228" t="s">
        <v>552</v>
      </c>
      <c r="BO228">
        <v>2</v>
      </c>
      <c r="BR228" t="s">
        <v>104</v>
      </c>
      <c r="BS228" t="s">
        <v>205</v>
      </c>
      <c r="BT228" t="s">
        <v>553</v>
      </c>
      <c r="BU228" t="s">
        <v>199</v>
      </c>
      <c r="BV228" t="s">
        <v>208</v>
      </c>
      <c r="BW228" t="s">
        <v>209</v>
      </c>
    </row>
    <row r="229" spans="1:75" x14ac:dyDescent="0.35">
      <c r="A229" t="s">
        <v>1141</v>
      </c>
      <c r="B229" s="1">
        <v>46004</v>
      </c>
      <c r="C229" s="2">
        <v>0.63179398148148147</v>
      </c>
      <c r="D229" t="s">
        <v>543</v>
      </c>
      <c r="E229" t="s">
        <v>544</v>
      </c>
      <c r="F229" t="s">
        <v>1116</v>
      </c>
      <c r="G229">
        <f>COUNTIF($F$2:$F$278,F229)</f>
        <v>6</v>
      </c>
      <c r="H229" t="s">
        <v>546</v>
      </c>
      <c r="I229" t="s">
        <v>187</v>
      </c>
      <c r="J229" t="s">
        <v>83</v>
      </c>
      <c r="K229" t="s">
        <v>84</v>
      </c>
      <c r="M229" t="s">
        <v>85</v>
      </c>
      <c r="N229" t="s">
        <v>86</v>
      </c>
      <c r="O229" t="s">
        <v>84</v>
      </c>
      <c r="P229" t="s">
        <v>100</v>
      </c>
      <c r="Q229" t="s">
        <v>129</v>
      </c>
      <c r="R229" t="s">
        <v>130</v>
      </c>
      <c r="S229" t="s">
        <v>91</v>
      </c>
      <c r="T229" t="s">
        <v>92</v>
      </c>
      <c r="U229" t="s">
        <v>93</v>
      </c>
      <c r="V229" t="s">
        <v>22</v>
      </c>
      <c r="X229" t="s">
        <v>131</v>
      </c>
      <c r="Y229" t="s">
        <v>132</v>
      </c>
      <c r="Z229" t="s">
        <v>547</v>
      </c>
      <c r="AA229" t="b">
        <v>0</v>
      </c>
      <c r="AB229" t="b">
        <v>0</v>
      </c>
      <c r="AD229">
        <v>98</v>
      </c>
      <c r="AE229" t="s">
        <v>153</v>
      </c>
      <c r="AH229" t="s">
        <v>544</v>
      </c>
      <c r="AI229" t="s">
        <v>548</v>
      </c>
      <c r="AJ229" t="s">
        <v>100</v>
      </c>
      <c r="AK229" t="s">
        <v>1142</v>
      </c>
      <c r="AL229" t="s">
        <v>100</v>
      </c>
      <c r="AM229" t="s">
        <v>100</v>
      </c>
      <c r="AN229" t="s">
        <v>124</v>
      </c>
      <c r="AO229">
        <v>1002</v>
      </c>
      <c r="AP229" t="s">
        <v>1143</v>
      </c>
      <c r="AQ229" t="s">
        <v>104</v>
      </c>
      <c r="AR229" t="s">
        <v>197</v>
      </c>
      <c r="AS229" t="s">
        <v>206</v>
      </c>
      <c r="AT229" t="s">
        <v>199</v>
      </c>
      <c r="AU229" t="s">
        <v>199</v>
      </c>
      <c r="AX229" t="s">
        <v>200</v>
      </c>
      <c r="AY229" t="s">
        <v>551</v>
      </c>
      <c r="AZ229" t="s">
        <v>104</v>
      </c>
      <c r="BA229" t="s">
        <v>197</v>
      </c>
      <c r="BB229" t="s">
        <v>206</v>
      </c>
      <c r="BC229" t="s">
        <v>199</v>
      </c>
      <c r="BD229" t="s">
        <v>199</v>
      </c>
      <c r="BF229" t="s">
        <v>203</v>
      </c>
      <c r="BG229">
        <v>20115</v>
      </c>
      <c r="BH229" t="s">
        <v>552</v>
      </c>
      <c r="BO229">
        <v>2</v>
      </c>
      <c r="BR229" t="s">
        <v>104</v>
      </c>
      <c r="BS229" t="s">
        <v>205</v>
      </c>
      <c r="BT229" t="s">
        <v>553</v>
      </c>
      <c r="BU229" t="s">
        <v>199</v>
      </c>
      <c r="BV229" t="s">
        <v>208</v>
      </c>
      <c r="BW229" t="s">
        <v>209</v>
      </c>
    </row>
    <row r="230" spans="1:75" x14ac:dyDescent="0.35">
      <c r="A230" t="s">
        <v>1144</v>
      </c>
      <c r="B230" s="1">
        <v>46004</v>
      </c>
      <c r="C230" s="2">
        <v>0.63175925925925924</v>
      </c>
      <c r="D230" t="s">
        <v>543</v>
      </c>
      <c r="E230" t="s">
        <v>544</v>
      </c>
      <c r="F230" t="s">
        <v>1116</v>
      </c>
      <c r="G230">
        <f>COUNTIF($F$2:$F$278,F230)</f>
        <v>6</v>
      </c>
      <c r="H230" t="s">
        <v>546</v>
      </c>
      <c r="I230" t="s">
        <v>187</v>
      </c>
      <c r="J230" t="s">
        <v>83</v>
      </c>
      <c r="K230" t="s">
        <v>143</v>
      </c>
      <c r="L230">
        <v>50140</v>
      </c>
      <c r="M230" t="s">
        <v>85</v>
      </c>
      <c r="N230" t="s">
        <v>86</v>
      </c>
      <c r="O230" t="s">
        <v>84</v>
      </c>
      <c r="P230" t="s">
        <v>100</v>
      </c>
      <c r="Q230" t="s">
        <v>129</v>
      </c>
      <c r="R230" t="s">
        <v>130</v>
      </c>
      <c r="S230" t="s">
        <v>91</v>
      </c>
      <c r="T230" t="s">
        <v>92</v>
      </c>
      <c r="U230" t="s">
        <v>144</v>
      </c>
      <c r="V230" t="s">
        <v>22</v>
      </c>
      <c r="X230" t="s">
        <v>131</v>
      </c>
      <c r="Y230" t="s">
        <v>132</v>
      </c>
      <c r="Z230" t="s">
        <v>547</v>
      </c>
      <c r="AA230" t="b">
        <v>0</v>
      </c>
      <c r="AB230" t="b">
        <v>0</v>
      </c>
      <c r="AD230">
        <v>101</v>
      </c>
      <c r="AE230" t="s">
        <v>145</v>
      </c>
      <c r="AH230" t="s">
        <v>544</v>
      </c>
      <c r="AI230" t="s">
        <v>1145</v>
      </c>
      <c r="AJ230" t="s">
        <v>100</v>
      </c>
      <c r="AK230" t="s">
        <v>1146</v>
      </c>
      <c r="AL230" t="s">
        <v>100</v>
      </c>
      <c r="AM230" t="s">
        <v>100</v>
      </c>
      <c r="AN230" t="s">
        <v>124</v>
      </c>
      <c r="AO230">
        <v>1002</v>
      </c>
      <c r="AP230" t="s">
        <v>1143</v>
      </c>
      <c r="AQ230" t="s">
        <v>104</v>
      </c>
      <c r="AR230" t="s">
        <v>197</v>
      </c>
      <c r="AS230" t="s">
        <v>206</v>
      </c>
      <c r="AT230" t="s">
        <v>199</v>
      </c>
      <c r="AU230" t="s">
        <v>199</v>
      </c>
      <c r="AX230" t="s">
        <v>200</v>
      </c>
      <c r="AY230" t="s">
        <v>551</v>
      </c>
      <c r="AZ230" t="s">
        <v>104</v>
      </c>
      <c r="BA230" t="s">
        <v>197</v>
      </c>
      <c r="BB230" t="s">
        <v>206</v>
      </c>
      <c r="BC230" t="s">
        <v>199</v>
      </c>
      <c r="BD230" t="s">
        <v>199</v>
      </c>
      <c r="BF230" t="s">
        <v>203</v>
      </c>
      <c r="BG230">
        <v>20115</v>
      </c>
      <c r="BH230" t="s">
        <v>552</v>
      </c>
      <c r="BO230">
        <v>2</v>
      </c>
      <c r="BR230" t="s">
        <v>104</v>
      </c>
      <c r="BS230" t="s">
        <v>205</v>
      </c>
      <c r="BT230" t="s">
        <v>553</v>
      </c>
      <c r="BU230" t="s">
        <v>199</v>
      </c>
      <c r="BV230" t="s">
        <v>208</v>
      </c>
      <c r="BW230" t="s">
        <v>209</v>
      </c>
    </row>
    <row r="231" spans="1:75" s="7" customFormat="1" x14ac:dyDescent="0.35">
      <c r="A231" s="7" t="s">
        <v>1147</v>
      </c>
      <c r="B231" s="8">
        <v>46004</v>
      </c>
      <c r="C231" s="9">
        <v>0.5923842592592593</v>
      </c>
      <c r="D231" s="7" t="s">
        <v>873</v>
      </c>
      <c r="E231" s="7" t="s">
        <v>874</v>
      </c>
      <c r="F231" s="11" t="s">
        <v>346</v>
      </c>
      <c r="G231" s="7">
        <f>COUNTIF($F$2:$F$278,F231)</f>
        <v>69</v>
      </c>
      <c r="H231" s="7" t="s">
        <v>347</v>
      </c>
      <c r="I231" s="7" t="s">
        <v>187</v>
      </c>
      <c r="J231" s="7" t="s">
        <v>83</v>
      </c>
      <c r="K231" s="7" t="s">
        <v>84</v>
      </c>
      <c r="M231" s="7" t="s">
        <v>85</v>
      </c>
      <c r="N231" s="7" t="s">
        <v>120</v>
      </c>
      <c r="O231" s="7" t="s">
        <v>87</v>
      </c>
      <c r="P231" s="7" t="s">
        <v>88</v>
      </c>
      <c r="Q231" s="7" t="s">
        <v>89</v>
      </c>
      <c r="R231" s="7" t="s">
        <v>90</v>
      </c>
      <c r="S231" s="7" t="s">
        <v>91</v>
      </c>
      <c r="T231" s="7" t="s">
        <v>92</v>
      </c>
      <c r="U231" s="7" t="s">
        <v>93</v>
      </c>
      <c r="V231" s="7" t="s">
        <v>94</v>
      </c>
      <c r="W231" s="7" t="s">
        <v>875</v>
      </c>
      <c r="Y231" s="7" t="s">
        <v>96</v>
      </c>
      <c r="Z231" s="7" t="s">
        <v>97</v>
      </c>
      <c r="AA231" s="7" t="b">
        <v>0</v>
      </c>
      <c r="AB231" s="7" t="b">
        <v>0</v>
      </c>
      <c r="AC231" s="7" t="s">
        <v>1331</v>
      </c>
      <c r="AD231" s="7">
        <v>92</v>
      </c>
      <c r="AE231" s="7" t="s">
        <v>153</v>
      </c>
      <c r="AI231" s="7" t="s">
        <v>876</v>
      </c>
      <c r="AJ231" s="7" t="s">
        <v>100</v>
      </c>
      <c r="AK231" s="7" t="s">
        <v>1148</v>
      </c>
      <c r="AL231" s="7" t="s">
        <v>100</v>
      </c>
      <c r="AM231" s="7" t="s">
        <v>100</v>
      </c>
      <c r="AN231" s="7" t="s">
        <v>102</v>
      </c>
      <c r="AP231" s="7" t="s">
        <v>1149</v>
      </c>
      <c r="AQ231" s="7" t="s">
        <v>104</v>
      </c>
      <c r="AR231" s="7" t="s">
        <v>197</v>
      </c>
      <c r="AS231" s="7" t="s">
        <v>356</v>
      </c>
      <c r="AT231" s="7" t="s">
        <v>199</v>
      </c>
      <c r="AU231" s="7" t="s">
        <v>199</v>
      </c>
      <c r="AX231" s="7" t="s">
        <v>200</v>
      </c>
      <c r="AY231" s="7" t="s">
        <v>357</v>
      </c>
      <c r="AZ231" s="7" t="s">
        <v>104</v>
      </c>
      <c r="BA231" s="7" t="s">
        <v>197</v>
      </c>
      <c r="BB231" s="7" t="s">
        <v>356</v>
      </c>
      <c r="BC231" s="7" t="s">
        <v>199</v>
      </c>
      <c r="BD231" s="7" t="s">
        <v>199</v>
      </c>
      <c r="BF231" s="7" t="s">
        <v>203</v>
      </c>
      <c r="BG231" s="7">
        <v>20115</v>
      </c>
      <c r="BH231" s="7" t="s">
        <v>358</v>
      </c>
      <c r="BO231" s="7">
        <v>9</v>
      </c>
      <c r="BR231" s="7" t="s">
        <v>104</v>
      </c>
      <c r="BS231" s="7" t="s">
        <v>205</v>
      </c>
      <c r="BT231" s="7" t="s">
        <v>356</v>
      </c>
      <c r="BU231" s="7" t="s">
        <v>207</v>
      </c>
      <c r="BV231" s="7" t="s">
        <v>208</v>
      </c>
      <c r="BW231" s="7" t="s">
        <v>209</v>
      </c>
    </row>
    <row r="232" spans="1:75" x14ac:dyDescent="0.35">
      <c r="A232" t="s">
        <v>1150</v>
      </c>
      <c r="B232" s="1">
        <v>46004</v>
      </c>
      <c r="C232" s="2">
        <v>0.57673611111111112</v>
      </c>
      <c r="D232" t="s">
        <v>543</v>
      </c>
      <c r="E232" t="s">
        <v>544</v>
      </c>
      <c r="F232" t="s">
        <v>1151</v>
      </c>
      <c r="G232">
        <f>COUNTIF($F$2:$F$278,F232)</f>
        <v>2</v>
      </c>
      <c r="H232" t="s">
        <v>546</v>
      </c>
      <c r="I232" t="s">
        <v>187</v>
      </c>
      <c r="J232" t="s">
        <v>83</v>
      </c>
      <c r="K232" t="s">
        <v>84</v>
      </c>
      <c r="M232" t="s">
        <v>85</v>
      </c>
      <c r="N232" t="s">
        <v>86</v>
      </c>
      <c r="O232" t="s">
        <v>84</v>
      </c>
      <c r="P232" t="s">
        <v>100</v>
      </c>
      <c r="Q232" t="s">
        <v>129</v>
      </c>
      <c r="R232" t="s">
        <v>130</v>
      </c>
      <c r="S232" t="s">
        <v>91</v>
      </c>
      <c r="T232" t="s">
        <v>92</v>
      </c>
      <c r="U232" t="s">
        <v>93</v>
      </c>
      <c r="V232" t="s">
        <v>22</v>
      </c>
      <c r="X232" t="s">
        <v>131</v>
      </c>
      <c r="Y232" t="s">
        <v>132</v>
      </c>
      <c r="Z232" t="s">
        <v>547</v>
      </c>
      <c r="AA232" t="b">
        <v>0</v>
      </c>
      <c r="AB232" t="b">
        <v>0</v>
      </c>
      <c r="AD232">
        <v>81</v>
      </c>
      <c r="AE232" t="s">
        <v>153</v>
      </c>
      <c r="AH232" t="s">
        <v>544</v>
      </c>
      <c r="AI232" t="s">
        <v>548</v>
      </c>
      <c r="AJ232" t="s">
        <v>100</v>
      </c>
      <c r="AK232" t="s">
        <v>1152</v>
      </c>
      <c r="AL232" t="s">
        <v>100</v>
      </c>
      <c r="AM232" t="s">
        <v>100</v>
      </c>
      <c r="AN232" t="s">
        <v>124</v>
      </c>
      <c r="AO232">
        <v>1002</v>
      </c>
      <c r="AP232" t="s">
        <v>1153</v>
      </c>
      <c r="AQ232" t="s">
        <v>104</v>
      </c>
      <c r="AR232" t="s">
        <v>197</v>
      </c>
      <c r="AS232" t="s">
        <v>206</v>
      </c>
      <c r="AT232" t="s">
        <v>199</v>
      </c>
      <c r="AU232" t="s">
        <v>199</v>
      </c>
      <c r="AX232" t="s">
        <v>200</v>
      </c>
      <c r="AY232" t="s">
        <v>551</v>
      </c>
      <c r="AZ232" t="s">
        <v>104</v>
      </c>
      <c r="BA232" t="s">
        <v>197</v>
      </c>
      <c r="BB232" t="s">
        <v>206</v>
      </c>
      <c r="BC232" t="s">
        <v>199</v>
      </c>
      <c r="BD232" t="s">
        <v>199</v>
      </c>
      <c r="BF232" t="s">
        <v>203</v>
      </c>
      <c r="BG232">
        <v>20115</v>
      </c>
      <c r="BH232" t="s">
        <v>552</v>
      </c>
      <c r="BO232">
        <v>2</v>
      </c>
      <c r="BR232" t="s">
        <v>104</v>
      </c>
      <c r="BS232" t="s">
        <v>205</v>
      </c>
      <c r="BT232" t="s">
        <v>553</v>
      </c>
      <c r="BU232" t="s">
        <v>199</v>
      </c>
      <c r="BV232" t="s">
        <v>208</v>
      </c>
      <c r="BW232" t="s">
        <v>209</v>
      </c>
    </row>
    <row r="233" spans="1:75" x14ac:dyDescent="0.35">
      <c r="A233" t="s">
        <v>1154</v>
      </c>
      <c r="B233" s="1">
        <v>46004</v>
      </c>
      <c r="C233" s="2">
        <v>0.57667824074074081</v>
      </c>
      <c r="D233" t="s">
        <v>543</v>
      </c>
      <c r="E233" t="s">
        <v>544</v>
      </c>
      <c r="F233" t="s">
        <v>1151</v>
      </c>
      <c r="G233">
        <f>COUNTIF($F$2:$F$278,F233)</f>
        <v>2</v>
      </c>
      <c r="H233" t="s">
        <v>546</v>
      </c>
      <c r="I233" t="s">
        <v>187</v>
      </c>
      <c r="J233" t="s">
        <v>83</v>
      </c>
      <c r="K233" t="s">
        <v>143</v>
      </c>
      <c r="L233">
        <v>50140</v>
      </c>
      <c r="M233" t="s">
        <v>85</v>
      </c>
      <c r="N233" t="s">
        <v>86</v>
      </c>
      <c r="O233" t="s">
        <v>84</v>
      </c>
      <c r="P233" t="s">
        <v>100</v>
      </c>
      <c r="Q233" t="s">
        <v>129</v>
      </c>
      <c r="R233" t="s">
        <v>130</v>
      </c>
      <c r="S233" t="s">
        <v>91</v>
      </c>
      <c r="T233" t="s">
        <v>92</v>
      </c>
      <c r="U233" t="s">
        <v>144</v>
      </c>
      <c r="V233" t="s">
        <v>22</v>
      </c>
      <c r="X233" t="s">
        <v>131</v>
      </c>
      <c r="Y233" t="s">
        <v>132</v>
      </c>
      <c r="Z233" t="s">
        <v>547</v>
      </c>
      <c r="AA233" t="b">
        <v>0</v>
      </c>
      <c r="AB233" t="b">
        <v>0</v>
      </c>
      <c r="AD233">
        <v>81</v>
      </c>
      <c r="AE233" t="s">
        <v>145</v>
      </c>
      <c r="AH233" t="s">
        <v>544</v>
      </c>
      <c r="AI233" t="s">
        <v>1155</v>
      </c>
      <c r="AJ233" t="s">
        <v>100</v>
      </c>
      <c r="AK233" t="s">
        <v>1156</v>
      </c>
      <c r="AL233" t="s">
        <v>100</v>
      </c>
      <c r="AM233" t="s">
        <v>100</v>
      </c>
      <c r="AN233" t="s">
        <v>124</v>
      </c>
      <c r="AO233">
        <v>1002</v>
      </c>
      <c r="AP233" t="s">
        <v>1153</v>
      </c>
      <c r="AQ233" t="s">
        <v>104</v>
      </c>
      <c r="AR233" t="s">
        <v>197</v>
      </c>
      <c r="AS233" t="s">
        <v>206</v>
      </c>
      <c r="AT233" t="s">
        <v>199</v>
      </c>
      <c r="AU233" t="s">
        <v>199</v>
      </c>
      <c r="AX233" t="s">
        <v>200</v>
      </c>
      <c r="AY233" t="s">
        <v>551</v>
      </c>
      <c r="AZ233" t="s">
        <v>104</v>
      </c>
      <c r="BA233" t="s">
        <v>197</v>
      </c>
      <c r="BB233" t="s">
        <v>206</v>
      </c>
      <c r="BC233" t="s">
        <v>199</v>
      </c>
      <c r="BD233" t="s">
        <v>199</v>
      </c>
      <c r="BF233" t="s">
        <v>203</v>
      </c>
      <c r="BG233">
        <v>20115</v>
      </c>
      <c r="BH233" t="s">
        <v>552</v>
      </c>
      <c r="BO233">
        <v>2</v>
      </c>
      <c r="BR233" t="s">
        <v>104</v>
      </c>
      <c r="BS233" t="s">
        <v>205</v>
      </c>
      <c r="BT233" t="s">
        <v>553</v>
      </c>
      <c r="BU233" t="s">
        <v>199</v>
      </c>
      <c r="BV233" t="s">
        <v>208</v>
      </c>
      <c r="BW233" t="s">
        <v>209</v>
      </c>
    </row>
    <row r="234" spans="1:75" s="7" customFormat="1" x14ac:dyDescent="0.35">
      <c r="A234" s="7" t="s">
        <v>1157</v>
      </c>
      <c r="B234" s="8">
        <v>46004</v>
      </c>
      <c r="C234" s="9">
        <v>0.56032407407407414</v>
      </c>
      <c r="D234" s="7" t="s">
        <v>536</v>
      </c>
      <c r="E234" s="7" t="s">
        <v>537</v>
      </c>
      <c r="F234" s="11" t="s">
        <v>346</v>
      </c>
      <c r="G234" s="7">
        <f>COUNTIF($F$2:$F$278,F234)</f>
        <v>69</v>
      </c>
      <c r="H234" s="7" t="s">
        <v>347</v>
      </c>
      <c r="I234" s="7" t="s">
        <v>187</v>
      </c>
      <c r="J234" s="7" t="s">
        <v>83</v>
      </c>
      <c r="K234" s="7" t="s">
        <v>84</v>
      </c>
      <c r="M234" s="7" t="s">
        <v>85</v>
      </c>
      <c r="N234" s="7" t="s">
        <v>86</v>
      </c>
      <c r="O234" s="7" t="s">
        <v>87</v>
      </c>
      <c r="P234" s="7" t="s">
        <v>88</v>
      </c>
      <c r="Q234" s="7" t="s">
        <v>89</v>
      </c>
      <c r="R234" s="7" t="s">
        <v>90</v>
      </c>
      <c r="S234" s="7" t="s">
        <v>91</v>
      </c>
      <c r="T234" s="7" t="s">
        <v>92</v>
      </c>
      <c r="U234" s="7" t="s">
        <v>93</v>
      </c>
      <c r="V234" s="7" t="s">
        <v>94</v>
      </c>
      <c r="W234" s="7" t="s">
        <v>538</v>
      </c>
      <c r="Y234" s="7" t="s">
        <v>96</v>
      </c>
      <c r="Z234" s="7" t="s">
        <v>97</v>
      </c>
      <c r="AA234" s="7" t="b">
        <v>0</v>
      </c>
      <c r="AB234" s="7" t="b">
        <v>0</v>
      </c>
      <c r="AC234" s="7" t="s">
        <v>1331</v>
      </c>
      <c r="AD234" s="7">
        <v>85</v>
      </c>
      <c r="AE234" s="7" t="s">
        <v>98</v>
      </c>
      <c r="AI234" s="7" t="s">
        <v>539</v>
      </c>
      <c r="AJ234" s="7" t="s">
        <v>100</v>
      </c>
      <c r="AK234" s="7" t="s">
        <v>1158</v>
      </c>
      <c r="AL234" s="7" t="s">
        <v>100</v>
      </c>
      <c r="AM234" s="7" t="s">
        <v>100</v>
      </c>
      <c r="AN234" s="7" t="s">
        <v>102</v>
      </c>
      <c r="AP234" s="7" t="s">
        <v>1159</v>
      </c>
      <c r="AQ234" s="7" t="s">
        <v>104</v>
      </c>
      <c r="AR234" s="7" t="s">
        <v>197</v>
      </c>
      <c r="AS234" s="7" t="s">
        <v>356</v>
      </c>
      <c r="AT234" s="7" t="s">
        <v>199</v>
      </c>
      <c r="AU234" s="7" t="s">
        <v>199</v>
      </c>
      <c r="AX234" s="7" t="s">
        <v>200</v>
      </c>
      <c r="AY234" s="7" t="s">
        <v>357</v>
      </c>
      <c r="AZ234" s="7" t="s">
        <v>104</v>
      </c>
      <c r="BA234" s="7" t="s">
        <v>197</v>
      </c>
      <c r="BB234" s="7" t="s">
        <v>356</v>
      </c>
      <c r="BC234" s="7" t="s">
        <v>199</v>
      </c>
      <c r="BD234" s="7" t="s">
        <v>199</v>
      </c>
      <c r="BF234" s="7" t="s">
        <v>203</v>
      </c>
      <c r="BG234" s="7">
        <v>20115</v>
      </c>
      <c r="BH234" s="7" t="s">
        <v>358</v>
      </c>
      <c r="BO234" s="7">
        <v>9</v>
      </c>
      <c r="BR234" s="7" t="s">
        <v>104</v>
      </c>
      <c r="BS234" s="7" t="s">
        <v>205</v>
      </c>
      <c r="BT234" s="7" t="s">
        <v>356</v>
      </c>
      <c r="BU234" s="7" t="s">
        <v>207</v>
      </c>
      <c r="BV234" s="7" t="s">
        <v>208</v>
      </c>
      <c r="BW234" s="7" t="s">
        <v>209</v>
      </c>
    </row>
    <row r="235" spans="1:75" s="7" customFormat="1" x14ac:dyDescent="0.35">
      <c r="A235" s="7" t="s">
        <v>1160</v>
      </c>
      <c r="B235" s="8">
        <v>46004</v>
      </c>
      <c r="C235" s="9">
        <v>0.54357638888888882</v>
      </c>
      <c r="D235" s="7" t="s">
        <v>271</v>
      </c>
      <c r="E235" s="7" t="s">
        <v>272</v>
      </c>
      <c r="F235" s="7" t="s">
        <v>273</v>
      </c>
      <c r="G235" s="7">
        <f>COUNTIF($F$2:$F$278,F235)</f>
        <v>13</v>
      </c>
      <c r="H235" s="7" t="s">
        <v>274</v>
      </c>
      <c r="I235" s="7" t="s">
        <v>275</v>
      </c>
      <c r="J235" s="7" t="s">
        <v>83</v>
      </c>
      <c r="K235" s="7" t="s">
        <v>119</v>
      </c>
      <c r="L235" s="7">
        <v>50057</v>
      </c>
      <c r="M235" s="7" t="s">
        <v>85</v>
      </c>
      <c r="N235" s="7" t="s">
        <v>120</v>
      </c>
      <c r="O235" s="7" t="s">
        <v>87</v>
      </c>
      <c r="P235" s="7" t="s">
        <v>100</v>
      </c>
      <c r="Q235" s="7" t="s">
        <v>89</v>
      </c>
      <c r="R235" s="7" t="s">
        <v>90</v>
      </c>
      <c r="S235" s="7" t="s">
        <v>91</v>
      </c>
      <c r="T235" s="7" t="s">
        <v>92</v>
      </c>
      <c r="U235" s="7" t="s">
        <v>276</v>
      </c>
      <c r="V235" s="7" t="s">
        <v>94</v>
      </c>
      <c r="W235" s="7" t="s">
        <v>277</v>
      </c>
      <c r="Y235" s="7" t="s">
        <v>96</v>
      </c>
      <c r="Z235" s="7" t="s">
        <v>97</v>
      </c>
      <c r="AA235" s="7" t="b">
        <v>0</v>
      </c>
      <c r="AB235" s="7" t="b">
        <v>0</v>
      </c>
      <c r="AC235" s="11" t="s">
        <v>1331</v>
      </c>
      <c r="AD235" s="7">
        <v>70</v>
      </c>
      <c r="AE235" s="7" t="s">
        <v>278</v>
      </c>
      <c r="AJ235" s="7" t="s">
        <v>100</v>
      </c>
      <c r="AK235" s="7" t="s">
        <v>1161</v>
      </c>
      <c r="AL235" s="7" t="s">
        <v>100</v>
      </c>
      <c r="AM235" s="7" t="s">
        <v>100</v>
      </c>
      <c r="AN235" s="7" t="s">
        <v>124</v>
      </c>
      <c r="AP235" s="7" t="s">
        <v>1162</v>
      </c>
      <c r="AQ235" s="7" t="s">
        <v>104</v>
      </c>
      <c r="AR235" s="7" t="s">
        <v>281</v>
      </c>
      <c r="AS235" s="7" t="s">
        <v>282</v>
      </c>
      <c r="AT235" s="7" t="s">
        <v>283</v>
      </c>
      <c r="AU235" s="7" t="s">
        <v>283</v>
      </c>
      <c r="AX235" s="7" t="s">
        <v>284</v>
      </c>
      <c r="AY235" s="7" t="s">
        <v>285</v>
      </c>
      <c r="AZ235" s="7" t="s">
        <v>104</v>
      </c>
      <c r="BA235" s="7" t="s">
        <v>281</v>
      </c>
      <c r="BB235" s="7" t="s">
        <v>282</v>
      </c>
      <c r="BC235" s="7" t="s">
        <v>283</v>
      </c>
      <c r="BD235" s="7" t="s">
        <v>283</v>
      </c>
      <c r="BF235" s="7" t="s">
        <v>112</v>
      </c>
      <c r="BG235" s="7">
        <v>23465</v>
      </c>
      <c r="BH235" s="7" t="s">
        <v>286</v>
      </c>
      <c r="BO235" s="7">
        <v>7</v>
      </c>
      <c r="BR235" s="7" t="s">
        <v>104</v>
      </c>
      <c r="BS235" s="7" t="s">
        <v>287</v>
      </c>
      <c r="BT235" s="7" t="s">
        <v>288</v>
      </c>
      <c r="BU235" s="7" t="s">
        <v>283</v>
      </c>
      <c r="BV235" s="7" t="s">
        <v>283</v>
      </c>
      <c r="BW235" s="7" t="s">
        <v>209</v>
      </c>
    </row>
    <row r="236" spans="1:75" x14ac:dyDescent="0.35">
      <c r="A236" t="s">
        <v>1163</v>
      </c>
      <c r="B236" s="1">
        <v>46003</v>
      </c>
      <c r="C236" s="2">
        <v>0.95993055555555562</v>
      </c>
      <c r="D236" t="s">
        <v>927</v>
      </c>
      <c r="E236" t="s">
        <v>928</v>
      </c>
      <c r="F236" t="s">
        <v>1164</v>
      </c>
      <c r="G236">
        <f>COUNTIF($F$2:$F$278,F236)</f>
        <v>1</v>
      </c>
      <c r="H236" t="s">
        <v>1165</v>
      </c>
      <c r="I236" t="s">
        <v>1166</v>
      </c>
      <c r="J236" t="s">
        <v>1167</v>
      </c>
      <c r="K236" t="s">
        <v>119</v>
      </c>
      <c r="L236">
        <v>50126</v>
      </c>
      <c r="M236" t="s">
        <v>85</v>
      </c>
      <c r="N236" t="s">
        <v>120</v>
      </c>
      <c r="O236" t="s">
        <v>87</v>
      </c>
      <c r="P236" t="s">
        <v>100</v>
      </c>
      <c r="Q236" t="s">
        <v>1168</v>
      </c>
      <c r="R236" t="s">
        <v>1169</v>
      </c>
      <c r="S236" t="s">
        <v>190</v>
      </c>
      <c r="T236" t="s">
        <v>191</v>
      </c>
      <c r="U236" t="s">
        <v>121</v>
      </c>
      <c r="V236" t="s">
        <v>94</v>
      </c>
      <c r="Z236" t="s">
        <v>1170</v>
      </c>
      <c r="AA236" t="b">
        <v>0</v>
      </c>
      <c r="AB236" t="b">
        <v>0</v>
      </c>
      <c r="AD236">
        <v>117</v>
      </c>
      <c r="AE236" t="s">
        <v>122</v>
      </c>
      <c r="AH236" t="s">
        <v>928</v>
      </c>
      <c r="AJ236" t="s">
        <v>100</v>
      </c>
      <c r="AK236" t="s">
        <v>1171</v>
      </c>
      <c r="AL236" t="s">
        <v>100</v>
      </c>
      <c r="AM236" t="s">
        <v>100</v>
      </c>
      <c r="AN236" t="s">
        <v>124</v>
      </c>
      <c r="AP236" t="s">
        <v>1172</v>
      </c>
      <c r="AQ236" t="s">
        <v>1173</v>
      </c>
      <c r="AR236" t="s">
        <v>1174</v>
      </c>
      <c r="AS236" t="s">
        <v>1174</v>
      </c>
      <c r="AT236" t="s">
        <v>1175</v>
      </c>
      <c r="AU236" t="s">
        <v>1175</v>
      </c>
      <c r="AX236" t="s">
        <v>1176</v>
      </c>
      <c r="AY236" t="s">
        <v>1177</v>
      </c>
      <c r="AZ236" t="s">
        <v>1173</v>
      </c>
      <c r="BA236" t="s">
        <v>1174</v>
      </c>
      <c r="BB236" t="s">
        <v>1174</v>
      </c>
      <c r="BC236" t="s">
        <v>1175</v>
      </c>
      <c r="BD236" t="s">
        <v>1175</v>
      </c>
      <c r="BE236" t="s">
        <v>409</v>
      </c>
      <c r="BF236" t="s">
        <v>1178</v>
      </c>
      <c r="BG236">
        <v>53667</v>
      </c>
      <c r="BH236" t="s">
        <v>1179</v>
      </c>
      <c r="BO236">
        <v>26</v>
      </c>
      <c r="BR236" t="s">
        <v>1173</v>
      </c>
      <c r="BS236" t="s">
        <v>1180</v>
      </c>
      <c r="BT236" t="s">
        <v>1181</v>
      </c>
      <c r="BU236" t="s">
        <v>1175</v>
      </c>
      <c r="BV236" t="s">
        <v>1175</v>
      </c>
      <c r="BW236" t="s">
        <v>499</v>
      </c>
    </row>
    <row r="237" spans="1:75" x14ac:dyDescent="0.35">
      <c r="A237" t="s">
        <v>1182</v>
      </c>
      <c r="B237" s="1">
        <v>46003</v>
      </c>
      <c r="C237" s="2">
        <v>0.93412037037037043</v>
      </c>
      <c r="D237" t="s">
        <v>362</v>
      </c>
      <c r="E237" t="s">
        <v>363</v>
      </c>
      <c r="F237" t="s">
        <v>1183</v>
      </c>
      <c r="G237">
        <f>COUNTIF($F$2:$F$278,F237)</f>
        <v>8</v>
      </c>
      <c r="H237" t="s">
        <v>1184</v>
      </c>
      <c r="I237" t="s">
        <v>366</v>
      </c>
      <c r="J237" t="s">
        <v>83</v>
      </c>
      <c r="K237" t="s">
        <v>143</v>
      </c>
      <c r="L237">
        <v>50072</v>
      </c>
      <c r="M237" t="s">
        <v>85</v>
      </c>
      <c r="N237" t="s">
        <v>86</v>
      </c>
      <c r="O237" t="s">
        <v>119</v>
      </c>
      <c r="P237" t="s">
        <v>100</v>
      </c>
      <c r="Q237" t="s">
        <v>1185</v>
      </c>
      <c r="R237" t="s">
        <v>1186</v>
      </c>
      <c r="S237" t="s">
        <v>314</v>
      </c>
      <c r="T237" t="s">
        <v>315</v>
      </c>
      <c r="U237" t="s">
        <v>162</v>
      </c>
      <c r="V237" t="s">
        <v>22</v>
      </c>
      <c r="X237" t="s">
        <v>1187</v>
      </c>
      <c r="Y237" t="s">
        <v>368</v>
      </c>
      <c r="Z237" t="s">
        <v>1188</v>
      </c>
      <c r="AA237" t="b">
        <v>0</v>
      </c>
      <c r="AB237" t="b">
        <v>0</v>
      </c>
      <c r="AD237">
        <v>106</v>
      </c>
      <c r="AE237" t="s">
        <v>163</v>
      </c>
      <c r="AI237" t="s">
        <v>1189</v>
      </c>
      <c r="AJ237" t="s">
        <v>100</v>
      </c>
      <c r="AK237" t="s">
        <v>1190</v>
      </c>
      <c r="AL237" t="s">
        <v>100</v>
      </c>
      <c r="AM237" t="s">
        <v>100</v>
      </c>
      <c r="AN237" t="s">
        <v>124</v>
      </c>
      <c r="AO237">
        <v>1002</v>
      </c>
      <c r="AP237" t="s">
        <v>1191</v>
      </c>
      <c r="AQ237" t="s">
        <v>104</v>
      </c>
      <c r="AR237" t="s">
        <v>197</v>
      </c>
      <c r="AT237" t="s">
        <v>373</v>
      </c>
      <c r="AU237" t="s">
        <v>373</v>
      </c>
      <c r="AX237" t="s">
        <v>374</v>
      </c>
      <c r="AY237" t="s">
        <v>375</v>
      </c>
      <c r="AZ237" t="s">
        <v>104</v>
      </c>
      <c r="BA237" t="s">
        <v>376</v>
      </c>
      <c r="BB237" t="s">
        <v>377</v>
      </c>
      <c r="BC237" t="s">
        <v>378</v>
      </c>
      <c r="BD237" t="s">
        <v>378</v>
      </c>
      <c r="BE237" t="s">
        <v>379</v>
      </c>
      <c r="BF237" t="s">
        <v>380</v>
      </c>
      <c r="BG237">
        <v>6614</v>
      </c>
      <c r="BH237" t="s">
        <v>381</v>
      </c>
      <c r="BO237">
        <v>0</v>
      </c>
      <c r="BR237" t="s">
        <v>104</v>
      </c>
      <c r="BS237" t="s">
        <v>382</v>
      </c>
      <c r="BT237" t="s">
        <v>383</v>
      </c>
      <c r="BU237" t="s">
        <v>378</v>
      </c>
      <c r="BV237" t="s">
        <v>378</v>
      </c>
      <c r="BW237" t="s">
        <v>384</v>
      </c>
    </row>
    <row r="238" spans="1:75" x14ac:dyDescent="0.35">
      <c r="A238" t="s">
        <v>1192</v>
      </c>
      <c r="B238" s="1">
        <v>46003</v>
      </c>
      <c r="C238" s="2">
        <v>0.93402777777777779</v>
      </c>
      <c r="D238" t="s">
        <v>362</v>
      </c>
      <c r="E238" t="s">
        <v>363</v>
      </c>
      <c r="F238" t="s">
        <v>1183</v>
      </c>
      <c r="G238">
        <f>COUNTIF($F$2:$F$278,F238)</f>
        <v>8</v>
      </c>
      <c r="H238" t="s">
        <v>1184</v>
      </c>
      <c r="I238" t="s">
        <v>366</v>
      </c>
      <c r="J238" t="s">
        <v>83</v>
      </c>
      <c r="K238" t="s">
        <v>143</v>
      </c>
      <c r="L238">
        <v>50072</v>
      </c>
      <c r="M238" t="s">
        <v>85</v>
      </c>
      <c r="N238" t="s">
        <v>86</v>
      </c>
      <c r="O238" t="s">
        <v>119</v>
      </c>
      <c r="P238" t="s">
        <v>88</v>
      </c>
      <c r="Q238" t="s">
        <v>1193</v>
      </c>
      <c r="R238" t="s">
        <v>1194</v>
      </c>
      <c r="S238" t="s">
        <v>314</v>
      </c>
      <c r="T238" t="s">
        <v>315</v>
      </c>
      <c r="U238" t="s">
        <v>162</v>
      </c>
      <c r="V238" t="s">
        <v>94</v>
      </c>
      <c r="X238" t="s">
        <v>367</v>
      </c>
      <c r="Y238" t="s">
        <v>368</v>
      </c>
      <c r="Z238" t="s">
        <v>369</v>
      </c>
      <c r="AA238" t="b">
        <v>0</v>
      </c>
      <c r="AB238" t="b">
        <v>0</v>
      </c>
      <c r="AD238">
        <v>173</v>
      </c>
      <c r="AE238" t="s">
        <v>163</v>
      </c>
      <c r="AI238" t="s">
        <v>370</v>
      </c>
      <c r="AJ238" t="s">
        <v>100</v>
      </c>
      <c r="AK238" t="s">
        <v>1195</v>
      </c>
      <c r="AL238" t="s">
        <v>100</v>
      </c>
      <c r="AM238" t="s">
        <v>100</v>
      </c>
      <c r="AN238" t="s">
        <v>124</v>
      </c>
      <c r="AO238">
        <v>1002</v>
      </c>
      <c r="AP238" t="s">
        <v>1196</v>
      </c>
      <c r="AQ238" t="s">
        <v>104</v>
      </c>
      <c r="AR238" t="s">
        <v>197</v>
      </c>
      <c r="AT238" t="s">
        <v>373</v>
      </c>
      <c r="AU238" t="s">
        <v>373</v>
      </c>
      <c r="AX238" t="s">
        <v>374</v>
      </c>
      <c r="AY238" t="s">
        <v>375</v>
      </c>
      <c r="AZ238" t="s">
        <v>104</v>
      </c>
      <c r="BA238" t="s">
        <v>376</v>
      </c>
      <c r="BB238" t="s">
        <v>377</v>
      </c>
      <c r="BC238" t="s">
        <v>378</v>
      </c>
      <c r="BD238" t="s">
        <v>378</v>
      </c>
      <c r="BE238" t="s">
        <v>379</v>
      </c>
      <c r="BF238" t="s">
        <v>380</v>
      </c>
      <c r="BG238">
        <v>6614</v>
      </c>
      <c r="BH238" t="s">
        <v>381</v>
      </c>
      <c r="BO238">
        <v>0</v>
      </c>
      <c r="BR238" t="s">
        <v>104</v>
      </c>
      <c r="BS238" t="s">
        <v>382</v>
      </c>
      <c r="BT238" t="s">
        <v>383</v>
      </c>
      <c r="BU238" t="s">
        <v>378</v>
      </c>
      <c r="BV238" t="s">
        <v>378</v>
      </c>
      <c r="BW238" t="s">
        <v>384</v>
      </c>
    </row>
    <row r="239" spans="1:75" x14ac:dyDescent="0.35">
      <c r="A239" t="s">
        <v>1197</v>
      </c>
      <c r="B239" s="1">
        <v>46003</v>
      </c>
      <c r="C239" s="2">
        <v>0.93218749999999995</v>
      </c>
      <c r="D239" t="s">
        <v>362</v>
      </c>
      <c r="E239" t="s">
        <v>363</v>
      </c>
      <c r="F239" t="s">
        <v>1183</v>
      </c>
      <c r="G239">
        <f>COUNTIF($F$2:$F$278,F239)</f>
        <v>8</v>
      </c>
      <c r="H239" t="s">
        <v>1184</v>
      </c>
      <c r="I239" t="s">
        <v>366</v>
      </c>
      <c r="J239" t="s">
        <v>83</v>
      </c>
      <c r="K239" t="s">
        <v>143</v>
      </c>
      <c r="L239">
        <v>50072</v>
      </c>
      <c r="M239" t="s">
        <v>85</v>
      </c>
      <c r="N239" t="s">
        <v>86</v>
      </c>
      <c r="O239" t="s">
        <v>119</v>
      </c>
      <c r="P239" t="s">
        <v>100</v>
      </c>
      <c r="Q239" t="s">
        <v>1185</v>
      </c>
      <c r="R239" t="s">
        <v>1186</v>
      </c>
      <c r="S239" t="s">
        <v>314</v>
      </c>
      <c r="T239" t="s">
        <v>315</v>
      </c>
      <c r="U239" t="s">
        <v>162</v>
      </c>
      <c r="V239" t="s">
        <v>22</v>
      </c>
      <c r="X239" t="s">
        <v>1187</v>
      </c>
      <c r="Y239" t="s">
        <v>368</v>
      </c>
      <c r="Z239" t="s">
        <v>1188</v>
      </c>
      <c r="AA239" t="b">
        <v>0</v>
      </c>
      <c r="AB239" t="b">
        <v>0</v>
      </c>
      <c r="AD239">
        <v>199</v>
      </c>
      <c r="AE239" t="s">
        <v>163</v>
      </c>
      <c r="AH239" t="s">
        <v>363</v>
      </c>
      <c r="AI239" t="s">
        <v>1189</v>
      </c>
      <c r="AJ239" t="s">
        <v>100</v>
      </c>
      <c r="AK239" t="s">
        <v>1198</v>
      </c>
      <c r="AL239" t="s">
        <v>100</v>
      </c>
      <c r="AM239" t="s">
        <v>100</v>
      </c>
      <c r="AN239" t="s">
        <v>124</v>
      </c>
      <c r="AO239">
        <v>1002</v>
      </c>
      <c r="AP239" t="s">
        <v>1199</v>
      </c>
      <c r="AQ239" t="s">
        <v>104</v>
      </c>
      <c r="AR239" t="s">
        <v>197</v>
      </c>
      <c r="AT239" t="s">
        <v>373</v>
      </c>
      <c r="AU239" t="s">
        <v>373</v>
      </c>
      <c r="AX239" t="s">
        <v>374</v>
      </c>
      <c r="AY239" t="s">
        <v>375</v>
      </c>
      <c r="AZ239" t="s">
        <v>104</v>
      </c>
      <c r="BA239" t="s">
        <v>376</v>
      </c>
      <c r="BB239" t="s">
        <v>377</v>
      </c>
      <c r="BC239" t="s">
        <v>378</v>
      </c>
      <c r="BD239" t="s">
        <v>378</v>
      </c>
      <c r="BE239" t="s">
        <v>379</v>
      </c>
      <c r="BF239" t="s">
        <v>380</v>
      </c>
      <c r="BG239">
        <v>6614</v>
      </c>
      <c r="BH239" t="s">
        <v>381</v>
      </c>
      <c r="BO239">
        <v>0</v>
      </c>
      <c r="BR239" t="s">
        <v>104</v>
      </c>
      <c r="BS239" t="s">
        <v>382</v>
      </c>
      <c r="BT239" t="s">
        <v>383</v>
      </c>
      <c r="BU239" t="s">
        <v>378</v>
      </c>
      <c r="BV239" t="s">
        <v>378</v>
      </c>
      <c r="BW239" t="s">
        <v>384</v>
      </c>
    </row>
    <row r="240" spans="1:75" x14ac:dyDescent="0.35">
      <c r="A240" t="s">
        <v>1200</v>
      </c>
      <c r="B240" s="1">
        <v>46003</v>
      </c>
      <c r="C240" s="2">
        <v>0.93150462962962965</v>
      </c>
      <c r="D240" t="s">
        <v>362</v>
      </c>
      <c r="E240" t="s">
        <v>363</v>
      </c>
      <c r="F240" t="s">
        <v>1183</v>
      </c>
      <c r="G240">
        <f>COUNTIF($F$2:$F$278,F240)</f>
        <v>8</v>
      </c>
      <c r="H240" t="s">
        <v>1184</v>
      </c>
      <c r="I240" t="s">
        <v>366</v>
      </c>
      <c r="J240" t="s">
        <v>83</v>
      </c>
      <c r="K240" t="s">
        <v>143</v>
      </c>
      <c r="L240">
        <v>50072</v>
      </c>
      <c r="M240" t="s">
        <v>85</v>
      </c>
      <c r="N240" t="s">
        <v>86</v>
      </c>
      <c r="O240" t="s">
        <v>119</v>
      </c>
      <c r="P240" t="s">
        <v>88</v>
      </c>
      <c r="Q240" t="s">
        <v>1193</v>
      </c>
      <c r="R240" t="s">
        <v>1194</v>
      </c>
      <c r="S240" t="s">
        <v>314</v>
      </c>
      <c r="T240" t="s">
        <v>315</v>
      </c>
      <c r="U240" t="s">
        <v>162</v>
      </c>
      <c r="V240" t="s">
        <v>94</v>
      </c>
      <c r="X240" t="s">
        <v>367</v>
      </c>
      <c r="Y240" t="s">
        <v>368</v>
      </c>
      <c r="Z240" t="s">
        <v>369</v>
      </c>
      <c r="AA240" t="b">
        <v>0</v>
      </c>
      <c r="AB240" t="b">
        <v>0</v>
      </c>
      <c r="AD240">
        <v>111</v>
      </c>
      <c r="AE240" t="s">
        <v>163</v>
      </c>
      <c r="AI240" t="s">
        <v>370</v>
      </c>
      <c r="AJ240" t="s">
        <v>100</v>
      </c>
      <c r="AK240" t="s">
        <v>1201</v>
      </c>
      <c r="AL240" t="s">
        <v>100</v>
      </c>
      <c r="AM240" t="s">
        <v>100</v>
      </c>
      <c r="AN240" t="s">
        <v>124</v>
      </c>
      <c r="AO240">
        <v>1002</v>
      </c>
      <c r="AP240" t="s">
        <v>1202</v>
      </c>
      <c r="AQ240" t="s">
        <v>104</v>
      </c>
      <c r="AR240" t="s">
        <v>197</v>
      </c>
      <c r="AT240" t="s">
        <v>373</v>
      </c>
      <c r="AU240" t="s">
        <v>373</v>
      </c>
      <c r="AX240" t="s">
        <v>374</v>
      </c>
      <c r="AY240" t="s">
        <v>375</v>
      </c>
      <c r="AZ240" t="s">
        <v>104</v>
      </c>
      <c r="BA240" t="s">
        <v>376</v>
      </c>
      <c r="BB240" t="s">
        <v>377</v>
      </c>
      <c r="BC240" t="s">
        <v>378</v>
      </c>
      <c r="BD240" t="s">
        <v>378</v>
      </c>
      <c r="BE240" t="s">
        <v>379</v>
      </c>
      <c r="BF240" t="s">
        <v>380</v>
      </c>
      <c r="BG240">
        <v>6614</v>
      </c>
      <c r="BH240" t="s">
        <v>381</v>
      </c>
      <c r="BO240">
        <v>0</v>
      </c>
      <c r="BR240" t="s">
        <v>104</v>
      </c>
      <c r="BS240" t="s">
        <v>382</v>
      </c>
      <c r="BT240" t="s">
        <v>383</v>
      </c>
      <c r="BU240" t="s">
        <v>378</v>
      </c>
      <c r="BV240" t="s">
        <v>378</v>
      </c>
      <c r="BW240" t="s">
        <v>384</v>
      </c>
    </row>
    <row r="241" spans="1:75" x14ac:dyDescent="0.35">
      <c r="A241" t="s">
        <v>1203</v>
      </c>
      <c r="B241" s="1">
        <v>46003</v>
      </c>
      <c r="C241" s="2">
        <v>0.93148148148148147</v>
      </c>
      <c r="D241" t="s">
        <v>362</v>
      </c>
      <c r="E241" t="s">
        <v>363</v>
      </c>
      <c r="F241" t="s">
        <v>1183</v>
      </c>
      <c r="G241">
        <f>COUNTIF($F$2:$F$278,F241)</f>
        <v>8</v>
      </c>
      <c r="H241" t="s">
        <v>1184</v>
      </c>
      <c r="I241" t="s">
        <v>366</v>
      </c>
      <c r="J241" t="s">
        <v>83</v>
      </c>
      <c r="K241" t="s">
        <v>84</v>
      </c>
      <c r="M241" t="s">
        <v>85</v>
      </c>
      <c r="N241" t="s">
        <v>120</v>
      </c>
      <c r="O241" t="s">
        <v>87</v>
      </c>
      <c r="P241" t="s">
        <v>100</v>
      </c>
      <c r="Q241" t="s">
        <v>169</v>
      </c>
      <c r="R241" t="s">
        <v>170</v>
      </c>
      <c r="T241" t="s">
        <v>171</v>
      </c>
      <c r="U241" t="s">
        <v>93</v>
      </c>
      <c r="V241" t="s">
        <v>94</v>
      </c>
      <c r="X241" t="s">
        <v>367</v>
      </c>
      <c r="Y241" t="s">
        <v>368</v>
      </c>
      <c r="Z241" t="s">
        <v>369</v>
      </c>
      <c r="AA241" t="b">
        <v>0</v>
      </c>
      <c r="AB241" t="b">
        <v>0</v>
      </c>
      <c r="AD241">
        <v>70</v>
      </c>
      <c r="AH241" t="s">
        <v>363</v>
      </c>
      <c r="AI241" t="s">
        <v>370</v>
      </c>
      <c r="AJ241" t="s">
        <v>100</v>
      </c>
      <c r="AK241" t="s">
        <v>1204</v>
      </c>
      <c r="AL241" t="s">
        <v>100</v>
      </c>
      <c r="AM241" t="s">
        <v>100</v>
      </c>
      <c r="AN241" t="s">
        <v>124</v>
      </c>
      <c r="AO241">
        <v>1002</v>
      </c>
      <c r="AP241" t="s">
        <v>1202</v>
      </c>
      <c r="AQ241" t="s">
        <v>104</v>
      </c>
      <c r="AR241" t="s">
        <v>197</v>
      </c>
      <c r="AT241" t="s">
        <v>373</v>
      </c>
      <c r="AU241" t="s">
        <v>373</v>
      </c>
      <c r="AX241" t="s">
        <v>374</v>
      </c>
      <c r="AY241" t="s">
        <v>375</v>
      </c>
      <c r="AZ241" t="s">
        <v>104</v>
      </c>
      <c r="BA241" t="s">
        <v>376</v>
      </c>
      <c r="BB241" t="s">
        <v>377</v>
      </c>
      <c r="BC241" t="s">
        <v>378</v>
      </c>
      <c r="BD241" t="s">
        <v>378</v>
      </c>
      <c r="BE241" t="s">
        <v>379</v>
      </c>
      <c r="BF241" t="s">
        <v>380</v>
      </c>
      <c r="BG241">
        <v>6614</v>
      </c>
      <c r="BH241" t="s">
        <v>381</v>
      </c>
      <c r="BO241">
        <v>0</v>
      </c>
      <c r="BR241" t="s">
        <v>104</v>
      </c>
      <c r="BS241" t="s">
        <v>382</v>
      </c>
      <c r="BT241" t="s">
        <v>383</v>
      </c>
      <c r="BU241" t="s">
        <v>378</v>
      </c>
      <c r="BV241" t="s">
        <v>378</v>
      </c>
      <c r="BW241" t="s">
        <v>384</v>
      </c>
    </row>
    <row r="242" spans="1:75" x14ac:dyDescent="0.35">
      <c r="A242" t="s">
        <v>1205</v>
      </c>
      <c r="B242" s="1">
        <v>46003</v>
      </c>
      <c r="C242" s="2">
        <v>0.9305092592592592</v>
      </c>
      <c r="D242" t="s">
        <v>362</v>
      </c>
      <c r="E242" t="s">
        <v>363</v>
      </c>
      <c r="F242" t="s">
        <v>1183</v>
      </c>
      <c r="G242">
        <f>COUNTIF($F$2:$F$278,F242)</f>
        <v>8</v>
      </c>
      <c r="H242" t="s">
        <v>1184</v>
      </c>
      <c r="I242" t="s">
        <v>366</v>
      </c>
      <c r="J242" t="s">
        <v>83</v>
      </c>
      <c r="K242" t="s">
        <v>143</v>
      </c>
      <c r="L242">
        <v>50055</v>
      </c>
      <c r="M242" t="s">
        <v>85</v>
      </c>
      <c r="N242" t="s">
        <v>120</v>
      </c>
      <c r="O242" t="s">
        <v>87</v>
      </c>
      <c r="P242" t="s">
        <v>100</v>
      </c>
      <c r="Q242" t="s">
        <v>169</v>
      </c>
      <c r="R242" t="s">
        <v>170</v>
      </c>
      <c r="T242" t="s">
        <v>171</v>
      </c>
      <c r="U242" t="s">
        <v>444</v>
      </c>
      <c r="V242" t="s">
        <v>94</v>
      </c>
      <c r="X242" t="s">
        <v>367</v>
      </c>
      <c r="Y242" t="s">
        <v>368</v>
      </c>
      <c r="Z242" t="s">
        <v>369</v>
      </c>
      <c r="AA242" t="b">
        <v>0</v>
      </c>
      <c r="AB242" t="b">
        <v>0</v>
      </c>
      <c r="AD242">
        <v>265</v>
      </c>
      <c r="AE242" t="s">
        <v>445</v>
      </c>
      <c r="AH242" t="s">
        <v>363</v>
      </c>
      <c r="AI242" t="s">
        <v>1206</v>
      </c>
      <c r="AJ242" t="s">
        <v>100</v>
      </c>
      <c r="AK242" t="s">
        <v>1207</v>
      </c>
      <c r="AL242" t="s">
        <v>100</v>
      </c>
      <c r="AM242" t="s">
        <v>100</v>
      </c>
      <c r="AN242" t="s">
        <v>124</v>
      </c>
      <c r="AO242">
        <v>1002</v>
      </c>
      <c r="AP242" t="s">
        <v>1202</v>
      </c>
      <c r="AQ242" t="s">
        <v>104</v>
      </c>
      <c r="AR242" t="s">
        <v>197</v>
      </c>
      <c r="AT242" t="s">
        <v>373</v>
      </c>
      <c r="AU242" t="s">
        <v>373</v>
      </c>
      <c r="AX242" t="s">
        <v>374</v>
      </c>
      <c r="AY242" t="s">
        <v>375</v>
      </c>
      <c r="AZ242" t="s">
        <v>104</v>
      </c>
      <c r="BA242" t="s">
        <v>376</v>
      </c>
      <c r="BB242" t="s">
        <v>377</v>
      </c>
      <c r="BC242" t="s">
        <v>378</v>
      </c>
      <c r="BD242" t="s">
        <v>378</v>
      </c>
      <c r="BE242" t="s">
        <v>379</v>
      </c>
      <c r="BF242" t="s">
        <v>380</v>
      </c>
      <c r="BG242">
        <v>6614</v>
      </c>
      <c r="BH242" t="s">
        <v>381</v>
      </c>
      <c r="BO242">
        <v>0</v>
      </c>
      <c r="BR242" t="s">
        <v>104</v>
      </c>
      <c r="BS242" t="s">
        <v>382</v>
      </c>
      <c r="BT242" t="s">
        <v>383</v>
      </c>
      <c r="BU242" t="s">
        <v>378</v>
      </c>
      <c r="BV242" t="s">
        <v>378</v>
      </c>
      <c r="BW242" t="s">
        <v>384</v>
      </c>
    </row>
    <row r="243" spans="1:75" x14ac:dyDescent="0.35">
      <c r="A243" t="s">
        <v>1208</v>
      </c>
      <c r="B243" s="1">
        <v>46003</v>
      </c>
      <c r="C243" s="2">
        <v>0.9303703703703704</v>
      </c>
      <c r="D243" t="s">
        <v>362</v>
      </c>
      <c r="E243" t="s">
        <v>363</v>
      </c>
      <c r="F243" t="s">
        <v>1183</v>
      </c>
      <c r="G243">
        <f>COUNTIF($F$2:$F$278,F243)</f>
        <v>8</v>
      </c>
      <c r="H243" t="s">
        <v>1184</v>
      </c>
      <c r="I243" t="s">
        <v>366</v>
      </c>
      <c r="J243" t="s">
        <v>83</v>
      </c>
      <c r="K243" t="s">
        <v>119</v>
      </c>
      <c r="L243">
        <v>50126</v>
      </c>
      <c r="M243" t="s">
        <v>85</v>
      </c>
      <c r="N243" t="s">
        <v>120</v>
      </c>
      <c r="O243" t="s">
        <v>87</v>
      </c>
      <c r="P243" t="s">
        <v>100</v>
      </c>
      <c r="Q243" t="s">
        <v>169</v>
      </c>
      <c r="R243" t="s">
        <v>170</v>
      </c>
      <c r="T243" t="s">
        <v>171</v>
      </c>
      <c r="U243" t="s">
        <v>121</v>
      </c>
      <c r="V243" t="s">
        <v>94</v>
      </c>
      <c r="X243" t="s">
        <v>367</v>
      </c>
      <c r="Y243" t="s">
        <v>368</v>
      </c>
      <c r="Z243" t="s">
        <v>369</v>
      </c>
      <c r="AA243" t="b">
        <v>0</v>
      </c>
      <c r="AB243" t="b">
        <v>0</v>
      </c>
      <c r="AD243">
        <v>189</v>
      </c>
      <c r="AE243" t="s">
        <v>122</v>
      </c>
      <c r="AH243" t="s">
        <v>363</v>
      </c>
      <c r="AJ243" t="s">
        <v>100</v>
      </c>
      <c r="AK243" t="s">
        <v>1209</v>
      </c>
      <c r="AL243" t="s">
        <v>100</v>
      </c>
      <c r="AM243" t="s">
        <v>100</v>
      </c>
      <c r="AN243" t="s">
        <v>124</v>
      </c>
      <c r="AP243" t="s">
        <v>1202</v>
      </c>
      <c r="AQ243" t="s">
        <v>104</v>
      </c>
      <c r="AR243" t="s">
        <v>197</v>
      </c>
      <c r="AT243" t="s">
        <v>373</v>
      </c>
      <c r="AU243" t="s">
        <v>373</v>
      </c>
      <c r="AX243" t="s">
        <v>374</v>
      </c>
      <c r="AY243" t="s">
        <v>375</v>
      </c>
      <c r="AZ243" t="s">
        <v>104</v>
      </c>
      <c r="BA243" t="s">
        <v>376</v>
      </c>
      <c r="BB243" t="s">
        <v>377</v>
      </c>
      <c r="BC243" t="s">
        <v>378</v>
      </c>
      <c r="BD243" t="s">
        <v>378</v>
      </c>
      <c r="BE243" t="s">
        <v>379</v>
      </c>
      <c r="BF243" t="s">
        <v>380</v>
      </c>
      <c r="BG243">
        <v>6614</v>
      </c>
      <c r="BH243" t="s">
        <v>381</v>
      </c>
      <c r="BO243">
        <v>0</v>
      </c>
      <c r="BR243" t="s">
        <v>104</v>
      </c>
      <c r="BS243" t="s">
        <v>382</v>
      </c>
      <c r="BT243" t="s">
        <v>383</v>
      </c>
      <c r="BU243" t="s">
        <v>378</v>
      </c>
      <c r="BV243" t="s">
        <v>378</v>
      </c>
      <c r="BW243" t="s">
        <v>384</v>
      </c>
    </row>
    <row r="244" spans="1:75" x14ac:dyDescent="0.35">
      <c r="A244" t="s">
        <v>1210</v>
      </c>
      <c r="B244" s="1">
        <v>46003</v>
      </c>
      <c r="C244" s="2">
        <v>0.93</v>
      </c>
      <c r="D244" t="s">
        <v>362</v>
      </c>
      <c r="E244" t="s">
        <v>363</v>
      </c>
      <c r="F244" t="s">
        <v>1183</v>
      </c>
      <c r="G244">
        <f>COUNTIF($F$2:$F$278,F244)</f>
        <v>8</v>
      </c>
      <c r="H244" t="s">
        <v>1184</v>
      </c>
      <c r="I244" t="s">
        <v>366</v>
      </c>
      <c r="J244" t="s">
        <v>83</v>
      </c>
      <c r="K244" t="s">
        <v>119</v>
      </c>
      <c r="L244">
        <v>50126</v>
      </c>
      <c r="M244" t="s">
        <v>85</v>
      </c>
      <c r="N244" t="s">
        <v>120</v>
      </c>
      <c r="O244" t="s">
        <v>87</v>
      </c>
      <c r="P244" t="s">
        <v>100</v>
      </c>
      <c r="Q244" t="s">
        <v>169</v>
      </c>
      <c r="R244" t="s">
        <v>170</v>
      </c>
      <c r="T244" t="s">
        <v>171</v>
      </c>
      <c r="U244" t="s">
        <v>121</v>
      </c>
      <c r="V244" t="s">
        <v>94</v>
      </c>
      <c r="X244" t="s">
        <v>367</v>
      </c>
      <c r="Y244" t="s">
        <v>368</v>
      </c>
      <c r="Z244" t="s">
        <v>369</v>
      </c>
      <c r="AA244" t="b">
        <v>0</v>
      </c>
      <c r="AB244" t="b">
        <v>0</v>
      </c>
      <c r="AD244">
        <v>166</v>
      </c>
      <c r="AE244" t="s">
        <v>122</v>
      </c>
      <c r="AH244" t="s">
        <v>363</v>
      </c>
      <c r="AJ244" t="s">
        <v>100</v>
      </c>
      <c r="AK244" t="s">
        <v>1211</v>
      </c>
      <c r="AL244" t="s">
        <v>100</v>
      </c>
      <c r="AM244" t="s">
        <v>100</v>
      </c>
      <c r="AN244" t="s">
        <v>124</v>
      </c>
      <c r="AP244" t="s">
        <v>1202</v>
      </c>
      <c r="AQ244" t="s">
        <v>104</v>
      </c>
      <c r="AR244" t="s">
        <v>197</v>
      </c>
      <c r="AT244" t="s">
        <v>373</v>
      </c>
      <c r="AU244" t="s">
        <v>373</v>
      </c>
      <c r="AX244" t="s">
        <v>374</v>
      </c>
      <c r="AY244" t="s">
        <v>375</v>
      </c>
      <c r="AZ244" t="s">
        <v>104</v>
      </c>
      <c r="BA244" t="s">
        <v>376</v>
      </c>
      <c r="BB244" t="s">
        <v>377</v>
      </c>
      <c r="BC244" t="s">
        <v>378</v>
      </c>
      <c r="BD244" t="s">
        <v>378</v>
      </c>
      <c r="BE244" t="s">
        <v>379</v>
      </c>
      <c r="BF244" t="s">
        <v>380</v>
      </c>
      <c r="BG244">
        <v>6614</v>
      </c>
      <c r="BH244" t="s">
        <v>381</v>
      </c>
      <c r="BO244">
        <v>0</v>
      </c>
      <c r="BR244" t="s">
        <v>104</v>
      </c>
      <c r="BS244" t="s">
        <v>382</v>
      </c>
      <c r="BT244" t="s">
        <v>383</v>
      </c>
      <c r="BU244" t="s">
        <v>378</v>
      </c>
      <c r="BV244" t="s">
        <v>378</v>
      </c>
      <c r="BW244" t="s">
        <v>384</v>
      </c>
    </row>
    <row r="245" spans="1:75" x14ac:dyDescent="0.35">
      <c r="A245" t="s">
        <v>1212</v>
      </c>
      <c r="B245" s="1">
        <v>46003</v>
      </c>
      <c r="C245" s="2">
        <v>0.85046296296296298</v>
      </c>
      <c r="D245" t="s">
        <v>543</v>
      </c>
      <c r="E245" t="s">
        <v>544</v>
      </c>
      <c r="F245" t="s">
        <v>1213</v>
      </c>
      <c r="G245">
        <f>COUNTIF($F$2:$F$278,F245)</f>
        <v>2</v>
      </c>
      <c r="H245" t="s">
        <v>546</v>
      </c>
      <c r="I245" t="s">
        <v>187</v>
      </c>
      <c r="J245" t="s">
        <v>83</v>
      </c>
      <c r="K245" t="s">
        <v>84</v>
      </c>
      <c r="M245" t="s">
        <v>85</v>
      </c>
      <c r="N245" t="s">
        <v>86</v>
      </c>
      <c r="O245" t="s">
        <v>84</v>
      </c>
      <c r="P245" t="s">
        <v>100</v>
      </c>
      <c r="Q245" t="s">
        <v>129</v>
      </c>
      <c r="R245" t="s">
        <v>130</v>
      </c>
      <c r="S245" t="s">
        <v>91</v>
      </c>
      <c r="T245" t="s">
        <v>92</v>
      </c>
      <c r="U245" t="s">
        <v>93</v>
      </c>
      <c r="V245" t="s">
        <v>22</v>
      </c>
      <c r="X245" t="s">
        <v>131</v>
      </c>
      <c r="Y245" t="s">
        <v>132</v>
      </c>
      <c r="Z245" t="s">
        <v>547</v>
      </c>
      <c r="AA245" t="b">
        <v>0</v>
      </c>
      <c r="AB245" t="b">
        <v>0</v>
      </c>
      <c r="AD245">
        <v>70</v>
      </c>
      <c r="AE245" t="s">
        <v>153</v>
      </c>
      <c r="AH245" t="s">
        <v>544</v>
      </c>
      <c r="AI245" t="s">
        <v>548</v>
      </c>
      <c r="AJ245" t="s">
        <v>100</v>
      </c>
      <c r="AK245" t="s">
        <v>1214</v>
      </c>
      <c r="AL245" t="s">
        <v>100</v>
      </c>
      <c r="AM245" t="s">
        <v>100</v>
      </c>
      <c r="AN245" t="s">
        <v>124</v>
      </c>
      <c r="AO245">
        <v>1002</v>
      </c>
      <c r="AP245" t="s">
        <v>1215</v>
      </c>
      <c r="AQ245" t="s">
        <v>104</v>
      </c>
      <c r="AR245" t="s">
        <v>197</v>
      </c>
      <c r="AS245" t="s">
        <v>206</v>
      </c>
      <c r="AT245" t="s">
        <v>199</v>
      </c>
      <c r="AU245" t="s">
        <v>199</v>
      </c>
      <c r="AX245" t="s">
        <v>200</v>
      </c>
      <c r="AY245" t="s">
        <v>551</v>
      </c>
      <c r="AZ245" t="s">
        <v>104</v>
      </c>
      <c r="BA245" t="s">
        <v>197</v>
      </c>
      <c r="BB245" t="s">
        <v>206</v>
      </c>
      <c r="BC245" t="s">
        <v>199</v>
      </c>
      <c r="BD245" t="s">
        <v>199</v>
      </c>
      <c r="BF245" t="s">
        <v>203</v>
      </c>
      <c r="BG245">
        <v>20115</v>
      </c>
      <c r="BH245" t="s">
        <v>552</v>
      </c>
      <c r="BO245">
        <v>2</v>
      </c>
      <c r="BR245" t="s">
        <v>104</v>
      </c>
      <c r="BS245" t="s">
        <v>205</v>
      </c>
      <c r="BT245" t="s">
        <v>553</v>
      </c>
      <c r="BU245" t="s">
        <v>199</v>
      </c>
      <c r="BV245" t="s">
        <v>208</v>
      </c>
      <c r="BW245" t="s">
        <v>209</v>
      </c>
    </row>
    <row r="246" spans="1:75" x14ac:dyDescent="0.35">
      <c r="A246" t="s">
        <v>1216</v>
      </c>
      <c r="B246" s="1">
        <v>46003</v>
      </c>
      <c r="C246" s="2">
        <v>0.85043981481481479</v>
      </c>
      <c r="D246" t="s">
        <v>543</v>
      </c>
      <c r="E246" t="s">
        <v>544</v>
      </c>
      <c r="F246" t="s">
        <v>1213</v>
      </c>
      <c r="G246">
        <f>COUNTIF($F$2:$F$278,F246)</f>
        <v>2</v>
      </c>
      <c r="H246" t="s">
        <v>546</v>
      </c>
      <c r="I246" t="s">
        <v>187</v>
      </c>
      <c r="J246" t="s">
        <v>83</v>
      </c>
      <c r="K246" t="s">
        <v>143</v>
      </c>
      <c r="L246">
        <v>50140</v>
      </c>
      <c r="M246" t="s">
        <v>85</v>
      </c>
      <c r="N246" t="s">
        <v>86</v>
      </c>
      <c r="O246" t="s">
        <v>84</v>
      </c>
      <c r="P246" t="s">
        <v>100</v>
      </c>
      <c r="Q246" t="s">
        <v>129</v>
      </c>
      <c r="R246" t="s">
        <v>130</v>
      </c>
      <c r="S246" t="s">
        <v>91</v>
      </c>
      <c r="T246" t="s">
        <v>92</v>
      </c>
      <c r="U246" t="s">
        <v>144</v>
      </c>
      <c r="V246" t="s">
        <v>22</v>
      </c>
      <c r="X246" t="s">
        <v>131</v>
      </c>
      <c r="Y246" t="s">
        <v>132</v>
      </c>
      <c r="Z246" t="s">
        <v>547</v>
      </c>
      <c r="AA246" t="b">
        <v>0</v>
      </c>
      <c r="AB246" t="b">
        <v>0</v>
      </c>
      <c r="AD246">
        <v>94</v>
      </c>
      <c r="AE246" t="s">
        <v>145</v>
      </c>
      <c r="AH246" t="s">
        <v>544</v>
      </c>
      <c r="AI246" t="s">
        <v>1217</v>
      </c>
      <c r="AJ246" t="s">
        <v>100</v>
      </c>
      <c r="AK246" t="s">
        <v>1218</v>
      </c>
      <c r="AL246" t="s">
        <v>100</v>
      </c>
      <c r="AM246" t="s">
        <v>100</v>
      </c>
      <c r="AN246" t="s">
        <v>124</v>
      </c>
      <c r="AO246">
        <v>1002</v>
      </c>
      <c r="AP246" t="s">
        <v>1215</v>
      </c>
      <c r="AQ246" t="s">
        <v>104</v>
      </c>
      <c r="AR246" t="s">
        <v>197</v>
      </c>
      <c r="AS246" t="s">
        <v>206</v>
      </c>
      <c r="AT246" t="s">
        <v>199</v>
      </c>
      <c r="AU246" t="s">
        <v>199</v>
      </c>
      <c r="AX246" t="s">
        <v>200</v>
      </c>
      <c r="AY246" t="s">
        <v>551</v>
      </c>
      <c r="AZ246" t="s">
        <v>104</v>
      </c>
      <c r="BA246" t="s">
        <v>197</v>
      </c>
      <c r="BB246" t="s">
        <v>206</v>
      </c>
      <c r="BC246" t="s">
        <v>199</v>
      </c>
      <c r="BD246" t="s">
        <v>199</v>
      </c>
      <c r="BF246" t="s">
        <v>203</v>
      </c>
      <c r="BG246">
        <v>20115</v>
      </c>
      <c r="BH246" t="s">
        <v>552</v>
      </c>
      <c r="BO246">
        <v>2</v>
      </c>
      <c r="BR246" t="s">
        <v>104</v>
      </c>
      <c r="BS246" t="s">
        <v>205</v>
      </c>
      <c r="BT246" t="s">
        <v>553</v>
      </c>
      <c r="BU246" t="s">
        <v>199</v>
      </c>
      <c r="BV246" t="s">
        <v>208</v>
      </c>
      <c r="BW246" t="s">
        <v>209</v>
      </c>
    </row>
    <row r="247" spans="1:75" s="7" customFormat="1" x14ac:dyDescent="0.35">
      <c r="A247" s="7" t="s">
        <v>1219</v>
      </c>
      <c r="B247" s="8">
        <v>46003</v>
      </c>
      <c r="C247" s="9">
        <v>0.82958333333333334</v>
      </c>
      <c r="D247" s="7" t="s">
        <v>597</v>
      </c>
      <c r="E247" s="7" t="s">
        <v>598</v>
      </c>
      <c r="F247" s="11" t="s">
        <v>346</v>
      </c>
      <c r="G247" s="7">
        <f>COUNTIF($F$2:$F$278,F247)</f>
        <v>69</v>
      </c>
      <c r="H247" s="7" t="s">
        <v>347</v>
      </c>
      <c r="I247" s="7" t="s">
        <v>187</v>
      </c>
      <c r="J247" s="7" t="s">
        <v>83</v>
      </c>
      <c r="K247" s="7" t="s">
        <v>84</v>
      </c>
      <c r="M247" s="7" t="s">
        <v>85</v>
      </c>
      <c r="N247" s="7" t="s">
        <v>86</v>
      </c>
      <c r="O247" s="7" t="s">
        <v>84</v>
      </c>
      <c r="P247" s="7" t="s">
        <v>88</v>
      </c>
      <c r="Q247" s="7" t="s">
        <v>898</v>
      </c>
      <c r="R247" s="7" t="s">
        <v>899</v>
      </c>
      <c r="S247" s="7" t="s">
        <v>532</v>
      </c>
      <c r="T247" s="7" t="s">
        <v>533</v>
      </c>
      <c r="U247" s="7" t="s">
        <v>93</v>
      </c>
      <c r="V247" s="7" t="s">
        <v>22</v>
      </c>
      <c r="W247" s="7" t="s">
        <v>599</v>
      </c>
      <c r="X247" s="7" t="s">
        <v>131</v>
      </c>
      <c r="Y247" s="7" t="s">
        <v>132</v>
      </c>
      <c r="Z247" s="7" t="s">
        <v>419</v>
      </c>
      <c r="AA247" s="7" t="b">
        <v>0</v>
      </c>
      <c r="AB247" s="7" t="b">
        <v>0</v>
      </c>
      <c r="AC247" s="7" t="s">
        <v>525</v>
      </c>
      <c r="AD247" s="7">
        <v>152</v>
      </c>
      <c r="AE247" s="7" t="s">
        <v>153</v>
      </c>
      <c r="AI247" s="7" t="s">
        <v>859</v>
      </c>
      <c r="AJ247" s="7" t="s">
        <v>100</v>
      </c>
      <c r="AK247" s="7" t="s">
        <v>1220</v>
      </c>
      <c r="AL247" s="7" t="s">
        <v>100</v>
      </c>
      <c r="AM247" s="7" t="s">
        <v>100</v>
      </c>
      <c r="AN247" s="7" t="s">
        <v>102</v>
      </c>
      <c r="AP247" s="7" t="s">
        <v>1221</v>
      </c>
      <c r="AQ247" s="7" t="s">
        <v>104</v>
      </c>
      <c r="AR247" s="7" t="s">
        <v>197</v>
      </c>
      <c r="AS247" s="7" t="s">
        <v>356</v>
      </c>
      <c r="AT247" s="7" t="s">
        <v>199</v>
      </c>
      <c r="AU247" s="7" t="s">
        <v>199</v>
      </c>
      <c r="AX247" s="7" t="s">
        <v>200</v>
      </c>
      <c r="AY247" s="7" t="s">
        <v>357</v>
      </c>
      <c r="AZ247" s="7" t="s">
        <v>104</v>
      </c>
      <c r="BA247" s="7" t="s">
        <v>197</v>
      </c>
      <c r="BB247" s="7" t="s">
        <v>356</v>
      </c>
      <c r="BC247" s="7" t="s">
        <v>199</v>
      </c>
      <c r="BD247" s="7" t="s">
        <v>199</v>
      </c>
      <c r="BF247" s="7" t="s">
        <v>203</v>
      </c>
      <c r="BG247" s="7">
        <v>20115</v>
      </c>
      <c r="BH247" s="7" t="s">
        <v>358</v>
      </c>
      <c r="BO247" s="7">
        <v>9</v>
      </c>
      <c r="BR247" s="7" t="s">
        <v>104</v>
      </c>
      <c r="BS247" s="7" t="s">
        <v>205</v>
      </c>
      <c r="BT247" s="7" t="s">
        <v>356</v>
      </c>
      <c r="BU247" s="7" t="s">
        <v>207</v>
      </c>
      <c r="BV247" s="7" t="s">
        <v>208</v>
      </c>
      <c r="BW247" s="7" t="s">
        <v>209</v>
      </c>
    </row>
    <row r="248" spans="1:75" s="7" customFormat="1" x14ac:dyDescent="0.35">
      <c r="A248" s="7" t="s">
        <v>1222</v>
      </c>
      <c r="B248" s="8">
        <v>46003</v>
      </c>
      <c r="C248" s="9">
        <v>0.82084490740740745</v>
      </c>
      <c r="D248" s="7" t="s">
        <v>271</v>
      </c>
      <c r="E248" s="7" t="s">
        <v>272</v>
      </c>
      <c r="F248" s="7" t="s">
        <v>273</v>
      </c>
      <c r="G248" s="7">
        <f>COUNTIF($F$2:$F$278,F248)</f>
        <v>13</v>
      </c>
      <c r="H248" s="7" t="s">
        <v>274</v>
      </c>
      <c r="I248" s="7" t="s">
        <v>275</v>
      </c>
      <c r="J248" s="7" t="s">
        <v>83</v>
      </c>
      <c r="K248" s="7" t="s">
        <v>119</v>
      </c>
      <c r="L248" s="7">
        <v>50057</v>
      </c>
      <c r="M248" s="7" t="s">
        <v>85</v>
      </c>
      <c r="N248" s="7" t="s">
        <v>120</v>
      </c>
      <c r="O248" s="7" t="s">
        <v>87</v>
      </c>
      <c r="P248" s="7" t="s">
        <v>100</v>
      </c>
      <c r="Q248" s="7" t="s">
        <v>89</v>
      </c>
      <c r="R248" s="7" t="s">
        <v>90</v>
      </c>
      <c r="S248" s="7" t="s">
        <v>91</v>
      </c>
      <c r="T248" s="7" t="s">
        <v>92</v>
      </c>
      <c r="U248" s="7" t="s">
        <v>276</v>
      </c>
      <c r="V248" s="7" t="s">
        <v>94</v>
      </c>
      <c r="W248" s="7" t="s">
        <v>277</v>
      </c>
      <c r="Y248" s="7" t="s">
        <v>96</v>
      </c>
      <c r="Z248" s="7" t="s">
        <v>97</v>
      </c>
      <c r="AA248" s="7" t="b">
        <v>0</v>
      </c>
      <c r="AB248" s="7" t="b">
        <v>0</v>
      </c>
      <c r="AC248" s="11" t="s">
        <v>1331</v>
      </c>
      <c r="AD248" s="7">
        <v>72</v>
      </c>
      <c r="AE248" s="7" t="s">
        <v>278</v>
      </c>
      <c r="AJ248" s="7" t="s">
        <v>100</v>
      </c>
      <c r="AK248" s="7" t="s">
        <v>1223</v>
      </c>
      <c r="AL248" s="7" t="s">
        <v>100</v>
      </c>
      <c r="AM248" s="7" t="s">
        <v>100</v>
      </c>
      <c r="AN248" s="7" t="s">
        <v>124</v>
      </c>
      <c r="AP248" s="7" t="s">
        <v>1224</v>
      </c>
      <c r="AQ248" s="7" t="s">
        <v>104</v>
      </c>
      <c r="AR248" s="7" t="s">
        <v>281</v>
      </c>
      <c r="AS248" s="7" t="s">
        <v>282</v>
      </c>
      <c r="AT248" s="7" t="s">
        <v>283</v>
      </c>
      <c r="AU248" s="7" t="s">
        <v>283</v>
      </c>
      <c r="AX248" s="7" t="s">
        <v>284</v>
      </c>
      <c r="AY248" s="7" t="s">
        <v>285</v>
      </c>
      <c r="AZ248" s="7" t="s">
        <v>104</v>
      </c>
      <c r="BA248" s="7" t="s">
        <v>281</v>
      </c>
      <c r="BB248" s="7" t="s">
        <v>282</v>
      </c>
      <c r="BC248" s="7" t="s">
        <v>283</v>
      </c>
      <c r="BD248" s="7" t="s">
        <v>283</v>
      </c>
      <c r="BF248" s="7" t="s">
        <v>112</v>
      </c>
      <c r="BG248" s="7">
        <v>23465</v>
      </c>
      <c r="BH248" s="7" t="s">
        <v>286</v>
      </c>
      <c r="BO248" s="7">
        <v>7</v>
      </c>
      <c r="BR248" s="7" t="s">
        <v>104</v>
      </c>
      <c r="BS248" s="7" t="s">
        <v>287</v>
      </c>
      <c r="BT248" s="7" t="s">
        <v>288</v>
      </c>
      <c r="BU248" s="7" t="s">
        <v>283</v>
      </c>
      <c r="BV248" s="7" t="s">
        <v>283</v>
      </c>
      <c r="BW248" s="7" t="s">
        <v>209</v>
      </c>
    </row>
    <row r="249" spans="1:75" s="7" customFormat="1" x14ac:dyDescent="0.35">
      <c r="A249" s="7" t="s">
        <v>1225</v>
      </c>
      <c r="B249" s="8">
        <v>46003</v>
      </c>
      <c r="C249" s="9">
        <v>0.70596064814814818</v>
      </c>
      <c r="D249" s="7" t="s">
        <v>536</v>
      </c>
      <c r="E249" s="7" t="s">
        <v>537</v>
      </c>
      <c r="F249" s="11" t="s">
        <v>346</v>
      </c>
      <c r="G249" s="7">
        <f>COUNTIF($F$2:$F$278,F249)</f>
        <v>69</v>
      </c>
      <c r="H249" s="7" t="s">
        <v>347</v>
      </c>
      <c r="I249" s="7" t="s">
        <v>187</v>
      </c>
      <c r="J249" s="7" t="s">
        <v>83</v>
      </c>
      <c r="K249" s="7" t="s">
        <v>84</v>
      </c>
      <c r="M249" s="7" t="s">
        <v>85</v>
      </c>
      <c r="N249" s="7" t="s">
        <v>86</v>
      </c>
      <c r="O249" s="7" t="s">
        <v>87</v>
      </c>
      <c r="P249" s="7" t="s">
        <v>88</v>
      </c>
      <c r="Q249" s="7" t="s">
        <v>89</v>
      </c>
      <c r="R249" s="7" t="s">
        <v>90</v>
      </c>
      <c r="S249" s="7" t="s">
        <v>91</v>
      </c>
      <c r="T249" s="7" t="s">
        <v>92</v>
      </c>
      <c r="U249" s="7" t="s">
        <v>93</v>
      </c>
      <c r="V249" s="7" t="s">
        <v>94</v>
      </c>
      <c r="W249" s="7" t="s">
        <v>538</v>
      </c>
      <c r="Y249" s="7" t="s">
        <v>96</v>
      </c>
      <c r="Z249" s="7" t="s">
        <v>97</v>
      </c>
      <c r="AA249" s="7" t="b">
        <v>0</v>
      </c>
      <c r="AB249" s="7" t="b">
        <v>0</v>
      </c>
      <c r="AC249" s="7" t="s">
        <v>1331</v>
      </c>
      <c r="AD249" s="7">
        <v>76</v>
      </c>
      <c r="AE249" s="7" t="s">
        <v>98</v>
      </c>
      <c r="AI249" s="7" t="s">
        <v>539</v>
      </c>
      <c r="AJ249" s="7" t="s">
        <v>100</v>
      </c>
      <c r="AK249" s="7" t="s">
        <v>1226</v>
      </c>
      <c r="AL249" s="7" t="s">
        <v>100</v>
      </c>
      <c r="AM249" s="7" t="s">
        <v>100</v>
      </c>
      <c r="AN249" s="7" t="s">
        <v>102</v>
      </c>
      <c r="AP249" s="7" t="s">
        <v>1227</v>
      </c>
      <c r="AQ249" s="7" t="s">
        <v>104</v>
      </c>
      <c r="AR249" s="7" t="s">
        <v>197</v>
      </c>
      <c r="AS249" s="7" t="s">
        <v>356</v>
      </c>
      <c r="AT249" s="7" t="s">
        <v>199</v>
      </c>
      <c r="AU249" s="7" t="s">
        <v>199</v>
      </c>
      <c r="AX249" s="7" t="s">
        <v>200</v>
      </c>
      <c r="AY249" s="7" t="s">
        <v>357</v>
      </c>
      <c r="AZ249" s="7" t="s">
        <v>104</v>
      </c>
      <c r="BA249" s="7" t="s">
        <v>197</v>
      </c>
      <c r="BB249" s="7" t="s">
        <v>356</v>
      </c>
      <c r="BC249" s="7" t="s">
        <v>199</v>
      </c>
      <c r="BD249" s="7" t="s">
        <v>199</v>
      </c>
      <c r="BF249" s="7" t="s">
        <v>203</v>
      </c>
      <c r="BG249" s="7">
        <v>20115</v>
      </c>
      <c r="BH249" s="7" t="s">
        <v>358</v>
      </c>
      <c r="BO249" s="7">
        <v>9</v>
      </c>
      <c r="BR249" s="7" t="s">
        <v>104</v>
      </c>
      <c r="BS249" s="7" t="s">
        <v>205</v>
      </c>
      <c r="BT249" s="7" t="s">
        <v>356</v>
      </c>
      <c r="BU249" s="7" t="s">
        <v>207</v>
      </c>
      <c r="BV249" s="7" t="s">
        <v>208</v>
      </c>
      <c r="BW249" s="7" t="s">
        <v>209</v>
      </c>
    </row>
    <row r="250" spans="1:75" s="7" customFormat="1" x14ac:dyDescent="0.35">
      <c r="A250" s="7" t="s">
        <v>1228</v>
      </c>
      <c r="B250" s="8">
        <v>46003</v>
      </c>
      <c r="C250" s="9">
        <v>0.69232638888888898</v>
      </c>
      <c r="D250" s="7" t="s">
        <v>271</v>
      </c>
      <c r="E250" s="7" t="s">
        <v>272</v>
      </c>
      <c r="F250" s="7" t="s">
        <v>273</v>
      </c>
      <c r="G250" s="7">
        <f>COUNTIF($F$2:$F$278,F250)</f>
        <v>13</v>
      </c>
      <c r="H250" s="7" t="s">
        <v>274</v>
      </c>
      <c r="I250" s="7" t="s">
        <v>275</v>
      </c>
      <c r="J250" s="7" t="s">
        <v>83</v>
      </c>
      <c r="K250" s="7" t="s">
        <v>119</v>
      </c>
      <c r="L250" s="7">
        <v>50057</v>
      </c>
      <c r="M250" s="7" t="s">
        <v>85</v>
      </c>
      <c r="N250" s="7" t="s">
        <v>120</v>
      </c>
      <c r="O250" s="7" t="s">
        <v>87</v>
      </c>
      <c r="P250" s="7" t="s">
        <v>100</v>
      </c>
      <c r="Q250" s="7" t="s">
        <v>89</v>
      </c>
      <c r="R250" s="7" t="s">
        <v>90</v>
      </c>
      <c r="S250" s="7" t="s">
        <v>91</v>
      </c>
      <c r="T250" s="7" t="s">
        <v>92</v>
      </c>
      <c r="U250" s="7" t="s">
        <v>276</v>
      </c>
      <c r="V250" s="7" t="s">
        <v>94</v>
      </c>
      <c r="W250" s="7" t="s">
        <v>277</v>
      </c>
      <c r="Y250" s="7" t="s">
        <v>96</v>
      </c>
      <c r="Z250" s="7" t="s">
        <v>97</v>
      </c>
      <c r="AA250" s="7" t="b">
        <v>0</v>
      </c>
      <c r="AB250" s="7" t="b">
        <v>0</v>
      </c>
      <c r="AC250" s="11" t="s">
        <v>1331</v>
      </c>
      <c r="AD250" s="7">
        <v>46</v>
      </c>
      <c r="AE250" s="7" t="s">
        <v>278</v>
      </c>
      <c r="AJ250" s="7" t="s">
        <v>100</v>
      </c>
      <c r="AK250" s="7" t="s">
        <v>1229</v>
      </c>
      <c r="AL250" s="7" t="s">
        <v>100</v>
      </c>
      <c r="AM250" s="7" t="s">
        <v>100</v>
      </c>
      <c r="AN250" s="7" t="s">
        <v>124</v>
      </c>
      <c r="AP250" s="7" t="s">
        <v>1230</v>
      </c>
      <c r="AQ250" s="7" t="s">
        <v>104</v>
      </c>
      <c r="AR250" s="7" t="s">
        <v>281</v>
      </c>
      <c r="AS250" s="7" t="s">
        <v>282</v>
      </c>
      <c r="AT250" s="7" t="s">
        <v>283</v>
      </c>
      <c r="AU250" s="7" t="s">
        <v>283</v>
      </c>
      <c r="AX250" s="7" t="s">
        <v>284</v>
      </c>
      <c r="AY250" s="7" t="s">
        <v>285</v>
      </c>
      <c r="AZ250" s="7" t="s">
        <v>104</v>
      </c>
      <c r="BA250" s="7" t="s">
        <v>281</v>
      </c>
      <c r="BB250" s="7" t="s">
        <v>282</v>
      </c>
      <c r="BC250" s="7" t="s">
        <v>283</v>
      </c>
      <c r="BD250" s="7" t="s">
        <v>283</v>
      </c>
      <c r="BF250" s="7" t="s">
        <v>112</v>
      </c>
      <c r="BG250" s="7">
        <v>23465</v>
      </c>
      <c r="BH250" s="7" t="s">
        <v>286</v>
      </c>
      <c r="BO250" s="7">
        <v>7</v>
      </c>
      <c r="BR250" s="7" t="s">
        <v>104</v>
      </c>
      <c r="BS250" s="7" t="s">
        <v>287</v>
      </c>
      <c r="BT250" s="7" t="s">
        <v>288</v>
      </c>
      <c r="BU250" s="7" t="s">
        <v>283</v>
      </c>
      <c r="BV250" s="7" t="s">
        <v>283</v>
      </c>
      <c r="BW250" s="7" t="s">
        <v>209</v>
      </c>
    </row>
    <row r="251" spans="1:75" s="7" customFormat="1" x14ac:dyDescent="0.35">
      <c r="A251" s="7" t="s">
        <v>1231</v>
      </c>
      <c r="B251" s="8">
        <v>46003</v>
      </c>
      <c r="C251" s="9">
        <v>0.68493055555555549</v>
      </c>
      <c r="D251" s="7" t="s">
        <v>78</v>
      </c>
      <c r="E251" s="7" t="s">
        <v>79</v>
      </c>
      <c r="F251" s="7" t="s">
        <v>1232</v>
      </c>
      <c r="G251" s="7">
        <f>COUNTIF($F$2:$F$278,F251)</f>
        <v>1</v>
      </c>
      <c r="H251" s="7" t="s">
        <v>81</v>
      </c>
      <c r="I251" s="7" t="s">
        <v>82</v>
      </c>
      <c r="J251" s="7" t="s">
        <v>83</v>
      </c>
      <c r="K251" s="7" t="s">
        <v>84</v>
      </c>
      <c r="M251" s="7" t="s">
        <v>85</v>
      </c>
      <c r="N251" s="7" t="s">
        <v>86</v>
      </c>
      <c r="O251" s="7" t="s">
        <v>87</v>
      </c>
      <c r="P251" s="7" t="s">
        <v>88</v>
      </c>
      <c r="Q251" s="7" t="s">
        <v>89</v>
      </c>
      <c r="R251" s="7" t="s">
        <v>90</v>
      </c>
      <c r="S251" s="7" t="s">
        <v>91</v>
      </c>
      <c r="T251" s="7" t="s">
        <v>92</v>
      </c>
      <c r="U251" s="7" t="s">
        <v>93</v>
      </c>
      <c r="V251" s="7" t="s">
        <v>94</v>
      </c>
      <c r="W251" s="7" t="s">
        <v>95</v>
      </c>
      <c r="Y251" s="7" t="s">
        <v>96</v>
      </c>
      <c r="Z251" s="7" t="s">
        <v>97</v>
      </c>
      <c r="AA251" s="7" t="b">
        <v>0</v>
      </c>
      <c r="AB251" s="7" t="b">
        <v>0</v>
      </c>
      <c r="AC251" s="11" t="s">
        <v>1331</v>
      </c>
      <c r="AD251" s="7">
        <v>117</v>
      </c>
      <c r="AE251" s="7" t="s">
        <v>98</v>
      </c>
      <c r="AI251" s="7" t="s">
        <v>99</v>
      </c>
      <c r="AJ251" s="7" t="s">
        <v>100</v>
      </c>
      <c r="AK251" s="7" t="s">
        <v>1233</v>
      </c>
      <c r="AL251" s="7" t="s">
        <v>100</v>
      </c>
      <c r="AM251" s="7" t="s">
        <v>100</v>
      </c>
      <c r="AN251" s="7" t="s">
        <v>102</v>
      </c>
      <c r="AP251" s="7" t="s">
        <v>1234</v>
      </c>
      <c r="AQ251" s="7" t="s">
        <v>104</v>
      </c>
      <c r="AR251" s="7" t="s">
        <v>105</v>
      </c>
      <c r="AS251" s="7" t="s">
        <v>137</v>
      </c>
      <c r="AT251" s="7" t="s">
        <v>107</v>
      </c>
      <c r="AU251" s="7" t="s">
        <v>107</v>
      </c>
      <c r="AX251" s="7" t="s">
        <v>108</v>
      </c>
      <c r="AY251" s="7" t="s">
        <v>138</v>
      </c>
      <c r="AZ251" s="7" t="s">
        <v>104</v>
      </c>
      <c r="BA251" s="7" t="s">
        <v>105</v>
      </c>
      <c r="BB251" s="7" t="s">
        <v>139</v>
      </c>
      <c r="BC251" s="7" t="s">
        <v>110</v>
      </c>
      <c r="BD251" s="7" t="s">
        <v>110</v>
      </c>
      <c r="BF251" s="7" t="s">
        <v>112</v>
      </c>
      <c r="BG251" s="7">
        <v>7922</v>
      </c>
      <c r="BH251" s="7" t="s">
        <v>140</v>
      </c>
      <c r="BO251" s="7">
        <v>5</v>
      </c>
      <c r="BR251" s="7" t="s">
        <v>104</v>
      </c>
      <c r="BS251" s="7" t="s">
        <v>141</v>
      </c>
      <c r="BT251" s="7" t="s">
        <v>106</v>
      </c>
      <c r="BU251" s="7" t="s">
        <v>110</v>
      </c>
      <c r="BV251" s="7" t="s">
        <v>110</v>
      </c>
      <c r="BW251" s="7" t="s">
        <v>117</v>
      </c>
    </row>
    <row r="252" spans="1:75" s="7" customFormat="1" x14ac:dyDescent="0.35">
      <c r="A252" s="7" t="s">
        <v>1235</v>
      </c>
      <c r="B252" s="8">
        <v>46003</v>
      </c>
      <c r="C252" s="9">
        <v>0.59369212962962969</v>
      </c>
      <c r="D252" s="7" t="s">
        <v>873</v>
      </c>
      <c r="E252" s="7" t="s">
        <v>874</v>
      </c>
      <c r="F252" s="11" t="s">
        <v>346</v>
      </c>
      <c r="G252" s="7">
        <f>COUNTIF($F$2:$F$278,F252)</f>
        <v>69</v>
      </c>
      <c r="H252" s="7" t="s">
        <v>347</v>
      </c>
      <c r="I252" s="7" t="s">
        <v>187</v>
      </c>
      <c r="J252" s="7" t="s">
        <v>83</v>
      </c>
      <c r="K252" s="7" t="s">
        <v>84</v>
      </c>
      <c r="M252" s="7" t="s">
        <v>85</v>
      </c>
      <c r="N252" s="7" t="s">
        <v>120</v>
      </c>
      <c r="O252" s="7" t="s">
        <v>87</v>
      </c>
      <c r="P252" s="7" t="s">
        <v>88</v>
      </c>
      <c r="Q252" s="7" t="s">
        <v>89</v>
      </c>
      <c r="R252" s="7" t="s">
        <v>90</v>
      </c>
      <c r="S252" s="7" t="s">
        <v>91</v>
      </c>
      <c r="T252" s="7" t="s">
        <v>92</v>
      </c>
      <c r="U252" s="7" t="s">
        <v>93</v>
      </c>
      <c r="V252" s="7" t="s">
        <v>94</v>
      </c>
      <c r="W252" s="7" t="s">
        <v>875</v>
      </c>
      <c r="Y252" s="7" t="s">
        <v>96</v>
      </c>
      <c r="Z252" s="7" t="s">
        <v>97</v>
      </c>
      <c r="AA252" s="7" t="b">
        <v>0</v>
      </c>
      <c r="AB252" s="7" t="b">
        <v>0</v>
      </c>
      <c r="AC252" s="7" t="s">
        <v>1331</v>
      </c>
      <c r="AD252" s="7">
        <v>78</v>
      </c>
      <c r="AE252" s="7" t="s">
        <v>153</v>
      </c>
      <c r="AI252" s="7" t="s">
        <v>876</v>
      </c>
      <c r="AJ252" s="7" t="s">
        <v>100</v>
      </c>
      <c r="AK252" s="7" t="s">
        <v>1236</v>
      </c>
      <c r="AL252" s="7" t="s">
        <v>100</v>
      </c>
      <c r="AM252" s="7" t="s">
        <v>100</v>
      </c>
      <c r="AN252" s="7" t="s">
        <v>102</v>
      </c>
      <c r="AP252" s="7" t="s">
        <v>1237</v>
      </c>
      <c r="AQ252" s="7" t="s">
        <v>104</v>
      </c>
      <c r="AR252" s="7" t="s">
        <v>197</v>
      </c>
      <c r="AS252" s="7" t="s">
        <v>356</v>
      </c>
      <c r="AT252" s="7" t="s">
        <v>199</v>
      </c>
      <c r="AU252" s="7" t="s">
        <v>199</v>
      </c>
      <c r="AX252" s="7" t="s">
        <v>200</v>
      </c>
      <c r="AY252" s="7" t="s">
        <v>357</v>
      </c>
      <c r="AZ252" s="7" t="s">
        <v>104</v>
      </c>
      <c r="BA252" s="7" t="s">
        <v>197</v>
      </c>
      <c r="BB252" s="7" t="s">
        <v>356</v>
      </c>
      <c r="BC252" s="7" t="s">
        <v>199</v>
      </c>
      <c r="BD252" s="7" t="s">
        <v>199</v>
      </c>
      <c r="BF252" s="7" t="s">
        <v>203</v>
      </c>
      <c r="BG252" s="7">
        <v>20115</v>
      </c>
      <c r="BH252" s="7" t="s">
        <v>358</v>
      </c>
      <c r="BO252" s="7">
        <v>9</v>
      </c>
      <c r="BR252" s="7" t="s">
        <v>104</v>
      </c>
      <c r="BS252" s="7" t="s">
        <v>205</v>
      </c>
      <c r="BT252" s="7" t="s">
        <v>356</v>
      </c>
      <c r="BU252" s="7" t="s">
        <v>207</v>
      </c>
      <c r="BV252" s="7" t="s">
        <v>208</v>
      </c>
      <c r="BW252" s="7" t="s">
        <v>209</v>
      </c>
    </row>
    <row r="253" spans="1:75" s="7" customFormat="1" x14ac:dyDescent="0.35">
      <c r="A253" s="7" t="s">
        <v>1238</v>
      </c>
      <c r="B253" s="8">
        <v>46003</v>
      </c>
      <c r="C253" s="9">
        <v>0.58451388888888889</v>
      </c>
      <c r="D253" s="7" t="s">
        <v>543</v>
      </c>
      <c r="E253" s="7" t="s">
        <v>544</v>
      </c>
      <c r="F253" s="11" t="s">
        <v>346</v>
      </c>
      <c r="G253" s="7">
        <f>COUNTIF($F$2:$F$278,F253)</f>
        <v>69</v>
      </c>
      <c r="H253" s="7" t="s">
        <v>347</v>
      </c>
      <c r="I253" s="7" t="s">
        <v>187</v>
      </c>
      <c r="J253" s="7" t="s">
        <v>83</v>
      </c>
      <c r="K253" s="7" t="s">
        <v>84</v>
      </c>
      <c r="M253" s="7" t="s">
        <v>85</v>
      </c>
      <c r="N253" s="7" t="s">
        <v>86</v>
      </c>
      <c r="O253" s="7" t="s">
        <v>87</v>
      </c>
      <c r="P253" s="7" t="s">
        <v>88</v>
      </c>
      <c r="Q253" s="7" t="s">
        <v>89</v>
      </c>
      <c r="R253" s="7" t="s">
        <v>90</v>
      </c>
      <c r="S253" s="7" t="s">
        <v>91</v>
      </c>
      <c r="T253" s="7" t="s">
        <v>92</v>
      </c>
      <c r="U253" s="7" t="s">
        <v>93</v>
      </c>
      <c r="V253" s="7" t="s">
        <v>94</v>
      </c>
      <c r="W253" s="7" t="s">
        <v>868</v>
      </c>
      <c r="Y253" s="7" t="s">
        <v>96</v>
      </c>
      <c r="Z253" s="7" t="s">
        <v>97</v>
      </c>
      <c r="AA253" s="7" t="b">
        <v>0</v>
      </c>
      <c r="AB253" s="7" t="b">
        <v>0</v>
      </c>
      <c r="AC253" s="7" t="s">
        <v>1331</v>
      </c>
      <c r="AD253" s="7">
        <v>125</v>
      </c>
      <c r="AE253" s="7" t="s">
        <v>98</v>
      </c>
      <c r="AI253" s="7" t="s">
        <v>869</v>
      </c>
      <c r="AJ253" s="7" t="s">
        <v>100</v>
      </c>
      <c r="AK253" s="7" t="s">
        <v>1239</v>
      </c>
      <c r="AL253" s="7" t="s">
        <v>100</v>
      </c>
      <c r="AM253" s="7" t="s">
        <v>100</v>
      </c>
      <c r="AN253" s="7" t="s">
        <v>102</v>
      </c>
      <c r="AP253" s="7" t="s">
        <v>1240</v>
      </c>
      <c r="AQ253" s="7" t="s">
        <v>104</v>
      </c>
      <c r="AR253" s="7" t="s">
        <v>197</v>
      </c>
      <c r="AS253" s="7" t="s">
        <v>356</v>
      </c>
      <c r="AT253" s="7" t="s">
        <v>199</v>
      </c>
      <c r="AU253" s="7" t="s">
        <v>199</v>
      </c>
      <c r="AX253" s="7" t="s">
        <v>200</v>
      </c>
      <c r="AY253" s="7" t="s">
        <v>357</v>
      </c>
      <c r="AZ253" s="7" t="s">
        <v>104</v>
      </c>
      <c r="BA253" s="7" t="s">
        <v>197</v>
      </c>
      <c r="BB253" s="7" t="s">
        <v>356</v>
      </c>
      <c r="BC253" s="7" t="s">
        <v>199</v>
      </c>
      <c r="BD253" s="7" t="s">
        <v>199</v>
      </c>
      <c r="BF253" s="7" t="s">
        <v>203</v>
      </c>
      <c r="BG253" s="7">
        <v>20115</v>
      </c>
      <c r="BH253" s="7" t="s">
        <v>358</v>
      </c>
      <c r="BO253" s="7">
        <v>9</v>
      </c>
      <c r="BR253" s="7" t="s">
        <v>104</v>
      </c>
      <c r="BS253" s="7" t="s">
        <v>205</v>
      </c>
      <c r="BT253" s="7" t="s">
        <v>356</v>
      </c>
      <c r="BU253" s="7" t="s">
        <v>207</v>
      </c>
      <c r="BV253" s="7" t="s">
        <v>208</v>
      </c>
      <c r="BW253" s="7" t="s">
        <v>209</v>
      </c>
    </row>
    <row r="254" spans="1:75" s="7" customFormat="1" x14ac:dyDescent="0.35">
      <c r="A254" s="7" t="s">
        <v>1241</v>
      </c>
      <c r="B254" s="8">
        <v>46003</v>
      </c>
      <c r="C254" s="9">
        <v>0.52120370370370372</v>
      </c>
      <c r="D254" s="7" t="s">
        <v>271</v>
      </c>
      <c r="E254" s="7" t="s">
        <v>272</v>
      </c>
      <c r="F254" s="7" t="s">
        <v>273</v>
      </c>
      <c r="G254" s="7">
        <f>COUNTIF($F$2:$F$278,F254)</f>
        <v>13</v>
      </c>
      <c r="H254" s="7" t="s">
        <v>274</v>
      </c>
      <c r="I254" s="7" t="s">
        <v>275</v>
      </c>
      <c r="J254" s="7" t="s">
        <v>83</v>
      </c>
      <c r="K254" s="7" t="s">
        <v>119</v>
      </c>
      <c r="L254" s="7">
        <v>50057</v>
      </c>
      <c r="M254" s="7" t="s">
        <v>85</v>
      </c>
      <c r="N254" s="7" t="s">
        <v>120</v>
      </c>
      <c r="O254" s="7" t="s">
        <v>87</v>
      </c>
      <c r="P254" s="7" t="s">
        <v>100</v>
      </c>
      <c r="Q254" s="7" t="s">
        <v>89</v>
      </c>
      <c r="R254" s="7" t="s">
        <v>90</v>
      </c>
      <c r="S254" s="7" t="s">
        <v>91</v>
      </c>
      <c r="T254" s="7" t="s">
        <v>92</v>
      </c>
      <c r="U254" s="7" t="s">
        <v>276</v>
      </c>
      <c r="V254" s="7" t="s">
        <v>94</v>
      </c>
      <c r="W254" s="7" t="s">
        <v>277</v>
      </c>
      <c r="Y254" s="7" t="s">
        <v>96</v>
      </c>
      <c r="Z254" s="7" t="s">
        <v>97</v>
      </c>
      <c r="AA254" s="7" t="b">
        <v>0</v>
      </c>
      <c r="AB254" s="7" t="b">
        <v>0</v>
      </c>
      <c r="AC254" s="11" t="s">
        <v>1331</v>
      </c>
      <c r="AD254" s="7">
        <v>53</v>
      </c>
      <c r="AE254" s="7" t="s">
        <v>278</v>
      </c>
      <c r="AJ254" s="7" t="s">
        <v>100</v>
      </c>
      <c r="AK254" s="7" t="s">
        <v>1242</v>
      </c>
      <c r="AL254" s="7" t="s">
        <v>100</v>
      </c>
      <c r="AM254" s="7" t="s">
        <v>100</v>
      </c>
      <c r="AN254" s="7" t="s">
        <v>124</v>
      </c>
      <c r="AP254" s="7" t="s">
        <v>1243</v>
      </c>
      <c r="AQ254" s="7" t="s">
        <v>104</v>
      </c>
      <c r="AR254" s="7" t="s">
        <v>281</v>
      </c>
      <c r="AS254" s="7" t="s">
        <v>282</v>
      </c>
      <c r="AT254" s="7" t="s">
        <v>283</v>
      </c>
      <c r="AU254" s="7" t="s">
        <v>283</v>
      </c>
      <c r="AX254" s="7" t="s">
        <v>284</v>
      </c>
      <c r="AY254" s="7" t="s">
        <v>285</v>
      </c>
      <c r="AZ254" s="7" t="s">
        <v>104</v>
      </c>
      <c r="BA254" s="7" t="s">
        <v>281</v>
      </c>
      <c r="BB254" s="7" t="s">
        <v>282</v>
      </c>
      <c r="BC254" s="7" t="s">
        <v>283</v>
      </c>
      <c r="BD254" s="7" t="s">
        <v>283</v>
      </c>
      <c r="BF254" s="7" t="s">
        <v>112</v>
      </c>
      <c r="BG254" s="7">
        <v>23465</v>
      </c>
      <c r="BH254" s="7" t="s">
        <v>286</v>
      </c>
      <c r="BO254" s="7">
        <v>7</v>
      </c>
      <c r="BR254" s="7" t="s">
        <v>104</v>
      </c>
      <c r="BS254" s="7" t="s">
        <v>287</v>
      </c>
      <c r="BT254" s="7" t="s">
        <v>288</v>
      </c>
      <c r="BU254" s="7" t="s">
        <v>283</v>
      </c>
      <c r="BV254" s="7" t="s">
        <v>283</v>
      </c>
      <c r="BW254" s="7" t="s">
        <v>209</v>
      </c>
    </row>
    <row r="255" spans="1:75" s="7" customFormat="1" x14ac:dyDescent="0.35">
      <c r="A255" s="7" t="s">
        <v>1244</v>
      </c>
      <c r="B255" s="8">
        <v>46003</v>
      </c>
      <c r="C255" s="9">
        <v>5.6805555555555554E-2</v>
      </c>
      <c r="D255" s="7" t="s">
        <v>271</v>
      </c>
      <c r="E255" s="7" t="s">
        <v>272</v>
      </c>
      <c r="F255" s="7" t="s">
        <v>273</v>
      </c>
      <c r="G255" s="7">
        <f>COUNTIF($F$2:$F$278,F255)</f>
        <v>13</v>
      </c>
      <c r="H255" s="7" t="s">
        <v>274</v>
      </c>
      <c r="I255" s="7" t="s">
        <v>275</v>
      </c>
      <c r="J255" s="7" t="s">
        <v>83</v>
      </c>
      <c r="K255" s="7" t="s">
        <v>119</v>
      </c>
      <c r="L255" s="7">
        <v>50057</v>
      </c>
      <c r="M255" s="7" t="s">
        <v>85</v>
      </c>
      <c r="N255" s="7" t="s">
        <v>120</v>
      </c>
      <c r="O255" s="7" t="s">
        <v>87</v>
      </c>
      <c r="P255" s="7" t="s">
        <v>100</v>
      </c>
      <c r="Q255" s="7" t="s">
        <v>89</v>
      </c>
      <c r="R255" s="7" t="s">
        <v>90</v>
      </c>
      <c r="S255" s="7" t="s">
        <v>91</v>
      </c>
      <c r="T255" s="7" t="s">
        <v>92</v>
      </c>
      <c r="U255" s="7" t="s">
        <v>276</v>
      </c>
      <c r="V255" s="7" t="s">
        <v>94</v>
      </c>
      <c r="W255" s="7" t="s">
        <v>277</v>
      </c>
      <c r="Y255" s="7" t="s">
        <v>96</v>
      </c>
      <c r="Z255" s="7" t="s">
        <v>97</v>
      </c>
      <c r="AA255" s="7" t="b">
        <v>0</v>
      </c>
      <c r="AB255" s="7" t="b">
        <v>0</v>
      </c>
      <c r="AC255" s="11" t="s">
        <v>1331</v>
      </c>
      <c r="AD255" s="7">
        <v>54</v>
      </c>
      <c r="AE255" s="7" t="s">
        <v>278</v>
      </c>
      <c r="AJ255" s="7" t="s">
        <v>100</v>
      </c>
      <c r="AK255" s="7" t="s">
        <v>1245</v>
      </c>
      <c r="AL255" s="7" t="s">
        <v>100</v>
      </c>
      <c r="AM255" s="7" t="s">
        <v>100</v>
      </c>
      <c r="AN255" s="7" t="s">
        <v>124</v>
      </c>
      <c r="AP255" s="7" t="s">
        <v>1246</v>
      </c>
      <c r="AQ255" s="7" t="s">
        <v>104</v>
      </c>
      <c r="AR255" s="7" t="s">
        <v>281</v>
      </c>
      <c r="AS255" s="7" t="s">
        <v>282</v>
      </c>
      <c r="AT255" s="7" t="s">
        <v>283</v>
      </c>
      <c r="AU255" s="7" t="s">
        <v>283</v>
      </c>
      <c r="AX255" s="7" t="s">
        <v>284</v>
      </c>
      <c r="AY255" s="7" t="s">
        <v>285</v>
      </c>
      <c r="AZ255" s="7" t="s">
        <v>104</v>
      </c>
      <c r="BA255" s="7" t="s">
        <v>281</v>
      </c>
      <c r="BB255" s="7" t="s">
        <v>282</v>
      </c>
      <c r="BC255" s="7" t="s">
        <v>283</v>
      </c>
      <c r="BD255" s="7" t="s">
        <v>283</v>
      </c>
      <c r="BF255" s="7" t="s">
        <v>112</v>
      </c>
      <c r="BG255" s="7">
        <v>23465</v>
      </c>
      <c r="BH255" s="7" t="s">
        <v>286</v>
      </c>
      <c r="BO255" s="7">
        <v>7</v>
      </c>
      <c r="BR255" s="7" t="s">
        <v>104</v>
      </c>
      <c r="BS255" s="7" t="s">
        <v>287</v>
      </c>
      <c r="BT255" s="7" t="s">
        <v>288</v>
      </c>
      <c r="BU255" s="7" t="s">
        <v>283</v>
      </c>
      <c r="BV255" s="7" t="s">
        <v>283</v>
      </c>
      <c r="BW255" s="7" t="s">
        <v>209</v>
      </c>
    </row>
    <row r="256" spans="1:75" x14ac:dyDescent="0.35">
      <c r="A256" t="s">
        <v>1247</v>
      </c>
      <c r="B256" s="1">
        <v>46003</v>
      </c>
      <c r="C256" s="2">
        <v>7.5231481481481471E-4</v>
      </c>
      <c r="D256" t="s">
        <v>543</v>
      </c>
      <c r="E256" t="s">
        <v>544</v>
      </c>
      <c r="F256" t="s">
        <v>1248</v>
      </c>
      <c r="G256">
        <f>COUNTIF($F$2:$F$278,F256)</f>
        <v>2</v>
      </c>
      <c r="H256" t="s">
        <v>546</v>
      </c>
      <c r="I256" t="s">
        <v>187</v>
      </c>
      <c r="J256" t="s">
        <v>83</v>
      </c>
      <c r="K256" t="s">
        <v>84</v>
      </c>
      <c r="M256" t="s">
        <v>85</v>
      </c>
      <c r="N256" t="s">
        <v>86</v>
      </c>
      <c r="O256" t="s">
        <v>84</v>
      </c>
      <c r="P256" t="s">
        <v>100</v>
      </c>
      <c r="Q256" t="s">
        <v>129</v>
      </c>
      <c r="R256" t="s">
        <v>130</v>
      </c>
      <c r="S256" t="s">
        <v>91</v>
      </c>
      <c r="T256" t="s">
        <v>92</v>
      </c>
      <c r="U256" t="s">
        <v>93</v>
      </c>
      <c r="V256" t="s">
        <v>22</v>
      </c>
      <c r="X256" t="s">
        <v>131</v>
      </c>
      <c r="Y256" t="s">
        <v>132</v>
      </c>
      <c r="Z256" t="s">
        <v>547</v>
      </c>
      <c r="AA256" t="b">
        <v>0</v>
      </c>
      <c r="AB256" t="b">
        <v>0</v>
      </c>
      <c r="AD256">
        <v>86</v>
      </c>
      <c r="AE256" t="s">
        <v>153</v>
      </c>
      <c r="AH256" t="s">
        <v>544</v>
      </c>
      <c r="AI256" t="s">
        <v>548</v>
      </c>
      <c r="AJ256" t="s">
        <v>100</v>
      </c>
      <c r="AK256" t="s">
        <v>1249</v>
      </c>
      <c r="AL256" t="s">
        <v>100</v>
      </c>
      <c r="AM256" t="s">
        <v>100</v>
      </c>
      <c r="AN256" t="s">
        <v>124</v>
      </c>
      <c r="AO256">
        <v>1002</v>
      </c>
      <c r="AP256" t="s">
        <v>1250</v>
      </c>
      <c r="AQ256" t="s">
        <v>104</v>
      </c>
      <c r="AR256" t="s">
        <v>197</v>
      </c>
      <c r="AS256" t="s">
        <v>206</v>
      </c>
      <c r="AT256" t="s">
        <v>199</v>
      </c>
      <c r="AU256" t="s">
        <v>199</v>
      </c>
      <c r="AX256" t="s">
        <v>200</v>
      </c>
      <c r="AY256" t="s">
        <v>551</v>
      </c>
      <c r="AZ256" t="s">
        <v>104</v>
      </c>
      <c r="BA256" t="s">
        <v>197</v>
      </c>
      <c r="BB256" t="s">
        <v>206</v>
      </c>
      <c r="BC256" t="s">
        <v>199</v>
      </c>
      <c r="BD256" t="s">
        <v>199</v>
      </c>
      <c r="BF256" t="s">
        <v>203</v>
      </c>
      <c r="BG256">
        <v>20115</v>
      </c>
      <c r="BH256" t="s">
        <v>552</v>
      </c>
      <c r="BO256">
        <v>2</v>
      </c>
      <c r="BR256" t="s">
        <v>104</v>
      </c>
      <c r="BS256" t="s">
        <v>205</v>
      </c>
      <c r="BT256" t="s">
        <v>553</v>
      </c>
      <c r="BU256" t="s">
        <v>199</v>
      </c>
      <c r="BV256" t="s">
        <v>208</v>
      </c>
      <c r="BW256" t="s">
        <v>209</v>
      </c>
    </row>
    <row r="257" spans="1:75" x14ac:dyDescent="0.35">
      <c r="A257" t="s">
        <v>1251</v>
      </c>
      <c r="B257" s="1">
        <v>46003</v>
      </c>
      <c r="C257" s="2">
        <v>7.175925925925927E-4</v>
      </c>
      <c r="D257" t="s">
        <v>543</v>
      </c>
      <c r="E257" t="s">
        <v>544</v>
      </c>
      <c r="F257" t="s">
        <v>1248</v>
      </c>
      <c r="G257">
        <f>COUNTIF($F$2:$F$278,F257)</f>
        <v>2</v>
      </c>
      <c r="H257" t="s">
        <v>546</v>
      </c>
      <c r="I257" t="s">
        <v>187</v>
      </c>
      <c r="J257" t="s">
        <v>83</v>
      </c>
      <c r="K257" t="s">
        <v>143</v>
      </c>
      <c r="L257">
        <v>50140</v>
      </c>
      <c r="M257" t="s">
        <v>85</v>
      </c>
      <c r="N257" t="s">
        <v>86</v>
      </c>
      <c r="O257" t="s">
        <v>84</v>
      </c>
      <c r="P257" t="s">
        <v>100</v>
      </c>
      <c r="Q257" t="s">
        <v>129</v>
      </c>
      <c r="R257" t="s">
        <v>130</v>
      </c>
      <c r="S257" t="s">
        <v>91</v>
      </c>
      <c r="T257" t="s">
        <v>92</v>
      </c>
      <c r="U257" t="s">
        <v>144</v>
      </c>
      <c r="V257" t="s">
        <v>22</v>
      </c>
      <c r="X257" t="s">
        <v>131</v>
      </c>
      <c r="Y257" t="s">
        <v>132</v>
      </c>
      <c r="Z257" t="s">
        <v>547</v>
      </c>
      <c r="AA257" t="b">
        <v>0</v>
      </c>
      <c r="AB257" t="b">
        <v>0</v>
      </c>
      <c r="AD257">
        <v>89</v>
      </c>
      <c r="AE257" t="s">
        <v>145</v>
      </c>
      <c r="AH257" t="s">
        <v>544</v>
      </c>
      <c r="AI257" t="s">
        <v>1252</v>
      </c>
      <c r="AJ257" t="s">
        <v>100</v>
      </c>
      <c r="AK257" t="s">
        <v>1253</v>
      </c>
      <c r="AL257" t="s">
        <v>100</v>
      </c>
      <c r="AM257" t="s">
        <v>100</v>
      </c>
      <c r="AN257" t="s">
        <v>124</v>
      </c>
      <c r="AO257">
        <v>1002</v>
      </c>
      <c r="AP257" t="s">
        <v>1250</v>
      </c>
      <c r="AQ257" t="s">
        <v>104</v>
      </c>
      <c r="AR257" t="s">
        <v>197</v>
      </c>
      <c r="AS257" t="s">
        <v>206</v>
      </c>
      <c r="AT257" t="s">
        <v>199</v>
      </c>
      <c r="AU257" t="s">
        <v>199</v>
      </c>
      <c r="AX257" t="s">
        <v>200</v>
      </c>
      <c r="AY257" t="s">
        <v>551</v>
      </c>
      <c r="AZ257" t="s">
        <v>104</v>
      </c>
      <c r="BA257" t="s">
        <v>197</v>
      </c>
      <c r="BB257" t="s">
        <v>206</v>
      </c>
      <c r="BC257" t="s">
        <v>199</v>
      </c>
      <c r="BD257" t="s">
        <v>199</v>
      </c>
      <c r="BF257" t="s">
        <v>203</v>
      </c>
      <c r="BG257">
        <v>20115</v>
      </c>
      <c r="BH257" t="s">
        <v>552</v>
      </c>
      <c r="BO257">
        <v>2</v>
      </c>
      <c r="BR257" t="s">
        <v>104</v>
      </c>
      <c r="BS257" t="s">
        <v>205</v>
      </c>
      <c r="BT257" t="s">
        <v>553</v>
      </c>
      <c r="BU257" t="s">
        <v>199</v>
      </c>
      <c r="BV257" t="s">
        <v>208</v>
      </c>
      <c r="BW257" t="s">
        <v>209</v>
      </c>
    </row>
    <row r="258" spans="1:75" x14ac:dyDescent="0.35">
      <c r="A258" t="s">
        <v>1254</v>
      </c>
      <c r="B258" s="1">
        <v>46002</v>
      </c>
      <c r="C258" s="2">
        <v>0.93798611111111108</v>
      </c>
      <c r="D258" t="s">
        <v>362</v>
      </c>
      <c r="E258" t="s">
        <v>363</v>
      </c>
      <c r="F258" t="s">
        <v>1255</v>
      </c>
      <c r="G258">
        <f>COUNTIF($F$2:$F$278,F258)</f>
        <v>2</v>
      </c>
      <c r="H258" t="s">
        <v>1256</v>
      </c>
      <c r="I258" t="s">
        <v>366</v>
      </c>
      <c r="J258" t="s">
        <v>83</v>
      </c>
      <c r="K258" t="s">
        <v>143</v>
      </c>
      <c r="L258">
        <v>50072</v>
      </c>
      <c r="M258" t="s">
        <v>85</v>
      </c>
      <c r="N258" t="s">
        <v>86</v>
      </c>
      <c r="O258" t="s">
        <v>119</v>
      </c>
      <c r="P258" t="s">
        <v>100</v>
      </c>
      <c r="Q258" t="s">
        <v>386</v>
      </c>
      <c r="R258" t="s">
        <v>387</v>
      </c>
      <c r="S258" t="s">
        <v>224</v>
      </c>
      <c r="T258" t="s">
        <v>225</v>
      </c>
      <c r="U258" t="s">
        <v>162</v>
      </c>
      <c r="V258" t="s">
        <v>94</v>
      </c>
      <c r="X258" t="s">
        <v>1257</v>
      </c>
      <c r="Y258" t="s">
        <v>368</v>
      </c>
      <c r="Z258" t="s">
        <v>1258</v>
      </c>
      <c r="AA258" t="b">
        <v>0</v>
      </c>
      <c r="AB258" t="b">
        <v>0</v>
      </c>
      <c r="AD258">
        <v>262</v>
      </c>
      <c r="AE258" t="s">
        <v>163</v>
      </c>
      <c r="AH258" t="s">
        <v>363</v>
      </c>
      <c r="AI258" t="s">
        <v>1259</v>
      </c>
      <c r="AJ258" t="s">
        <v>100</v>
      </c>
      <c r="AK258" t="s">
        <v>1260</v>
      </c>
      <c r="AL258" t="s">
        <v>100</v>
      </c>
      <c r="AM258" t="s">
        <v>100</v>
      </c>
      <c r="AN258" t="s">
        <v>124</v>
      </c>
      <c r="AO258">
        <v>1002</v>
      </c>
      <c r="AP258" t="s">
        <v>1261</v>
      </c>
      <c r="AQ258" t="s">
        <v>104</v>
      </c>
      <c r="AR258" t="s">
        <v>197</v>
      </c>
      <c r="AT258" t="s">
        <v>373</v>
      </c>
      <c r="AU258" t="s">
        <v>373</v>
      </c>
      <c r="AX258" t="s">
        <v>374</v>
      </c>
      <c r="AY258" t="s">
        <v>375</v>
      </c>
      <c r="AZ258" t="s">
        <v>104</v>
      </c>
      <c r="BA258" t="s">
        <v>376</v>
      </c>
      <c r="BB258" t="s">
        <v>377</v>
      </c>
      <c r="BC258" t="s">
        <v>378</v>
      </c>
      <c r="BD258" t="s">
        <v>378</v>
      </c>
      <c r="BE258" t="s">
        <v>379</v>
      </c>
      <c r="BF258" t="s">
        <v>380</v>
      </c>
      <c r="BG258">
        <v>6614</v>
      </c>
      <c r="BH258" t="s">
        <v>1262</v>
      </c>
      <c r="BO258">
        <v>0</v>
      </c>
      <c r="BR258" t="s">
        <v>104</v>
      </c>
      <c r="BS258" t="s">
        <v>469</v>
      </c>
      <c r="BT258" t="s">
        <v>1263</v>
      </c>
      <c r="BU258" t="s">
        <v>378</v>
      </c>
      <c r="BV258" t="s">
        <v>378</v>
      </c>
      <c r="BW258" t="s">
        <v>384</v>
      </c>
    </row>
    <row r="259" spans="1:75" x14ac:dyDescent="0.35">
      <c r="A259" t="s">
        <v>1264</v>
      </c>
      <c r="B259" s="1">
        <v>46002</v>
      </c>
      <c r="C259" s="2">
        <v>0.93782407407407409</v>
      </c>
      <c r="D259" t="s">
        <v>362</v>
      </c>
      <c r="E259" t="s">
        <v>363</v>
      </c>
      <c r="F259" t="s">
        <v>1255</v>
      </c>
      <c r="G259">
        <f>COUNTIF($F$2:$F$278,F259)</f>
        <v>2</v>
      </c>
      <c r="H259" t="s">
        <v>1256</v>
      </c>
      <c r="I259" t="s">
        <v>366</v>
      </c>
      <c r="J259" t="s">
        <v>83</v>
      </c>
      <c r="K259" t="s">
        <v>119</v>
      </c>
      <c r="L259">
        <v>50126</v>
      </c>
      <c r="M259" t="s">
        <v>85</v>
      </c>
      <c r="N259" t="s">
        <v>120</v>
      </c>
      <c r="O259" t="s">
        <v>87</v>
      </c>
      <c r="P259" t="s">
        <v>100</v>
      </c>
      <c r="Q259" t="s">
        <v>386</v>
      </c>
      <c r="R259" t="s">
        <v>387</v>
      </c>
      <c r="S259" t="s">
        <v>224</v>
      </c>
      <c r="T259" t="s">
        <v>225</v>
      </c>
      <c r="U259" t="s">
        <v>121</v>
      </c>
      <c r="V259" t="s">
        <v>94</v>
      </c>
      <c r="X259" t="s">
        <v>1257</v>
      </c>
      <c r="Y259" t="s">
        <v>368</v>
      </c>
      <c r="Z259" t="s">
        <v>1258</v>
      </c>
      <c r="AA259" t="b">
        <v>0</v>
      </c>
      <c r="AB259" t="b">
        <v>0</v>
      </c>
      <c r="AD259">
        <v>189</v>
      </c>
      <c r="AE259" t="s">
        <v>122</v>
      </c>
      <c r="AH259" t="s">
        <v>363</v>
      </c>
      <c r="AJ259" t="s">
        <v>100</v>
      </c>
      <c r="AK259" t="s">
        <v>1265</v>
      </c>
      <c r="AL259" t="s">
        <v>100</v>
      </c>
      <c r="AM259" t="s">
        <v>100</v>
      </c>
      <c r="AN259" t="s">
        <v>124</v>
      </c>
      <c r="AP259" t="s">
        <v>1261</v>
      </c>
      <c r="AQ259" t="s">
        <v>104</v>
      </c>
      <c r="AR259" t="s">
        <v>197</v>
      </c>
      <c r="AT259" t="s">
        <v>373</v>
      </c>
      <c r="AU259" t="s">
        <v>373</v>
      </c>
      <c r="AX259" t="s">
        <v>374</v>
      </c>
      <c r="AY259" t="s">
        <v>375</v>
      </c>
      <c r="AZ259" t="s">
        <v>104</v>
      </c>
      <c r="BA259" t="s">
        <v>376</v>
      </c>
      <c r="BB259" t="s">
        <v>377</v>
      </c>
      <c r="BC259" t="s">
        <v>378</v>
      </c>
      <c r="BD259" t="s">
        <v>378</v>
      </c>
      <c r="BE259" t="s">
        <v>379</v>
      </c>
      <c r="BF259" t="s">
        <v>380</v>
      </c>
      <c r="BG259">
        <v>6614</v>
      </c>
      <c r="BH259" t="s">
        <v>1262</v>
      </c>
      <c r="BO259">
        <v>0</v>
      </c>
      <c r="BR259" t="s">
        <v>104</v>
      </c>
      <c r="BS259" t="s">
        <v>469</v>
      </c>
      <c r="BT259" t="s">
        <v>1263</v>
      </c>
      <c r="BU259" t="s">
        <v>378</v>
      </c>
      <c r="BV259" t="s">
        <v>378</v>
      </c>
      <c r="BW259" t="s">
        <v>384</v>
      </c>
    </row>
    <row r="260" spans="1:75" s="7" customFormat="1" x14ac:dyDescent="0.35">
      <c r="A260" s="7" t="s">
        <v>1266</v>
      </c>
      <c r="B260" s="8">
        <v>46002</v>
      </c>
      <c r="C260" s="9">
        <v>0.87930555555555545</v>
      </c>
      <c r="D260" s="7" t="s">
        <v>78</v>
      </c>
      <c r="E260" s="7" t="s">
        <v>79</v>
      </c>
      <c r="F260" s="7" t="s">
        <v>80</v>
      </c>
      <c r="G260" s="7">
        <f>COUNTIF($F$2:$F$278,F260)</f>
        <v>5</v>
      </c>
      <c r="H260" s="7" t="s">
        <v>81</v>
      </c>
      <c r="I260" s="7" t="s">
        <v>82</v>
      </c>
      <c r="J260" s="7" t="s">
        <v>83</v>
      </c>
      <c r="K260" s="7" t="s">
        <v>84</v>
      </c>
      <c r="M260" s="7" t="s">
        <v>85</v>
      </c>
      <c r="N260" s="7" t="s">
        <v>86</v>
      </c>
      <c r="O260" s="7" t="s">
        <v>87</v>
      </c>
      <c r="P260" s="7" t="s">
        <v>88</v>
      </c>
      <c r="Q260" s="7" t="s">
        <v>89</v>
      </c>
      <c r="R260" s="7" t="s">
        <v>90</v>
      </c>
      <c r="S260" s="7" t="s">
        <v>91</v>
      </c>
      <c r="T260" s="7" t="s">
        <v>92</v>
      </c>
      <c r="U260" s="7" t="s">
        <v>93</v>
      </c>
      <c r="V260" s="7" t="s">
        <v>94</v>
      </c>
      <c r="W260" s="7" t="s">
        <v>95</v>
      </c>
      <c r="Y260" s="7" t="s">
        <v>96</v>
      </c>
      <c r="Z260" s="7" t="s">
        <v>97</v>
      </c>
      <c r="AA260" s="7" t="b">
        <v>0</v>
      </c>
      <c r="AB260" s="7" t="b">
        <v>0</v>
      </c>
      <c r="AC260" s="11" t="s">
        <v>1331</v>
      </c>
      <c r="AD260" s="7">
        <v>76</v>
      </c>
      <c r="AE260" s="7" t="s">
        <v>98</v>
      </c>
      <c r="AI260" s="7" t="s">
        <v>99</v>
      </c>
      <c r="AJ260" s="7" t="s">
        <v>100</v>
      </c>
      <c r="AK260" s="7" t="s">
        <v>1267</v>
      </c>
      <c r="AL260" s="7" t="s">
        <v>100</v>
      </c>
      <c r="AM260" s="7" t="s">
        <v>100</v>
      </c>
      <c r="AN260" s="7" t="s">
        <v>102</v>
      </c>
      <c r="AP260" s="10" t="s">
        <v>1268</v>
      </c>
      <c r="AQ260" s="7" t="s">
        <v>104</v>
      </c>
      <c r="AR260" s="7" t="s">
        <v>105</v>
      </c>
      <c r="AS260" s="7" t="s">
        <v>106</v>
      </c>
      <c r="AT260" s="7" t="s">
        <v>107</v>
      </c>
      <c r="AU260" s="7" t="s">
        <v>107</v>
      </c>
      <c r="AX260" s="7" t="s">
        <v>108</v>
      </c>
      <c r="AY260" s="7" t="s">
        <v>109</v>
      </c>
      <c r="AZ260" s="7" t="s">
        <v>104</v>
      </c>
      <c r="BA260" s="7" t="s">
        <v>105</v>
      </c>
      <c r="BB260" s="7" t="s">
        <v>106</v>
      </c>
      <c r="BC260" s="7" t="s">
        <v>110</v>
      </c>
      <c r="BD260" s="7" t="s">
        <v>111</v>
      </c>
      <c r="BF260" s="7" t="s">
        <v>112</v>
      </c>
      <c r="BG260" s="7">
        <v>7922</v>
      </c>
      <c r="BH260" s="7" t="s">
        <v>113</v>
      </c>
      <c r="BO260" s="7">
        <v>16</v>
      </c>
      <c r="BR260" s="7" t="s">
        <v>104</v>
      </c>
      <c r="BS260" s="7" t="s">
        <v>114</v>
      </c>
      <c r="BT260" s="7" t="s">
        <v>115</v>
      </c>
      <c r="BU260" s="7" t="s">
        <v>116</v>
      </c>
      <c r="BV260" s="7" t="s">
        <v>111</v>
      </c>
      <c r="BW260" s="7" t="s">
        <v>117</v>
      </c>
    </row>
    <row r="261" spans="1:75" s="7" customFormat="1" x14ac:dyDescent="0.35">
      <c r="A261" s="7" t="s">
        <v>1269</v>
      </c>
      <c r="B261" s="8">
        <v>46002</v>
      </c>
      <c r="C261" s="9">
        <v>0.86700231481481482</v>
      </c>
      <c r="D261" s="7" t="s">
        <v>873</v>
      </c>
      <c r="E261" s="7" t="s">
        <v>874</v>
      </c>
      <c r="F261" s="11" t="s">
        <v>346</v>
      </c>
      <c r="G261" s="7">
        <f>COUNTIF($F$2:$F$278,F261)</f>
        <v>69</v>
      </c>
      <c r="H261" s="7" t="s">
        <v>347</v>
      </c>
      <c r="I261" s="7" t="s">
        <v>187</v>
      </c>
      <c r="J261" s="7" t="s">
        <v>83</v>
      </c>
      <c r="K261" s="7" t="s">
        <v>84</v>
      </c>
      <c r="M261" s="7" t="s">
        <v>85</v>
      </c>
      <c r="N261" s="7" t="s">
        <v>120</v>
      </c>
      <c r="O261" s="7" t="s">
        <v>87</v>
      </c>
      <c r="P261" s="7" t="s">
        <v>88</v>
      </c>
      <c r="Q261" s="7" t="s">
        <v>169</v>
      </c>
      <c r="R261" s="7" t="s">
        <v>170</v>
      </c>
      <c r="T261" s="7" t="s">
        <v>171</v>
      </c>
      <c r="U261" s="7" t="s">
        <v>93</v>
      </c>
      <c r="V261" s="7" t="s">
        <v>94</v>
      </c>
      <c r="W261" s="7" t="s">
        <v>875</v>
      </c>
      <c r="X261" s="7" t="s">
        <v>575</v>
      </c>
      <c r="Y261" s="7" t="s">
        <v>132</v>
      </c>
      <c r="Z261" s="7" t="s">
        <v>576</v>
      </c>
      <c r="AA261" s="7" t="b">
        <v>0</v>
      </c>
      <c r="AB261" s="7" t="b">
        <v>0</v>
      </c>
      <c r="AC261" s="7" t="s">
        <v>1331</v>
      </c>
      <c r="AD261" s="7">
        <v>93</v>
      </c>
      <c r="AE261" s="7" t="s">
        <v>153</v>
      </c>
      <c r="AI261" s="7" t="s">
        <v>876</v>
      </c>
      <c r="AJ261" s="7" t="s">
        <v>100</v>
      </c>
      <c r="AK261" s="7" t="s">
        <v>1270</v>
      </c>
      <c r="AL261" s="7" t="s">
        <v>100</v>
      </c>
      <c r="AM261" s="7" t="s">
        <v>100</v>
      </c>
      <c r="AN261" s="7" t="s">
        <v>102</v>
      </c>
      <c r="AP261" s="7" t="s">
        <v>1271</v>
      </c>
      <c r="AQ261" s="7" t="s">
        <v>104</v>
      </c>
      <c r="AR261" s="7" t="s">
        <v>197</v>
      </c>
      <c r="AS261" s="7" t="s">
        <v>356</v>
      </c>
      <c r="AT261" s="7" t="s">
        <v>199</v>
      </c>
      <c r="AU261" s="7" t="s">
        <v>199</v>
      </c>
      <c r="AX261" s="7" t="s">
        <v>200</v>
      </c>
      <c r="AY261" s="7" t="s">
        <v>357</v>
      </c>
      <c r="AZ261" s="7" t="s">
        <v>104</v>
      </c>
      <c r="BA261" s="7" t="s">
        <v>197</v>
      </c>
      <c r="BB261" s="7" t="s">
        <v>356</v>
      </c>
      <c r="BC261" s="7" t="s">
        <v>199</v>
      </c>
      <c r="BD261" s="7" t="s">
        <v>199</v>
      </c>
      <c r="BF261" s="7" t="s">
        <v>203</v>
      </c>
      <c r="BG261" s="7">
        <v>20115</v>
      </c>
      <c r="BH261" s="7" t="s">
        <v>358</v>
      </c>
      <c r="BO261" s="7">
        <v>9</v>
      </c>
      <c r="BR261" s="7" t="s">
        <v>104</v>
      </c>
      <c r="BS261" s="7" t="s">
        <v>205</v>
      </c>
      <c r="BT261" s="7" t="s">
        <v>356</v>
      </c>
      <c r="BU261" s="7" t="s">
        <v>207</v>
      </c>
      <c r="BV261" s="7" t="s">
        <v>208</v>
      </c>
      <c r="BW261" s="7" t="s">
        <v>209</v>
      </c>
    </row>
    <row r="262" spans="1:75" s="7" customFormat="1" x14ac:dyDescent="0.35">
      <c r="A262" s="7" t="s">
        <v>1269</v>
      </c>
      <c r="B262" s="8">
        <v>46002</v>
      </c>
      <c r="C262" s="9">
        <v>0.86700231481481482</v>
      </c>
      <c r="D262" s="7" t="s">
        <v>873</v>
      </c>
      <c r="E262" s="7" t="s">
        <v>874</v>
      </c>
      <c r="F262" s="11" t="s">
        <v>346</v>
      </c>
      <c r="G262" s="7">
        <f>COUNTIF($F$2:$F$278,F262)</f>
        <v>69</v>
      </c>
      <c r="H262" s="7" t="s">
        <v>347</v>
      </c>
      <c r="I262" s="7" t="s">
        <v>187</v>
      </c>
      <c r="J262" s="7" t="s">
        <v>83</v>
      </c>
      <c r="K262" s="7" t="s">
        <v>84</v>
      </c>
      <c r="M262" s="7" t="s">
        <v>85</v>
      </c>
      <c r="N262" s="7" t="s">
        <v>86</v>
      </c>
      <c r="O262" s="7" t="s">
        <v>84</v>
      </c>
      <c r="P262" s="7" t="s">
        <v>100</v>
      </c>
      <c r="Q262" s="7" t="s">
        <v>222</v>
      </c>
      <c r="R262" s="7" t="s">
        <v>223</v>
      </c>
      <c r="S262" s="7" t="s">
        <v>224</v>
      </c>
      <c r="T262" s="7" t="s">
        <v>225</v>
      </c>
      <c r="U262" s="7" t="s">
        <v>93</v>
      </c>
      <c r="V262" s="7" t="s">
        <v>94</v>
      </c>
      <c r="W262" s="7" t="s">
        <v>875</v>
      </c>
      <c r="X262" s="7" t="s">
        <v>575</v>
      </c>
      <c r="Y262" s="7" t="s">
        <v>132</v>
      </c>
      <c r="Z262" s="7" t="s">
        <v>576</v>
      </c>
      <c r="AA262" s="7" t="b">
        <v>0</v>
      </c>
      <c r="AB262" s="7" t="b">
        <v>0</v>
      </c>
      <c r="AC262" s="7" t="s">
        <v>1331</v>
      </c>
      <c r="AD262" s="7">
        <v>120</v>
      </c>
      <c r="AE262" s="7" t="s">
        <v>352</v>
      </c>
      <c r="AF262" s="7" t="s">
        <v>146</v>
      </c>
      <c r="AH262" s="7" t="s">
        <v>874</v>
      </c>
      <c r="AI262" s="7" t="s">
        <v>876</v>
      </c>
      <c r="AJ262" s="7" t="s">
        <v>100</v>
      </c>
      <c r="AK262" s="7" t="s">
        <v>1272</v>
      </c>
      <c r="AL262" s="7" t="s">
        <v>100</v>
      </c>
      <c r="AM262" s="7" t="s">
        <v>100</v>
      </c>
      <c r="AN262" s="7" t="s">
        <v>102</v>
      </c>
      <c r="AP262" s="7" t="s">
        <v>1271</v>
      </c>
      <c r="AQ262" s="7" t="s">
        <v>104</v>
      </c>
      <c r="AR262" s="7" t="s">
        <v>197</v>
      </c>
      <c r="AS262" s="7" t="s">
        <v>356</v>
      </c>
      <c r="AT262" s="7" t="s">
        <v>199</v>
      </c>
      <c r="AU262" s="7" t="s">
        <v>199</v>
      </c>
      <c r="AX262" s="7" t="s">
        <v>200</v>
      </c>
      <c r="AY262" s="7" t="s">
        <v>357</v>
      </c>
      <c r="AZ262" s="7" t="s">
        <v>104</v>
      </c>
      <c r="BA262" s="7" t="s">
        <v>197</v>
      </c>
      <c r="BB262" s="7" t="s">
        <v>356</v>
      </c>
      <c r="BC262" s="7" t="s">
        <v>199</v>
      </c>
      <c r="BD262" s="7" t="s">
        <v>199</v>
      </c>
      <c r="BF262" s="7" t="s">
        <v>203</v>
      </c>
      <c r="BG262" s="7">
        <v>20115</v>
      </c>
      <c r="BH262" s="7" t="s">
        <v>358</v>
      </c>
      <c r="BO262" s="7">
        <v>9</v>
      </c>
      <c r="BR262" s="7" t="s">
        <v>104</v>
      </c>
      <c r="BS262" s="7" t="s">
        <v>205</v>
      </c>
      <c r="BT262" s="7" t="s">
        <v>356</v>
      </c>
      <c r="BU262" s="7" t="s">
        <v>207</v>
      </c>
      <c r="BV262" s="7" t="s">
        <v>208</v>
      </c>
      <c r="BW262" s="7" t="s">
        <v>209</v>
      </c>
    </row>
    <row r="263" spans="1:75" s="7" customFormat="1" x14ac:dyDescent="0.35">
      <c r="A263" s="7" t="s">
        <v>1273</v>
      </c>
      <c r="B263" s="8">
        <v>46002</v>
      </c>
      <c r="C263" s="9">
        <v>0.86675925925925934</v>
      </c>
      <c r="D263" s="7" t="s">
        <v>873</v>
      </c>
      <c r="E263" s="7" t="s">
        <v>874</v>
      </c>
      <c r="F263" s="11" t="s">
        <v>346</v>
      </c>
      <c r="G263" s="7">
        <f>COUNTIF($F$2:$F$278,F263)</f>
        <v>69</v>
      </c>
      <c r="H263" s="7" t="s">
        <v>347</v>
      </c>
      <c r="I263" s="7" t="s">
        <v>187</v>
      </c>
      <c r="J263" s="7" t="s">
        <v>83</v>
      </c>
      <c r="K263" s="7" t="s">
        <v>84</v>
      </c>
      <c r="M263" s="7" t="s">
        <v>85</v>
      </c>
      <c r="N263" s="7" t="s">
        <v>120</v>
      </c>
      <c r="O263" s="7" t="s">
        <v>87</v>
      </c>
      <c r="P263" s="7" t="s">
        <v>88</v>
      </c>
      <c r="Q263" s="7" t="s">
        <v>89</v>
      </c>
      <c r="R263" s="7" t="s">
        <v>90</v>
      </c>
      <c r="S263" s="7" t="s">
        <v>91</v>
      </c>
      <c r="T263" s="7" t="s">
        <v>92</v>
      </c>
      <c r="U263" s="7" t="s">
        <v>93</v>
      </c>
      <c r="V263" s="7" t="s">
        <v>94</v>
      </c>
      <c r="W263" s="7" t="s">
        <v>875</v>
      </c>
      <c r="Y263" s="7" t="s">
        <v>96</v>
      </c>
      <c r="Z263" s="7" t="s">
        <v>97</v>
      </c>
      <c r="AA263" s="7" t="b">
        <v>0</v>
      </c>
      <c r="AB263" s="7" t="b">
        <v>0</v>
      </c>
      <c r="AC263" s="7" t="s">
        <v>1331</v>
      </c>
      <c r="AD263" s="7">
        <v>93</v>
      </c>
      <c r="AE263" s="7" t="s">
        <v>1274</v>
      </c>
      <c r="AI263" s="7" t="s">
        <v>876</v>
      </c>
      <c r="AJ263" s="7" t="s">
        <v>100</v>
      </c>
      <c r="AK263" s="7" t="s">
        <v>1275</v>
      </c>
      <c r="AL263" s="7" t="s">
        <v>100</v>
      </c>
      <c r="AM263" s="7" t="s">
        <v>100</v>
      </c>
      <c r="AN263" s="7" t="s">
        <v>102</v>
      </c>
      <c r="AP263" s="7" t="s">
        <v>1276</v>
      </c>
      <c r="AQ263" s="7" t="s">
        <v>104</v>
      </c>
      <c r="AR263" s="7" t="s">
        <v>197</v>
      </c>
      <c r="AS263" s="7" t="s">
        <v>356</v>
      </c>
      <c r="AT263" s="7" t="s">
        <v>199</v>
      </c>
      <c r="AU263" s="7" t="s">
        <v>199</v>
      </c>
      <c r="AX263" s="7" t="s">
        <v>200</v>
      </c>
      <c r="AY263" s="7" t="s">
        <v>357</v>
      </c>
      <c r="AZ263" s="7" t="s">
        <v>104</v>
      </c>
      <c r="BA263" s="7" t="s">
        <v>197</v>
      </c>
      <c r="BB263" s="7" t="s">
        <v>356</v>
      </c>
      <c r="BC263" s="7" t="s">
        <v>199</v>
      </c>
      <c r="BD263" s="7" t="s">
        <v>199</v>
      </c>
      <c r="BF263" s="7" t="s">
        <v>203</v>
      </c>
      <c r="BG263" s="7">
        <v>20115</v>
      </c>
      <c r="BH263" s="7" t="s">
        <v>358</v>
      </c>
      <c r="BO263" s="7">
        <v>9</v>
      </c>
      <c r="BR263" s="7" t="s">
        <v>104</v>
      </c>
      <c r="BS263" s="7" t="s">
        <v>205</v>
      </c>
      <c r="BT263" s="7" t="s">
        <v>356</v>
      </c>
      <c r="BU263" s="7" t="s">
        <v>207</v>
      </c>
      <c r="BV263" s="7" t="s">
        <v>208</v>
      </c>
      <c r="BW263" s="7" t="s">
        <v>209</v>
      </c>
    </row>
    <row r="264" spans="1:75" s="7" customFormat="1" x14ac:dyDescent="0.35">
      <c r="A264" s="7" t="s">
        <v>1277</v>
      </c>
      <c r="B264" s="8">
        <v>46002</v>
      </c>
      <c r="C264" s="9">
        <v>0.85412037037037036</v>
      </c>
      <c r="D264" s="7" t="s">
        <v>536</v>
      </c>
      <c r="E264" s="7" t="s">
        <v>537</v>
      </c>
      <c r="F264" s="11" t="s">
        <v>346</v>
      </c>
      <c r="G264" s="7">
        <f>COUNTIF($F$2:$F$278,F264)</f>
        <v>69</v>
      </c>
      <c r="H264" s="7" t="s">
        <v>347</v>
      </c>
      <c r="I264" s="7" t="s">
        <v>187</v>
      </c>
      <c r="J264" s="7" t="s">
        <v>83</v>
      </c>
      <c r="K264" s="7" t="s">
        <v>84</v>
      </c>
      <c r="M264" s="7" t="s">
        <v>85</v>
      </c>
      <c r="N264" s="7" t="s">
        <v>86</v>
      </c>
      <c r="O264" s="7" t="s">
        <v>87</v>
      </c>
      <c r="P264" s="7" t="s">
        <v>88</v>
      </c>
      <c r="Q264" s="7" t="s">
        <v>89</v>
      </c>
      <c r="R264" s="7" t="s">
        <v>90</v>
      </c>
      <c r="S264" s="7" t="s">
        <v>91</v>
      </c>
      <c r="T264" s="7" t="s">
        <v>92</v>
      </c>
      <c r="U264" s="7" t="s">
        <v>93</v>
      </c>
      <c r="V264" s="7" t="s">
        <v>94</v>
      </c>
      <c r="W264" s="7" t="s">
        <v>538</v>
      </c>
      <c r="Y264" s="7" t="s">
        <v>96</v>
      </c>
      <c r="Z264" s="7" t="s">
        <v>97</v>
      </c>
      <c r="AA264" s="7" t="b">
        <v>0</v>
      </c>
      <c r="AB264" s="7" t="b">
        <v>0</v>
      </c>
      <c r="AC264" s="7" t="s">
        <v>1331</v>
      </c>
      <c r="AD264" s="7">
        <v>137</v>
      </c>
      <c r="AE264" s="7" t="s">
        <v>98</v>
      </c>
      <c r="AI264" s="7" t="s">
        <v>539</v>
      </c>
      <c r="AJ264" s="7" t="s">
        <v>100</v>
      </c>
      <c r="AK264" s="7" t="s">
        <v>1278</v>
      </c>
      <c r="AL264" s="7" t="s">
        <v>100</v>
      </c>
      <c r="AM264" s="7" t="s">
        <v>100</v>
      </c>
      <c r="AN264" s="7" t="s">
        <v>102</v>
      </c>
      <c r="AP264" s="7" t="s">
        <v>1279</v>
      </c>
      <c r="AQ264" s="7" t="s">
        <v>104</v>
      </c>
      <c r="AR264" s="7" t="s">
        <v>197</v>
      </c>
      <c r="AS264" s="7" t="s">
        <v>356</v>
      </c>
      <c r="AT264" s="7" t="s">
        <v>199</v>
      </c>
      <c r="AU264" s="7" t="s">
        <v>199</v>
      </c>
      <c r="AX264" s="7" t="s">
        <v>200</v>
      </c>
      <c r="AY264" s="7" t="s">
        <v>357</v>
      </c>
      <c r="AZ264" s="7" t="s">
        <v>104</v>
      </c>
      <c r="BA264" s="7" t="s">
        <v>197</v>
      </c>
      <c r="BB264" s="7" t="s">
        <v>356</v>
      </c>
      <c r="BC264" s="7" t="s">
        <v>199</v>
      </c>
      <c r="BD264" s="7" t="s">
        <v>199</v>
      </c>
      <c r="BF264" s="7" t="s">
        <v>203</v>
      </c>
      <c r="BG264" s="7">
        <v>20115</v>
      </c>
      <c r="BH264" s="7" t="s">
        <v>358</v>
      </c>
      <c r="BO264" s="7">
        <v>9</v>
      </c>
      <c r="BR264" s="7" t="s">
        <v>104</v>
      </c>
      <c r="BS264" s="7" t="s">
        <v>205</v>
      </c>
      <c r="BT264" s="7" t="s">
        <v>356</v>
      </c>
      <c r="BU264" s="7" t="s">
        <v>207</v>
      </c>
      <c r="BV264" s="7" t="s">
        <v>208</v>
      </c>
      <c r="BW264" s="7" t="s">
        <v>209</v>
      </c>
    </row>
    <row r="265" spans="1:75" s="7" customFormat="1" x14ac:dyDescent="0.35">
      <c r="A265" s="7" t="s">
        <v>1280</v>
      </c>
      <c r="B265" s="8">
        <v>46002</v>
      </c>
      <c r="C265" s="9">
        <v>0.80517361111111108</v>
      </c>
      <c r="D265" s="7" t="s">
        <v>78</v>
      </c>
      <c r="E265" s="7" t="s">
        <v>79</v>
      </c>
      <c r="F265" s="7" t="s">
        <v>80</v>
      </c>
      <c r="G265" s="7">
        <f>COUNTIF($F$2:$F$278,F265)</f>
        <v>5</v>
      </c>
      <c r="H265" s="7" t="s">
        <v>81</v>
      </c>
      <c r="I265" s="7" t="s">
        <v>82</v>
      </c>
      <c r="J265" s="7" t="s">
        <v>83</v>
      </c>
      <c r="K265" s="7" t="s">
        <v>84</v>
      </c>
      <c r="M265" s="7" t="s">
        <v>85</v>
      </c>
      <c r="N265" s="7" t="s">
        <v>86</v>
      </c>
      <c r="O265" s="7" t="s">
        <v>84</v>
      </c>
      <c r="P265" s="7" t="s">
        <v>88</v>
      </c>
      <c r="Q265" s="7" t="s">
        <v>417</v>
      </c>
      <c r="R265" s="7" t="s">
        <v>418</v>
      </c>
      <c r="S265" s="7" t="s">
        <v>224</v>
      </c>
      <c r="T265" s="7" t="s">
        <v>225</v>
      </c>
      <c r="U265" s="7" t="s">
        <v>93</v>
      </c>
      <c r="V265" s="7" t="s">
        <v>22</v>
      </c>
      <c r="W265" s="7" t="s">
        <v>95</v>
      </c>
      <c r="X265" s="7" t="s">
        <v>131</v>
      </c>
      <c r="Y265" s="7" t="s">
        <v>132</v>
      </c>
      <c r="Z265" s="7" t="s">
        <v>419</v>
      </c>
      <c r="AA265" s="7" t="b">
        <v>0</v>
      </c>
      <c r="AB265" s="7" t="b">
        <v>0</v>
      </c>
      <c r="AC265" s="11" t="s">
        <v>1331</v>
      </c>
      <c r="AD265" s="7">
        <v>121</v>
      </c>
      <c r="AE265" s="7" t="s">
        <v>153</v>
      </c>
      <c r="AI265" s="7" t="s">
        <v>99</v>
      </c>
      <c r="AJ265" s="7" t="s">
        <v>100</v>
      </c>
      <c r="AK265" s="7" t="s">
        <v>1281</v>
      </c>
      <c r="AL265" s="7" t="s">
        <v>100</v>
      </c>
      <c r="AM265" s="7" t="s">
        <v>100</v>
      </c>
      <c r="AN265" s="7" t="s">
        <v>102</v>
      </c>
      <c r="AP265" s="7" t="s">
        <v>1282</v>
      </c>
      <c r="AQ265" s="7" t="s">
        <v>104</v>
      </c>
      <c r="AR265" s="7" t="s">
        <v>105</v>
      </c>
      <c r="AS265" s="7" t="s">
        <v>106</v>
      </c>
      <c r="AT265" s="7" t="s">
        <v>107</v>
      </c>
      <c r="AU265" s="7" t="s">
        <v>107</v>
      </c>
      <c r="AX265" s="7" t="s">
        <v>108</v>
      </c>
      <c r="AY265" s="7" t="s">
        <v>109</v>
      </c>
      <c r="AZ265" s="7" t="s">
        <v>104</v>
      </c>
      <c r="BA265" s="7" t="s">
        <v>105</v>
      </c>
      <c r="BB265" s="7" t="s">
        <v>106</v>
      </c>
      <c r="BC265" s="7" t="s">
        <v>110</v>
      </c>
      <c r="BD265" s="7" t="s">
        <v>111</v>
      </c>
      <c r="BF265" s="7" t="s">
        <v>112</v>
      </c>
      <c r="BG265" s="7">
        <v>7922</v>
      </c>
      <c r="BH265" s="7" t="s">
        <v>113</v>
      </c>
      <c r="BO265" s="7">
        <v>16</v>
      </c>
      <c r="BR265" s="7" t="s">
        <v>104</v>
      </c>
      <c r="BS265" s="7" t="s">
        <v>114</v>
      </c>
      <c r="BT265" s="7" t="s">
        <v>115</v>
      </c>
      <c r="BU265" s="7" t="s">
        <v>116</v>
      </c>
      <c r="BV265" s="7" t="s">
        <v>111</v>
      </c>
      <c r="BW265" s="7" t="s">
        <v>117</v>
      </c>
    </row>
    <row r="266" spans="1:75" s="7" customFormat="1" x14ac:dyDescent="0.35">
      <c r="A266" s="7" t="s">
        <v>1283</v>
      </c>
      <c r="B266" s="8">
        <v>46002</v>
      </c>
      <c r="C266" s="9">
        <v>0.8039236111111111</v>
      </c>
      <c r="D266" s="7" t="s">
        <v>78</v>
      </c>
      <c r="E266" s="7" t="s">
        <v>79</v>
      </c>
      <c r="F266" s="7" t="s">
        <v>1284</v>
      </c>
      <c r="G266" s="7">
        <f>COUNTIF($F$2:$F$278,F266)</f>
        <v>2</v>
      </c>
      <c r="H266" s="7" t="s">
        <v>81</v>
      </c>
      <c r="I266" s="7" t="s">
        <v>82</v>
      </c>
      <c r="J266" s="7" t="s">
        <v>83</v>
      </c>
      <c r="K266" s="7" t="s">
        <v>84</v>
      </c>
      <c r="M266" s="7" t="s">
        <v>85</v>
      </c>
      <c r="N266" s="7" t="s">
        <v>86</v>
      </c>
      <c r="O266" s="7" t="s">
        <v>84</v>
      </c>
      <c r="P266" s="7" t="s">
        <v>88</v>
      </c>
      <c r="Q266" s="7" t="s">
        <v>129</v>
      </c>
      <c r="R266" s="7" t="s">
        <v>130</v>
      </c>
      <c r="S266" s="7" t="s">
        <v>91</v>
      </c>
      <c r="T266" s="7" t="s">
        <v>92</v>
      </c>
      <c r="U266" s="7" t="s">
        <v>93</v>
      </c>
      <c r="V266" s="7" t="s">
        <v>22</v>
      </c>
      <c r="W266" s="7" t="s">
        <v>95</v>
      </c>
      <c r="X266" s="7" t="s">
        <v>131</v>
      </c>
      <c r="Y266" s="7" t="s">
        <v>132</v>
      </c>
      <c r="Z266" s="7" t="s">
        <v>133</v>
      </c>
      <c r="AA266" s="7" t="b">
        <v>0</v>
      </c>
      <c r="AB266" s="7" t="b">
        <v>0</v>
      </c>
      <c r="AC266" s="11" t="s">
        <v>1331</v>
      </c>
      <c r="AD266" s="7">
        <v>121</v>
      </c>
      <c r="AE266" s="7" t="s">
        <v>134</v>
      </c>
      <c r="AH266" s="7" t="s">
        <v>79</v>
      </c>
      <c r="AI266" s="7" t="s">
        <v>99</v>
      </c>
      <c r="AJ266" s="7" t="s">
        <v>100</v>
      </c>
      <c r="AK266" s="7" t="s">
        <v>1285</v>
      </c>
      <c r="AL266" s="7" t="s">
        <v>100</v>
      </c>
      <c r="AM266" s="7" t="s">
        <v>100</v>
      </c>
      <c r="AN266" s="7" t="s">
        <v>124</v>
      </c>
      <c r="AO266" s="7">
        <v>1008</v>
      </c>
      <c r="AP266" s="7" t="s">
        <v>1286</v>
      </c>
      <c r="AQ266" s="7" t="s">
        <v>104</v>
      </c>
      <c r="AR266" s="7" t="s">
        <v>105</v>
      </c>
      <c r="AS266" s="7" t="s">
        <v>137</v>
      </c>
      <c r="AT266" s="7" t="s">
        <v>107</v>
      </c>
      <c r="AU266" s="7" t="s">
        <v>107</v>
      </c>
      <c r="AX266" s="7" t="s">
        <v>108</v>
      </c>
      <c r="AY266" s="7" t="s">
        <v>138</v>
      </c>
      <c r="AZ266" s="7" t="s">
        <v>104</v>
      </c>
      <c r="BA266" s="7" t="s">
        <v>105</v>
      </c>
      <c r="BB266" s="7" t="s">
        <v>139</v>
      </c>
      <c r="BC266" s="7" t="s">
        <v>110</v>
      </c>
      <c r="BD266" s="7" t="s">
        <v>110</v>
      </c>
      <c r="BF266" s="7" t="s">
        <v>112</v>
      </c>
      <c r="BG266" s="7">
        <v>7922</v>
      </c>
      <c r="BH266" s="7" t="s">
        <v>140</v>
      </c>
      <c r="BO266" s="7">
        <v>5</v>
      </c>
      <c r="BR266" s="7" t="s">
        <v>104</v>
      </c>
      <c r="BS266" s="7" t="s">
        <v>141</v>
      </c>
      <c r="BT266" s="7" t="s">
        <v>106</v>
      </c>
      <c r="BU266" s="7" t="s">
        <v>110</v>
      </c>
      <c r="BV266" s="7" t="s">
        <v>110</v>
      </c>
      <c r="BW266" s="7" t="s">
        <v>117</v>
      </c>
    </row>
    <row r="267" spans="1:75" s="7" customFormat="1" x14ac:dyDescent="0.35">
      <c r="A267" s="7" t="s">
        <v>1287</v>
      </c>
      <c r="B267" s="8">
        <v>46002</v>
      </c>
      <c r="C267" s="9">
        <v>0.80387731481481473</v>
      </c>
      <c r="D267" s="7" t="s">
        <v>78</v>
      </c>
      <c r="E267" s="7" t="s">
        <v>79</v>
      </c>
      <c r="F267" s="7" t="s">
        <v>1284</v>
      </c>
      <c r="G267" s="7">
        <f>COUNTIF($F$2:$F$278,F267)</f>
        <v>2</v>
      </c>
      <c r="H267" s="7" t="s">
        <v>81</v>
      </c>
      <c r="I267" s="7" t="s">
        <v>82</v>
      </c>
      <c r="J267" s="7" t="s">
        <v>83</v>
      </c>
      <c r="K267" s="7" t="s">
        <v>143</v>
      </c>
      <c r="L267" s="7">
        <v>50140</v>
      </c>
      <c r="M267" s="7" t="s">
        <v>85</v>
      </c>
      <c r="N267" s="7" t="s">
        <v>86</v>
      </c>
      <c r="O267" s="7" t="s">
        <v>84</v>
      </c>
      <c r="P267" s="7" t="s">
        <v>100</v>
      </c>
      <c r="Q267" s="7" t="s">
        <v>129</v>
      </c>
      <c r="R267" s="7" t="s">
        <v>130</v>
      </c>
      <c r="S267" s="7" t="s">
        <v>91</v>
      </c>
      <c r="T267" s="7" t="s">
        <v>92</v>
      </c>
      <c r="U267" s="7" t="s">
        <v>144</v>
      </c>
      <c r="V267" s="7" t="s">
        <v>22</v>
      </c>
      <c r="W267" s="7" t="s">
        <v>95</v>
      </c>
      <c r="X267" s="7" t="s">
        <v>131</v>
      </c>
      <c r="Y267" s="7" t="s">
        <v>132</v>
      </c>
      <c r="Z267" s="7" t="s">
        <v>133</v>
      </c>
      <c r="AA267" s="7" t="b">
        <v>0</v>
      </c>
      <c r="AB267" s="7" t="b">
        <v>0</v>
      </c>
      <c r="AC267" s="11" t="s">
        <v>1331</v>
      </c>
      <c r="AD267" s="7">
        <v>103</v>
      </c>
      <c r="AE267" s="7" t="s">
        <v>145</v>
      </c>
      <c r="AH267" s="7" t="s">
        <v>79</v>
      </c>
      <c r="AI267" s="7" t="s">
        <v>1288</v>
      </c>
      <c r="AJ267" s="7" t="s">
        <v>100</v>
      </c>
      <c r="AK267" s="7" t="s">
        <v>1289</v>
      </c>
      <c r="AL267" s="7" t="s">
        <v>100</v>
      </c>
      <c r="AM267" s="7" t="s">
        <v>100</v>
      </c>
      <c r="AN267" s="7" t="s">
        <v>124</v>
      </c>
      <c r="AO267" s="7">
        <v>1008</v>
      </c>
      <c r="AP267" s="7" t="s">
        <v>1286</v>
      </c>
      <c r="AQ267" s="7" t="s">
        <v>104</v>
      </c>
      <c r="AR267" s="7" t="s">
        <v>105</v>
      </c>
      <c r="AS267" s="7" t="s">
        <v>137</v>
      </c>
      <c r="AT267" s="7" t="s">
        <v>107</v>
      </c>
      <c r="AU267" s="7" t="s">
        <v>107</v>
      </c>
      <c r="AX267" s="7" t="s">
        <v>108</v>
      </c>
      <c r="AY267" s="7" t="s">
        <v>138</v>
      </c>
      <c r="AZ267" s="7" t="s">
        <v>104</v>
      </c>
      <c r="BA267" s="7" t="s">
        <v>105</v>
      </c>
      <c r="BB267" s="7" t="s">
        <v>139</v>
      </c>
      <c r="BC267" s="7" t="s">
        <v>110</v>
      </c>
      <c r="BD267" s="7" t="s">
        <v>110</v>
      </c>
      <c r="BF267" s="7" t="s">
        <v>112</v>
      </c>
      <c r="BG267" s="7">
        <v>7922</v>
      </c>
      <c r="BH267" s="7" t="s">
        <v>140</v>
      </c>
      <c r="BO267" s="7">
        <v>5</v>
      </c>
      <c r="BR267" s="7" t="s">
        <v>104</v>
      </c>
      <c r="BS267" s="7" t="s">
        <v>141</v>
      </c>
      <c r="BT267" s="7" t="s">
        <v>106</v>
      </c>
      <c r="BU267" s="7" t="s">
        <v>110</v>
      </c>
      <c r="BV267" s="7" t="s">
        <v>110</v>
      </c>
      <c r="BW267" s="7" t="s">
        <v>117</v>
      </c>
    </row>
    <row r="268" spans="1:75" s="7" customFormat="1" x14ac:dyDescent="0.35">
      <c r="A268" s="7" t="s">
        <v>1290</v>
      </c>
      <c r="B268" s="8">
        <v>46002</v>
      </c>
      <c r="C268" s="9">
        <v>0.67787037037037035</v>
      </c>
      <c r="D268" s="7" t="s">
        <v>78</v>
      </c>
      <c r="E268" s="7" t="s">
        <v>79</v>
      </c>
      <c r="F268" s="7" t="s">
        <v>1291</v>
      </c>
      <c r="G268" s="7">
        <f>COUNTIF($F$2:$F$278,F268)</f>
        <v>1</v>
      </c>
      <c r="H268" s="7" t="s">
        <v>81</v>
      </c>
      <c r="I268" s="7" t="s">
        <v>82</v>
      </c>
      <c r="J268" s="7" t="s">
        <v>83</v>
      </c>
      <c r="K268" s="7" t="s">
        <v>84</v>
      </c>
      <c r="M268" s="7" t="s">
        <v>85</v>
      </c>
      <c r="N268" s="7" t="s">
        <v>86</v>
      </c>
      <c r="O268" s="7" t="s">
        <v>87</v>
      </c>
      <c r="P268" s="7" t="s">
        <v>88</v>
      </c>
      <c r="Q268" s="7" t="s">
        <v>89</v>
      </c>
      <c r="R268" s="7" t="s">
        <v>90</v>
      </c>
      <c r="S268" s="7" t="s">
        <v>91</v>
      </c>
      <c r="T268" s="7" t="s">
        <v>92</v>
      </c>
      <c r="U268" s="7" t="s">
        <v>93</v>
      </c>
      <c r="V268" s="7" t="s">
        <v>94</v>
      </c>
      <c r="W268" s="7" t="s">
        <v>95</v>
      </c>
      <c r="Y268" s="7" t="s">
        <v>96</v>
      </c>
      <c r="Z268" s="7" t="s">
        <v>97</v>
      </c>
      <c r="AA268" s="7" t="b">
        <v>0</v>
      </c>
      <c r="AB268" s="7" t="b">
        <v>0</v>
      </c>
      <c r="AC268" s="11" t="s">
        <v>1331</v>
      </c>
      <c r="AD268" s="7">
        <v>85</v>
      </c>
      <c r="AE268" s="7" t="s">
        <v>98</v>
      </c>
      <c r="AI268" s="7" t="s">
        <v>99</v>
      </c>
      <c r="AJ268" s="7" t="s">
        <v>100</v>
      </c>
      <c r="AK268" s="7" t="s">
        <v>1292</v>
      </c>
      <c r="AL268" s="7" t="s">
        <v>100</v>
      </c>
      <c r="AM268" s="7" t="s">
        <v>100</v>
      </c>
      <c r="AN268" s="7" t="s">
        <v>102</v>
      </c>
      <c r="AP268" s="7" t="s">
        <v>1293</v>
      </c>
      <c r="AQ268" s="7" t="s">
        <v>104</v>
      </c>
      <c r="AR268" s="7" t="s">
        <v>105</v>
      </c>
      <c r="AS268" s="7" t="s">
        <v>137</v>
      </c>
      <c r="AT268" s="7" t="s">
        <v>107</v>
      </c>
      <c r="AU268" s="7" t="s">
        <v>107</v>
      </c>
      <c r="AX268" s="7" t="s">
        <v>108</v>
      </c>
      <c r="AY268" s="7" t="s">
        <v>138</v>
      </c>
      <c r="AZ268" s="7" t="s">
        <v>104</v>
      </c>
      <c r="BA268" s="7" t="s">
        <v>105</v>
      </c>
      <c r="BB268" s="7" t="s">
        <v>139</v>
      </c>
      <c r="BC268" s="7" t="s">
        <v>110</v>
      </c>
      <c r="BD268" s="7" t="s">
        <v>110</v>
      </c>
      <c r="BF268" s="7" t="s">
        <v>112</v>
      </c>
      <c r="BG268" s="7">
        <v>7922</v>
      </c>
      <c r="BH268" s="7" t="s">
        <v>140</v>
      </c>
      <c r="BO268" s="7">
        <v>5</v>
      </c>
      <c r="BR268" s="7" t="s">
        <v>104</v>
      </c>
      <c r="BS268" s="7" t="s">
        <v>141</v>
      </c>
      <c r="BT268" s="7" t="s">
        <v>106</v>
      </c>
      <c r="BU268" s="7" t="s">
        <v>110</v>
      </c>
      <c r="BV268" s="7" t="s">
        <v>110</v>
      </c>
      <c r="BW268" s="7" t="s">
        <v>117</v>
      </c>
    </row>
    <row r="269" spans="1:75" s="7" customFormat="1" x14ac:dyDescent="0.35">
      <c r="A269" s="7" t="s">
        <v>1294</v>
      </c>
      <c r="B269" s="8">
        <v>46002</v>
      </c>
      <c r="C269" s="9">
        <v>0.58402777777777781</v>
      </c>
      <c r="D269" s="7" t="s">
        <v>543</v>
      </c>
      <c r="E269" s="7" t="s">
        <v>544</v>
      </c>
      <c r="F269" s="11" t="s">
        <v>346</v>
      </c>
      <c r="G269" s="7">
        <f>COUNTIF($F$2:$F$278,F269)</f>
        <v>69</v>
      </c>
      <c r="H269" s="7" t="s">
        <v>347</v>
      </c>
      <c r="I269" s="7" t="s">
        <v>187</v>
      </c>
      <c r="J269" s="7" t="s">
        <v>83</v>
      </c>
      <c r="K269" s="7" t="s">
        <v>84</v>
      </c>
      <c r="M269" s="7" t="s">
        <v>85</v>
      </c>
      <c r="N269" s="7" t="s">
        <v>86</v>
      </c>
      <c r="O269" s="7" t="s">
        <v>87</v>
      </c>
      <c r="P269" s="7" t="s">
        <v>88</v>
      </c>
      <c r="Q269" s="7" t="s">
        <v>89</v>
      </c>
      <c r="R269" s="7" t="s">
        <v>90</v>
      </c>
      <c r="S269" s="7" t="s">
        <v>91</v>
      </c>
      <c r="T269" s="7" t="s">
        <v>92</v>
      </c>
      <c r="U269" s="7" t="s">
        <v>93</v>
      </c>
      <c r="V269" s="7" t="s">
        <v>94</v>
      </c>
      <c r="W269" s="7" t="s">
        <v>868</v>
      </c>
      <c r="Y269" s="7" t="s">
        <v>96</v>
      </c>
      <c r="Z269" s="7" t="s">
        <v>97</v>
      </c>
      <c r="AA269" s="7" t="b">
        <v>0</v>
      </c>
      <c r="AB269" s="7" t="b">
        <v>0</v>
      </c>
      <c r="AC269" s="7" t="s">
        <v>1331</v>
      </c>
      <c r="AD269" s="7">
        <v>174</v>
      </c>
      <c r="AE269" s="7" t="s">
        <v>98</v>
      </c>
      <c r="AI269" s="7" t="s">
        <v>869</v>
      </c>
      <c r="AJ269" s="7" t="s">
        <v>100</v>
      </c>
      <c r="AK269" s="7" t="s">
        <v>1295</v>
      </c>
      <c r="AL269" s="7" t="s">
        <v>100</v>
      </c>
      <c r="AM269" s="7" t="s">
        <v>100</v>
      </c>
      <c r="AN269" s="7" t="s">
        <v>102</v>
      </c>
      <c r="AP269" s="7" t="s">
        <v>1296</v>
      </c>
      <c r="AQ269" s="7" t="s">
        <v>104</v>
      </c>
      <c r="AR269" s="7" t="s">
        <v>197</v>
      </c>
      <c r="AS269" s="7" t="s">
        <v>356</v>
      </c>
      <c r="AT269" s="7" t="s">
        <v>199</v>
      </c>
      <c r="AU269" s="7" t="s">
        <v>199</v>
      </c>
      <c r="AX269" s="7" t="s">
        <v>200</v>
      </c>
      <c r="AY269" s="7" t="s">
        <v>357</v>
      </c>
      <c r="AZ269" s="7" t="s">
        <v>104</v>
      </c>
      <c r="BA269" s="7" t="s">
        <v>197</v>
      </c>
      <c r="BB269" s="7" t="s">
        <v>356</v>
      </c>
      <c r="BC269" s="7" t="s">
        <v>199</v>
      </c>
      <c r="BD269" s="7" t="s">
        <v>199</v>
      </c>
      <c r="BF269" s="7" t="s">
        <v>203</v>
      </c>
      <c r="BG269" s="7">
        <v>20115</v>
      </c>
      <c r="BH269" s="7" t="s">
        <v>358</v>
      </c>
      <c r="BO269" s="7">
        <v>9</v>
      </c>
      <c r="BR269" s="7" t="s">
        <v>104</v>
      </c>
      <c r="BS269" s="7" t="s">
        <v>205</v>
      </c>
      <c r="BT269" s="7" t="s">
        <v>356</v>
      </c>
      <c r="BU269" s="7" t="s">
        <v>207</v>
      </c>
      <c r="BV269" s="7" t="s">
        <v>208</v>
      </c>
      <c r="BW269" s="7" t="s">
        <v>209</v>
      </c>
    </row>
    <row r="270" spans="1:75" s="7" customFormat="1" x14ac:dyDescent="0.35">
      <c r="A270" s="7" t="s">
        <v>1297</v>
      </c>
      <c r="B270" s="8">
        <v>46002</v>
      </c>
      <c r="C270" s="9">
        <v>0.54390046296296302</v>
      </c>
      <c r="D270" s="7" t="s">
        <v>271</v>
      </c>
      <c r="E270" s="7" t="s">
        <v>272</v>
      </c>
      <c r="F270" s="7" t="s">
        <v>273</v>
      </c>
      <c r="G270" s="7">
        <f>COUNTIF($F$2:$F$278,F270)</f>
        <v>13</v>
      </c>
      <c r="H270" s="7" t="s">
        <v>274</v>
      </c>
      <c r="I270" s="7" t="s">
        <v>275</v>
      </c>
      <c r="J270" s="7" t="s">
        <v>83</v>
      </c>
      <c r="K270" s="7" t="s">
        <v>119</v>
      </c>
      <c r="L270" s="7">
        <v>50057</v>
      </c>
      <c r="M270" s="7" t="s">
        <v>85</v>
      </c>
      <c r="N270" s="7" t="s">
        <v>120</v>
      </c>
      <c r="O270" s="7" t="s">
        <v>87</v>
      </c>
      <c r="P270" s="7" t="s">
        <v>100</v>
      </c>
      <c r="Q270" s="7" t="s">
        <v>89</v>
      </c>
      <c r="R270" s="7" t="s">
        <v>90</v>
      </c>
      <c r="S270" s="7" t="s">
        <v>91</v>
      </c>
      <c r="T270" s="7" t="s">
        <v>92</v>
      </c>
      <c r="U270" s="7" t="s">
        <v>276</v>
      </c>
      <c r="V270" s="7" t="s">
        <v>94</v>
      </c>
      <c r="W270" s="7" t="s">
        <v>277</v>
      </c>
      <c r="Y270" s="7" t="s">
        <v>96</v>
      </c>
      <c r="Z270" s="7" t="s">
        <v>97</v>
      </c>
      <c r="AA270" s="7" t="b">
        <v>0</v>
      </c>
      <c r="AB270" s="7" t="b">
        <v>0</v>
      </c>
      <c r="AC270" s="11" t="s">
        <v>1331</v>
      </c>
      <c r="AD270" s="7">
        <v>54</v>
      </c>
      <c r="AE270" s="7" t="s">
        <v>278</v>
      </c>
      <c r="AJ270" s="7" t="s">
        <v>100</v>
      </c>
      <c r="AK270" s="7" t="s">
        <v>1298</v>
      </c>
      <c r="AL270" s="7" t="s">
        <v>100</v>
      </c>
      <c r="AM270" s="7" t="s">
        <v>100</v>
      </c>
      <c r="AN270" s="7" t="s">
        <v>124</v>
      </c>
      <c r="AP270" s="7" t="s">
        <v>1299</v>
      </c>
      <c r="AQ270" s="7" t="s">
        <v>104</v>
      </c>
      <c r="AR270" s="7" t="s">
        <v>281</v>
      </c>
      <c r="AS270" s="7" t="s">
        <v>282</v>
      </c>
      <c r="AT270" s="7" t="s">
        <v>283</v>
      </c>
      <c r="AU270" s="7" t="s">
        <v>283</v>
      </c>
      <c r="AX270" s="7" t="s">
        <v>284</v>
      </c>
      <c r="AY270" s="7" t="s">
        <v>285</v>
      </c>
      <c r="AZ270" s="7" t="s">
        <v>104</v>
      </c>
      <c r="BA270" s="7" t="s">
        <v>281</v>
      </c>
      <c r="BB270" s="7" t="s">
        <v>282</v>
      </c>
      <c r="BC270" s="7" t="s">
        <v>283</v>
      </c>
      <c r="BD270" s="7" t="s">
        <v>283</v>
      </c>
      <c r="BF270" s="7" t="s">
        <v>112</v>
      </c>
      <c r="BG270" s="7">
        <v>23465</v>
      </c>
      <c r="BH270" s="7" t="s">
        <v>286</v>
      </c>
      <c r="BO270" s="7">
        <v>7</v>
      </c>
      <c r="BR270" s="7" t="s">
        <v>104</v>
      </c>
      <c r="BS270" s="7" t="s">
        <v>287</v>
      </c>
      <c r="BT270" s="7" t="s">
        <v>288</v>
      </c>
      <c r="BU270" s="7" t="s">
        <v>283</v>
      </c>
      <c r="BV270" s="7" t="s">
        <v>283</v>
      </c>
      <c r="BW270" s="7" t="s">
        <v>209</v>
      </c>
    </row>
    <row r="271" spans="1:75" s="7" customFormat="1" x14ac:dyDescent="0.35">
      <c r="A271" s="7" t="s">
        <v>1300</v>
      </c>
      <c r="B271" s="8">
        <v>46002</v>
      </c>
      <c r="C271" s="9">
        <v>0.50824074074074077</v>
      </c>
      <c r="D271" s="7" t="s">
        <v>873</v>
      </c>
      <c r="E271" s="7" t="s">
        <v>874</v>
      </c>
      <c r="F271" s="11" t="s">
        <v>346</v>
      </c>
      <c r="G271" s="7">
        <f>COUNTIF($F$2:$F$278,F271)</f>
        <v>69</v>
      </c>
      <c r="H271" s="7" t="s">
        <v>347</v>
      </c>
      <c r="I271" s="7" t="s">
        <v>187</v>
      </c>
      <c r="J271" s="7" t="s">
        <v>83</v>
      </c>
      <c r="K271" s="7" t="s">
        <v>84</v>
      </c>
      <c r="M271" s="7" t="s">
        <v>85</v>
      </c>
      <c r="N271" s="7" t="s">
        <v>120</v>
      </c>
      <c r="O271" s="7" t="s">
        <v>87</v>
      </c>
      <c r="P271" s="7" t="s">
        <v>88</v>
      </c>
      <c r="Q271" s="7" t="s">
        <v>89</v>
      </c>
      <c r="R271" s="7" t="s">
        <v>90</v>
      </c>
      <c r="S271" s="7" t="s">
        <v>91</v>
      </c>
      <c r="T271" s="7" t="s">
        <v>92</v>
      </c>
      <c r="U271" s="7" t="s">
        <v>93</v>
      </c>
      <c r="V271" s="7" t="s">
        <v>94</v>
      </c>
      <c r="W271" s="7" t="s">
        <v>875</v>
      </c>
      <c r="Y271" s="7" t="s">
        <v>96</v>
      </c>
      <c r="Z271" s="7" t="s">
        <v>97</v>
      </c>
      <c r="AA271" s="7" t="b">
        <v>0</v>
      </c>
      <c r="AB271" s="7" t="b">
        <v>0</v>
      </c>
      <c r="AC271" s="7" t="s">
        <v>1331</v>
      </c>
      <c r="AD271" s="7">
        <v>67</v>
      </c>
      <c r="AE271" s="7" t="s">
        <v>153</v>
      </c>
      <c r="AI271" s="7" t="s">
        <v>876</v>
      </c>
      <c r="AJ271" s="7" t="s">
        <v>100</v>
      </c>
      <c r="AK271" s="7" t="s">
        <v>1301</v>
      </c>
      <c r="AL271" s="7" t="s">
        <v>100</v>
      </c>
      <c r="AM271" s="7" t="s">
        <v>100</v>
      </c>
      <c r="AN271" s="7" t="s">
        <v>102</v>
      </c>
      <c r="AP271" s="7" t="s">
        <v>1302</v>
      </c>
      <c r="AQ271" s="7" t="s">
        <v>104</v>
      </c>
      <c r="AR271" s="7" t="s">
        <v>197</v>
      </c>
      <c r="AS271" s="7" t="s">
        <v>356</v>
      </c>
      <c r="AT271" s="7" t="s">
        <v>199</v>
      </c>
      <c r="AU271" s="7" t="s">
        <v>199</v>
      </c>
      <c r="AX271" s="7" t="s">
        <v>200</v>
      </c>
      <c r="AY271" s="7" t="s">
        <v>357</v>
      </c>
      <c r="AZ271" s="7" t="s">
        <v>104</v>
      </c>
      <c r="BA271" s="7" t="s">
        <v>197</v>
      </c>
      <c r="BB271" s="7" t="s">
        <v>356</v>
      </c>
      <c r="BC271" s="7" t="s">
        <v>199</v>
      </c>
      <c r="BD271" s="7" t="s">
        <v>199</v>
      </c>
      <c r="BF271" s="7" t="s">
        <v>203</v>
      </c>
      <c r="BG271" s="7">
        <v>20115</v>
      </c>
      <c r="BH271" s="7" t="s">
        <v>358</v>
      </c>
      <c r="BO271" s="7">
        <v>9</v>
      </c>
      <c r="BR271" s="7" t="s">
        <v>104</v>
      </c>
      <c r="BS271" s="7" t="s">
        <v>205</v>
      </c>
      <c r="BT271" s="7" t="s">
        <v>356</v>
      </c>
      <c r="BU271" s="7" t="s">
        <v>207</v>
      </c>
      <c r="BV271" s="7" t="s">
        <v>208</v>
      </c>
      <c r="BW271" s="7" t="s">
        <v>209</v>
      </c>
    </row>
    <row r="272" spans="1:75" s="7" customFormat="1" x14ac:dyDescent="0.35">
      <c r="A272" s="7" t="s">
        <v>1303</v>
      </c>
      <c r="B272" s="8">
        <v>46002</v>
      </c>
      <c r="C272" s="9">
        <v>0.49364583333333334</v>
      </c>
      <c r="D272" s="7" t="s">
        <v>536</v>
      </c>
      <c r="E272" s="7" t="s">
        <v>537</v>
      </c>
      <c r="F272" s="11" t="s">
        <v>346</v>
      </c>
      <c r="G272" s="7">
        <f>COUNTIF($F$2:$F$278,F272)</f>
        <v>69</v>
      </c>
      <c r="H272" s="7" t="s">
        <v>347</v>
      </c>
      <c r="I272" s="7" t="s">
        <v>187</v>
      </c>
      <c r="J272" s="7" t="s">
        <v>83</v>
      </c>
      <c r="K272" s="7" t="s">
        <v>84</v>
      </c>
      <c r="M272" s="7" t="s">
        <v>85</v>
      </c>
      <c r="N272" s="7" t="s">
        <v>86</v>
      </c>
      <c r="O272" s="7" t="s">
        <v>87</v>
      </c>
      <c r="P272" s="7" t="s">
        <v>88</v>
      </c>
      <c r="Q272" s="7" t="s">
        <v>89</v>
      </c>
      <c r="R272" s="7" t="s">
        <v>90</v>
      </c>
      <c r="S272" s="7" t="s">
        <v>91</v>
      </c>
      <c r="T272" s="7" t="s">
        <v>92</v>
      </c>
      <c r="U272" s="7" t="s">
        <v>93</v>
      </c>
      <c r="V272" s="7" t="s">
        <v>94</v>
      </c>
      <c r="W272" s="7" t="s">
        <v>538</v>
      </c>
      <c r="Y272" s="7" t="s">
        <v>96</v>
      </c>
      <c r="Z272" s="7" t="s">
        <v>97</v>
      </c>
      <c r="AA272" s="7" t="b">
        <v>0</v>
      </c>
      <c r="AB272" s="7" t="b">
        <v>0</v>
      </c>
      <c r="AC272" s="7" t="s">
        <v>1331</v>
      </c>
      <c r="AD272" s="7">
        <v>76</v>
      </c>
      <c r="AE272" s="7" t="s">
        <v>98</v>
      </c>
      <c r="AI272" s="7" t="s">
        <v>539</v>
      </c>
      <c r="AJ272" s="7" t="s">
        <v>100</v>
      </c>
      <c r="AK272" s="7" t="s">
        <v>1304</v>
      </c>
      <c r="AL272" s="7" t="s">
        <v>100</v>
      </c>
      <c r="AM272" s="7" t="s">
        <v>100</v>
      </c>
      <c r="AN272" s="7" t="s">
        <v>102</v>
      </c>
      <c r="AP272" s="7" t="s">
        <v>1305</v>
      </c>
      <c r="AQ272" s="7" t="s">
        <v>104</v>
      </c>
      <c r="AR272" s="7" t="s">
        <v>197</v>
      </c>
      <c r="AS272" s="7" t="s">
        <v>356</v>
      </c>
      <c r="AT272" s="7" t="s">
        <v>199</v>
      </c>
      <c r="AU272" s="7" t="s">
        <v>199</v>
      </c>
      <c r="AX272" s="7" t="s">
        <v>200</v>
      </c>
      <c r="AY272" s="7" t="s">
        <v>357</v>
      </c>
      <c r="AZ272" s="7" t="s">
        <v>104</v>
      </c>
      <c r="BA272" s="7" t="s">
        <v>197</v>
      </c>
      <c r="BB272" s="7" t="s">
        <v>356</v>
      </c>
      <c r="BC272" s="7" t="s">
        <v>199</v>
      </c>
      <c r="BD272" s="7" t="s">
        <v>199</v>
      </c>
      <c r="BF272" s="7" t="s">
        <v>203</v>
      </c>
      <c r="BG272" s="7">
        <v>20115</v>
      </c>
      <c r="BH272" s="7" t="s">
        <v>358</v>
      </c>
      <c r="BO272" s="7">
        <v>9</v>
      </c>
      <c r="BR272" s="7" t="s">
        <v>104</v>
      </c>
      <c r="BS272" s="7" t="s">
        <v>205</v>
      </c>
      <c r="BT272" s="7" t="s">
        <v>356</v>
      </c>
      <c r="BU272" s="7" t="s">
        <v>207</v>
      </c>
      <c r="BV272" s="7" t="s">
        <v>208</v>
      </c>
      <c r="BW272" s="7" t="s">
        <v>209</v>
      </c>
    </row>
    <row r="273" spans="1:75" s="7" customFormat="1" x14ac:dyDescent="0.35">
      <c r="A273" s="7" t="s">
        <v>1306</v>
      </c>
      <c r="B273" s="8">
        <v>46002</v>
      </c>
      <c r="C273" s="9">
        <v>9.4108796296296301E-2</v>
      </c>
      <c r="D273" s="7" t="s">
        <v>78</v>
      </c>
      <c r="E273" s="7" t="s">
        <v>79</v>
      </c>
      <c r="F273" s="7" t="s">
        <v>1307</v>
      </c>
      <c r="G273" s="7">
        <f>COUNTIF($F$2:$F$278,F273)</f>
        <v>2</v>
      </c>
      <c r="H273" s="7" t="s">
        <v>81</v>
      </c>
      <c r="I273" s="7" t="s">
        <v>82</v>
      </c>
      <c r="J273" s="7" t="s">
        <v>83</v>
      </c>
      <c r="K273" s="7" t="s">
        <v>84</v>
      </c>
      <c r="M273" s="7" t="s">
        <v>85</v>
      </c>
      <c r="N273" s="7" t="s">
        <v>86</v>
      </c>
      <c r="O273" s="7" t="s">
        <v>84</v>
      </c>
      <c r="P273" s="7" t="s">
        <v>88</v>
      </c>
      <c r="Q273" s="7" t="s">
        <v>417</v>
      </c>
      <c r="R273" s="7" t="s">
        <v>418</v>
      </c>
      <c r="S273" s="7" t="s">
        <v>224</v>
      </c>
      <c r="T273" s="7" t="s">
        <v>225</v>
      </c>
      <c r="U273" s="7" t="s">
        <v>93</v>
      </c>
      <c r="V273" s="7" t="s">
        <v>22</v>
      </c>
      <c r="W273" s="7" t="s">
        <v>95</v>
      </c>
      <c r="X273" s="7" t="s">
        <v>131</v>
      </c>
      <c r="Y273" s="7" t="s">
        <v>132</v>
      </c>
      <c r="Z273" s="7" t="s">
        <v>419</v>
      </c>
      <c r="AA273" s="7" t="b">
        <v>0</v>
      </c>
      <c r="AB273" s="7" t="b">
        <v>0</v>
      </c>
      <c r="AC273" s="11" t="s">
        <v>1331</v>
      </c>
      <c r="AD273" s="7">
        <v>89</v>
      </c>
      <c r="AE273" s="7" t="s">
        <v>153</v>
      </c>
      <c r="AI273" s="7" t="s">
        <v>99</v>
      </c>
      <c r="AJ273" s="7" t="s">
        <v>100</v>
      </c>
      <c r="AK273" s="7" t="s">
        <v>1308</v>
      </c>
      <c r="AL273" s="7" t="s">
        <v>100</v>
      </c>
      <c r="AM273" s="7" t="s">
        <v>100</v>
      </c>
      <c r="AN273" s="7" t="s">
        <v>102</v>
      </c>
      <c r="AP273" s="7" t="s">
        <v>1309</v>
      </c>
      <c r="AQ273" s="7" t="s">
        <v>104</v>
      </c>
      <c r="AR273" s="7" t="s">
        <v>105</v>
      </c>
      <c r="AS273" s="7" t="s">
        <v>137</v>
      </c>
      <c r="AT273" s="7" t="s">
        <v>107</v>
      </c>
      <c r="AU273" s="7" t="s">
        <v>107</v>
      </c>
      <c r="AX273" s="7" t="s">
        <v>108</v>
      </c>
      <c r="AY273" s="7" t="s">
        <v>138</v>
      </c>
      <c r="AZ273" s="7" t="s">
        <v>104</v>
      </c>
      <c r="BA273" s="7" t="s">
        <v>105</v>
      </c>
      <c r="BB273" s="7" t="s">
        <v>139</v>
      </c>
      <c r="BC273" s="7" t="s">
        <v>110</v>
      </c>
      <c r="BD273" s="7" t="s">
        <v>110</v>
      </c>
      <c r="BF273" s="7" t="s">
        <v>112</v>
      </c>
      <c r="BG273" s="7">
        <v>7922</v>
      </c>
      <c r="BH273" s="7" t="s">
        <v>140</v>
      </c>
      <c r="BO273" s="7">
        <v>5</v>
      </c>
      <c r="BR273" s="7" t="s">
        <v>104</v>
      </c>
      <c r="BS273" s="7" t="s">
        <v>141</v>
      </c>
      <c r="BT273" s="7" t="s">
        <v>106</v>
      </c>
      <c r="BU273" s="7" t="s">
        <v>110</v>
      </c>
      <c r="BV273" s="7" t="s">
        <v>110</v>
      </c>
      <c r="BW273" s="7" t="s">
        <v>117</v>
      </c>
    </row>
    <row r="274" spans="1:75" s="7" customFormat="1" x14ac:dyDescent="0.35">
      <c r="A274" s="7" t="s">
        <v>1310</v>
      </c>
      <c r="B274" s="8">
        <v>46002</v>
      </c>
      <c r="C274" s="9">
        <v>1.4780092592592595E-2</v>
      </c>
      <c r="D274" s="7" t="s">
        <v>873</v>
      </c>
      <c r="E274" s="7" t="s">
        <v>874</v>
      </c>
      <c r="F274" s="7" t="s">
        <v>1311</v>
      </c>
      <c r="G274" s="7">
        <f>COUNTIF($F$2:$F$278,F274)</f>
        <v>2</v>
      </c>
      <c r="H274" s="7" t="s">
        <v>186</v>
      </c>
      <c r="I274" s="7" t="s">
        <v>187</v>
      </c>
      <c r="J274" s="7" t="s">
        <v>83</v>
      </c>
      <c r="K274" s="7" t="s">
        <v>84</v>
      </c>
      <c r="M274" s="7" t="s">
        <v>85</v>
      </c>
      <c r="N274" s="7" t="s">
        <v>86</v>
      </c>
      <c r="O274" s="7" t="s">
        <v>84</v>
      </c>
      <c r="P274" s="7" t="s">
        <v>88</v>
      </c>
      <c r="Q274" s="7" t="s">
        <v>129</v>
      </c>
      <c r="R274" s="7" t="s">
        <v>130</v>
      </c>
      <c r="S274" s="7" t="s">
        <v>91</v>
      </c>
      <c r="T274" s="7" t="s">
        <v>92</v>
      </c>
      <c r="U274" s="7" t="s">
        <v>93</v>
      </c>
      <c r="V274" s="7" t="s">
        <v>22</v>
      </c>
      <c r="W274" s="7" t="s">
        <v>1312</v>
      </c>
      <c r="X274" s="7" t="s">
        <v>1313</v>
      </c>
      <c r="Y274" s="7" t="s">
        <v>132</v>
      </c>
      <c r="Z274" s="7" t="s">
        <v>1314</v>
      </c>
      <c r="AA274" s="7" t="b">
        <v>0</v>
      </c>
      <c r="AB274" s="7" t="b">
        <v>0</v>
      </c>
      <c r="AC274" s="11" t="s">
        <v>525</v>
      </c>
      <c r="AD274" s="7">
        <v>105</v>
      </c>
      <c r="AE274" s="7" t="s">
        <v>134</v>
      </c>
      <c r="AH274" s="7" t="s">
        <v>874</v>
      </c>
      <c r="AI274" s="7" t="s">
        <v>1315</v>
      </c>
      <c r="AJ274" s="7" t="s">
        <v>100</v>
      </c>
      <c r="AK274" s="7" t="s">
        <v>1316</v>
      </c>
      <c r="AL274" s="7" t="s">
        <v>100</v>
      </c>
      <c r="AM274" s="7" t="s">
        <v>100</v>
      </c>
      <c r="AN274" s="7" t="s">
        <v>124</v>
      </c>
      <c r="AO274" s="7">
        <v>1008</v>
      </c>
      <c r="AP274" s="7" t="s">
        <v>1317</v>
      </c>
      <c r="AQ274" s="7" t="s">
        <v>104</v>
      </c>
      <c r="AR274" s="7" t="s">
        <v>197</v>
      </c>
      <c r="AS274" s="7" t="s">
        <v>206</v>
      </c>
      <c r="AT274" s="7" t="s">
        <v>199</v>
      </c>
      <c r="AU274" s="7" t="s">
        <v>199</v>
      </c>
      <c r="AX274" s="7" t="s">
        <v>200</v>
      </c>
      <c r="AY274" s="7" t="s">
        <v>1048</v>
      </c>
      <c r="AZ274" s="7" t="s">
        <v>104</v>
      </c>
      <c r="BA274" s="7" t="s">
        <v>197</v>
      </c>
      <c r="BB274" s="7" t="s">
        <v>202</v>
      </c>
      <c r="BC274" s="7" t="s">
        <v>199</v>
      </c>
      <c r="BD274" s="7" t="s">
        <v>199</v>
      </c>
      <c r="BF274" s="7" t="s">
        <v>203</v>
      </c>
      <c r="BG274" s="7">
        <v>20115</v>
      </c>
      <c r="BH274" s="7" t="s">
        <v>552</v>
      </c>
      <c r="BO274" s="7">
        <v>2</v>
      </c>
      <c r="BR274" s="7" t="s">
        <v>104</v>
      </c>
      <c r="BS274" s="7" t="s">
        <v>205</v>
      </c>
      <c r="BT274" s="7" t="s">
        <v>553</v>
      </c>
      <c r="BU274" s="7" t="s">
        <v>199</v>
      </c>
      <c r="BV274" s="7" t="s">
        <v>208</v>
      </c>
      <c r="BW274" s="7" t="s">
        <v>209</v>
      </c>
    </row>
    <row r="275" spans="1:75" s="7" customFormat="1" x14ac:dyDescent="0.35">
      <c r="A275" s="7" t="s">
        <v>1318</v>
      </c>
      <c r="B275" s="8">
        <v>46002</v>
      </c>
      <c r="C275" s="9">
        <v>1.4745370370370372E-2</v>
      </c>
      <c r="D275" s="7" t="s">
        <v>873</v>
      </c>
      <c r="E275" s="7" t="s">
        <v>874</v>
      </c>
      <c r="F275" s="7" t="s">
        <v>1311</v>
      </c>
      <c r="G275" s="7">
        <f>COUNTIF($F$2:$F$278,F275)</f>
        <v>2</v>
      </c>
      <c r="H275" s="7" t="s">
        <v>186</v>
      </c>
      <c r="I275" s="7" t="s">
        <v>187</v>
      </c>
      <c r="J275" s="7" t="s">
        <v>83</v>
      </c>
      <c r="K275" s="7" t="s">
        <v>143</v>
      </c>
      <c r="L275" s="7">
        <v>50140</v>
      </c>
      <c r="M275" s="7" t="s">
        <v>85</v>
      </c>
      <c r="N275" s="7" t="s">
        <v>86</v>
      </c>
      <c r="O275" s="7" t="s">
        <v>84</v>
      </c>
      <c r="P275" s="7" t="s">
        <v>100</v>
      </c>
      <c r="Q275" s="7" t="s">
        <v>129</v>
      </c>
      <c r="R275" s="7" t="s">
        <v>130</v>
      </c>
      <c r="S275" s="7" t="s">
        <v>91</v>
      </c>
      <c r="T275" s="7" t="s">
        <v>92</v>
      </c>
      <c r="U275" s="7" t="s">
        <v>144</v>
      </c>
      <c r="V275" s="7" t="s">
        <v>22</v>
      </c>
      <c r="W275" s="7" t="s">
        <v>1312</v>
      </c>
      <c r="X275" s="7" t="s">
        <v>1313</v>
      </c>
      <c r="Y275" s="7" t="s">
        <v>132</v>
      </c>
      <c r="Z275" s="7" t="s">
        <v>1314</v>
      </c>
      <c r="AA275" s="7" t="b">
        <v>0</v>
      </c>
      <c r="AB275" s="7" t="b">
        <v>0</v>
      </c>
      <c r="AC275" s="11" t="s">
        <v>525</v>
      </c>
      <c r="AD275" s="7">
        <v>123</v>
      </c>
      <c r="AE275" s="7" t="s">
        <v>145</v>
      </c>
      <c r="AH275" s="7" t="s">
        <v>874</v>
      </c>
      <c r="AI275" s="7" t="s">
        <v>1319</v>
      </c>
      <c r="AJ275" s="7" t="s">
        <v>100</v>
      </c>
      <c r="AK275" s="7" t="s">
        <v>1320</v>
      </c>
      <c r="AL275" s="7" t="s">
        <v>100</v>
      </c>
      <c r="AM275" s="7" t="s">
        <v>100</v>
      </c>
      <c r="AN275" s="7" t="s">
        <v>124</v>
      </c>
      <c r="AO275" s="7">
        <v>1008</v>
      </c>
      <c r="AP275" s="7" t="s">
        <v>1317</v>
      </c>
      <c r="AQ275" s="7" t="s">
        <v>104</v>
      </c>
      <c r="AR275" s="7" t="s">
        <v>197</v>
      </c>
      <c r="AS275" s="7" t="s">
        <v>206</v>
      </c>
      <c r="AT275" s="7" t="s">
        <v>199</v>
      </c>
      <c r="AU275" s="7" t="s">
        <v>199</v>
      </c>
      <c r="AX275" s="7" t="s">
        <v>200</v>
      </c>
      <c r="AY275" s="7" t="s">
        <v>1048</v>
      </c>
      <c r="AZ275" s="7" t="s">
        <v>104</v>
      </c>
      <c r="BA275" s="7" t="s">
        <v>197</v>
      </c>
      <c r="BB275" s="7" t="s">
        <v>202</v>
      </c>
      <c r="BC275" s="7" t="s">
        <v>199</v>
      </c>
      <c r="BD275" s="7" t="s">
        <v>199</v>
      </c>
      <c r="BF275" s="7" t="s">
        <v>203</v>
      </c>
      <c r="BG275" s="7">
        <v>20115</v>
      </c>
      <c r="BH275" s="7" t="s">
        <v>552</v>
      </c>
      <c r="BO275" s="7">
        <v>2</v>
      </c>
      <c r="BR275" s="7" t="s">
        <v>104</v>
      </c>
      <c r="BS275" s="7" t="s">
        <v>205</v>
      </c>
      <c r="BT275" s="7" t="s">
        <v>553</v>
      </c>
      <c r="BU275" s="7" t="s">
        <v>199</v>
      </c>
      <c r="BV275" s="7" t="s">
        <v>208</v>
      </c>
      <c r="BW275" s="7" t="s">
        <v>209</v>
      </c>
    </row>
    <row r="276" spans="1:75" s="7" customFormat="1" x14ac:dyDescent="0.35">
      <c r="A276" s="7" t="s">
        <v>1321</v>
      </c>
      <c r="B276" s="8">
        <v>46001</v>
      </c>
      <c r="C276" s="9">
        <v>0.98540509259259268</v>
      </c>
      <c r="D276" s="7" t="s">
        <v>78</v>
      </c>
      <c r="E276" s="7" t="s">
        <v>79</v>
      </c>
      <c r="F276" s="7" t="s">
        <v>1307</v>
      </c>
      <c r="G276" s="7">
        <f>COUNTIF($F$2:$F$278,F276)</f>
        <v>2</v>
      </c>
      <c r="H276" s="7" t="s">
        <v>81</v>
      </c>
      <c r="I276" s="7" t="s">
        <v>82</v>
      </c>
      <c r="J276" s="7" t="s">
        <v>83</v>
      </c>
      <c r="K276" s="7" t="s">
        <v>84</v>
      </c>
      <c r="M276" s="7" t="s">
        <v>85</v>
      </c>
      <c r="N276" s="7" t="s">
        <v>86</v>
      </c>
      <c r="O276" s="7" t="s">
        <v>87</v>
      </c>
      <c r="P276" s="7" t="s">
        <v>88</v>
      </c>
      <c r="Q276" s="7" t="s">
        <v>89</v>
      </c>
      <c r="R276" s="7" t="s">
        <v>90</v>
      </c>
      <c r="S276" s="7" t="s">
        <v>91</v>
      </c>
      <c r="T276" s="7" t="s">
        <v>92</v>
      </c>
      <c r="U276" s="7" t="s">
        <v>93</v>
      </c>
      <c r="V276" s="7" t="s">
        <v>94</v>
      </c>
      <c r="W276" s="7" t="s">
        <v>95</v>
      </c>
      <c r="Y276" s="7" t="s">
        <v>96</v>
      </c>
      <c r="Z276" s="7" t="s">
        <v>97</v>
      </c>
      <c r="AA276" s="7" t="b">
        <v>0</v>
      </c>
      <c r="AB276" s="7" t="b">
        <v>0</v>
      </c>
      <c r="AC276" s="11" t="s">
        <v>1331</v>
      </c>
      <c r="AD276" s="7">
        <v>75</v>
      </c>
      <c r="AE276" s="7" t="s">
        <v>98</v>
      </c>
      <c r="AI276" s="7" t="s">
        <v>99</v>
      </c>
      <c r="AJ276" s="7" t="s">
        <v>100</v>
      </c>
      <c r="AK276" s="7" t="s">
        <v>1322</v>
      </c>
      <c r="AL276" s="7" t="s">
        <v>100</v>
      </c>
      <c r="AM276" s="7" t="s">
        <v>100</v>
      </c>
      <c r="AN276" s="7" t="s">
        <v>102</v>
      </c>
      <c r="AP276" s="7" t="s">
        <v>1323</v>
      </c>
      <c r="AQ276" s="7" t="s">
        <v>104</v>
      </c>
      <c r="AR276" s="7" t="s">
        <v>105</v>
      </c>
      <c r="AS276" s="7" t="s">
        <v>137</v>
      </c>
      <c r="AT276" s="7" t="s">
        <v>107</v>
      </c>
      <c r="AU276" s="7" t="s">
        <v>107</v>
      </c>
      <c r="AX276" s="7" t="s">
        <v>108</v>
      </c>
      <c r="AY276" s="7" t="s">
        <v>138</v>
      </c>
      <c r="AZ276" s="7" t="s">
        <v>104</v>
      </c>
      <c r="BA276" s="7" t="s">
        <v>105</v>
      </c>
      <c r="BB276" s="7" t="s">
        <v>139</v>
      </c>
      <c r="BC276" s="7" t="s">
        <v>110</v>
      </c>
      <c r="BD276" s="7" t="s">
        <v>110</v>
      </c>
      <c r="BF276" s="7" t="s">
        <v>112</v>
      </c>
      <c r="BG276" s="7">
        <v>7922</v>
      </c>
      <c r="BH276" s="7" t="s">
        <v>140</v>
      </c>
      <c r="BO276" s="7">
        <v>5</v>
      </c>
      <c r="BR276" s="7" t="s">
        <v>104</v>
      </c>
      <c r="BS276" s="7" t="s">
        <v>141</v>
      </c>
      <c r="BT276" s="7" t="s">
        <v>106</v>
      </c>
      <c r="BU276" s="7" t="s">
        <v>110</v>
      </c>
      <c r="BV276" s="7" t="s">
        <v>110</v>
      </c>
      <c r="BW276" s="7" t="s">
        <v>117</v>
      </c>
    </row>
    <row r="277" spans="1:75" x14ac:dyDescent="0.35">
      <c r="A277" t="s">
        <v>1324</v>
      </c>
      <c r="B277" s="1">
        <v>46001</v>
      </c>
      <c r="C277" s="2">
        <v>0.93828703703703698</v>
      </c>
      <c r="D277" t="s">
        <v>543</v>
      </c>
      <c r="E277" t="s">
        <v>544</v>
      </c>
      <c r="F277" t="s">
        <v>1325</v>
      </c>
      <c r="G277">
        <f>COUNTIF($F$2:$F$278,F277)</f>
        <v>2</v>
      </c>
      <c r="H277" t="s">
        <v>546</v>
      </c>
      <c r="I277" t="s">
        <v>187</v>
      </c>
      <c r="J277" t="s">
        <v>83</v>
      </c>
      <c r="K277" t="s">
        <v>84</v>
      </c>
      <c r="M277" t="s">
        <v>85</v>
      </c>
      <c r="N277" t="s">
        <v>86</v>
      </c>
      <c r="O277" t="s">
        <v>84</v>
      </c>
      <c r="P277" t="s">
        <v>100</v>
      </c>
      <c r="Q277" t="s">
        <v>129</v>
      </c>
      <c r="R277" t="s">
        <v>130</v>
      </c>
      <c r="S277" t="s">
        <v>91</v>
      </c>
      <c r="T277" t="s">
        <v>92</v>
      </c>
      <c r="U277" t="s">
        <v>93</v>
      </c>
      <c r="V277" t="s">
        <v>22</v>
      </c>
      <c r="X277" t="s">
        <v>131</v>
      </c>
      <c r="Y277" t="s">
        <v>132</v>
      </c>
      <c r="Z277" t="s">
        <v>547</v>
      </c>
      <c r="AA277" t="b">
        <v>0</v>
      </c>
      <c r="AB277" t="b">
        <v>0</v>
      </c>
      <c r="AD277">
        <v>61</v>
      </c>
      <c r="AE277" t="s">
        <v>153</v>
      </c>
      <c r="AH277" t="s">
        <v>544</v>
      </c>
      <c r="AI277" t="s">
        <v>548</v>
      </c>
      <c r="AJ277" t="s">
        <v>100</v>
      </c>
      <c r="AK277" t="s">
        <v>1326</v>
      </c>
      <c r="AL277" t="s">
        <v>100</v>
      </c>
      <c r="AM277" t="s">
        <v>100</v>
      </c>
      <c r="AN277" t="s">
        <v>124</v>
      </c>
      <c r="AO277">
        <v>1002</v>
      </c>
      <c r="AP277" t="s">
        <v>1327</v>
      </c>
      <c r="AQ277" t="s">
        <v>104</v>
      </c>
      <c r="AR277" t="s">
        <v>197</v>
      </c>
      <c r="AS277" t="s">
        <v>206</v>
      </c>
      <c r="AT277" t="s">
        <v>199</v>
      </c>
      <c r="AU277" t="s">
        <v>199</v>
      </c>
      <c r="AX277" t="s">
        <v>200</v>
      </c>
      <c r="AY277" t="s">
        <v>551</v>
      </c>
      <c r="AZ277" t="s">
        <v>104</v>
      </c>
      <c r="BA277" t="s">
        <v>197</v>
      </c>
      <c r="BB277" t="s">
        <v>206</v>
      </c>
      <c r="BC277" t="s">
        <v>199</v>
      </c>
      <c r="BD277" t="s">
        <v>199</v>
      </c>
      <c r="BF277" t="s">
        <v>203</v>
      </c>
      <c r="BG277">
        <v>20115</v>
      </c>
      <c r="BH277" t="s">
        <v>552</v>
      </c>
      <c r="BO277">
        <v>2</v>
      </c>
      <c r="BR277" t="s">
        <v>104</v>
      </c>
      <c r="BS277" t="s">
        <v>205</v>
      </c>
      <c r="BT277" t="s">
        <v>553</v>
      </c>
      <c r="BU277" t="s">
        <v>199</v>
      </c>
      <c r="BV277" t="s">
        <v>208</v>
      </c>
      <c r="BW277" t="s">
        <v>209</v>
      </c>
    </row>
    <row r="278" spans="1:75" x14ac:dyDescent="0.35">
      <c r="A278" t="s">
        <v>1328</v>
      </c>
      <c r="B278" s="1">
        <v>46001</v>
      </c>
      <c r="C278" s="2">
        <v>0.93825231481481486</v>
      </c>
      <c r="D278" t="s">
        <v>543</v>
      </c>
      <c r="E278" t="s">
        <v>544</v>
      </c>
      <c r="F278" t="s">
        <v>1325</v>
      </c>
      <c r="G278">
        <f>COUNTIF($F$2:$F$278,F278)</f>
        <v>2</v>
      </c>
      <c r="H278" t="s">
        <v>546</v>
      </c>
      <c r="I278" t="s">
        <v>187</v>
      </c>
      <c r="J278" t="s">
        <v>83</v>
      </c>
      <c r="K278" t="s">
        <v>143</v>
      </c>
      <c r="L278">
        <v>50140</v>
      </c>
      <c r="M278" t="s">
        <v>85</v>
      </c>
      <c r="N278" t="s">
        <v>86</v>
      </c>
      <c r="O278" t="s">
        <v>84</v>
      </c>
      <c r="P278" t="s">
        <v>100</v>
      </c>
      <c r="Q278" t="s">
        <v>129</v>
      </c>
      <c r="R278" t="s">
        <v>130</v>
      </c>
      <c r="S278" t="s">
        <v>91</v>
      </c>
      <c r="T278" t="s">
        <v>92</v>
      </c>
      <c r="U278" t="s">
        <v>144</v>
      </c>
      <c r="V278" t="s">
        <v>22</v>
      </c>
      <c r="X278" t="s">
        <v>131</v>
      </c>
      <c r="Y278" t="s">
        <v>132</v>
      </c>
      <c r="Z278" t="s">
        <v>547</v>
      </c>
      <c r="AA278" t="b">
        <v>0</v>
      </c>
      <c r="AB278" t="b">
        <v>0</v>
      </c>
      <c r="AD278">
        <v>96</v>
      </c>
      <c r="AE278" t="s">
        <v>145</v>
      </c>
      <c r="AH278" t="s">
        <v>544</v>
      </c>
      <c r="AI278" t="s">
        <v>1329</v>
      </c>
      <c r="AJ278" t="s">
        <v>100</v>
      </c>
      <c r="AK278" t="s">
        <v>1330</v>
      </c>
      <c r="AL278" t="s">
        <v>100</v>
      </c>
      <c r="AM278" t="s">
        <v>100</v>
      </c>
      <c r="AN278" t="s">
        <v>124</v>
      </c>
      <c r="AO278">
        <v>1002</v>
      </c>
      <c r="AP278" t="s">
        <v>1327</v>
      </c>
      <c r="AQ278" t="s">
        <v>104</v>
      </c>
      <c r="AR278" t="s">
        <v>197</v>
      </c>
      <c r="AS278" t="s">
        <v>206</v>
      </c>
      <c r="AT278" t="s">
        <v>199</v>
      </c>
      <c r="AU278" t="s">
        <v>199</v>
      </c>
      <c r="AX278" t="s">
        <v>200</v>
      </c>
      <c r="AY278" t="s">
        <v>551</v>
      </c>
      <c r="AZ278" t="s">
        <v>104</v>
      </c>
      <c r="BA278" t="s">
        <v>197</v>
      </c>
      <c r="BB278" t="s">
        <v>206</v>
      </c>
      <c r="BC278" t="s">
        <v>199</v>
      </c>
      <c r="BD278" t="s">
        <v>199</v>
      </c>
      <c r="BF278" t="s">
        <v>203</v>
      </c>
      <c r="BG278">
        <v>20115</v>
      </c>
      <c r="BH278" t="s">
        <v>552</v>
      </c>
      <c r="BO278">
        <v>2</v>
      </c>
      <c r="BR278" t="s">
        <v>104</v>
      </c>
      <c r="BS278" t="s">
        <v>205</v>
      </c>
      <c r="BT278" t="s">
        <v>553</v>
      </c>
      <c r="BU278" t="s">
        <v>199</v>
      </c>
      <c r="BV278" t="s">
        <v>208</v>
      </c>
      <c r="BW278" t="s">
        <v>209</v>
      </c>
    </row>
  </sheetData>
  <autoFilter ref="A1:BZ278" xr:uid="{E9053C34-EB50-4355-AA59-0C9989234A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InteractiveSignIns_2025-12-10_2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2026-07-29T05:41:46Z</dcterms:created>
  <dcterms:modified xsi:type="dcterms:W3CDTF">2026-07-29T05:41:46Z</dcterms:modified>
</cp:coreProperties>
</file>