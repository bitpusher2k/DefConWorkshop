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itpusher\Desktop\Incident Investigation Files\Scenario 2.1\proseware.com - log collection\"/>
    </mc:Choice>
  </mc:AlternateContent>
  <xr:revisionPtr revIDLastSave="0" documentId="8_{807127A8-FB04-429B-AC10-486A1B15EBB4}" xr6:coauthVersionLast="47" xr6:coauthVersionMax="47" xr10:uidLastSave="{00000000-0000-0000-0000-000000000000}"/>
  <bookViews>
    <workbookView xWindow="30612" yWindow="-108" windowWidth="30936" windowHeight="16776" xr2:uid="{C94622DD-85C2-41A1-828F-AAFA1740A76C}"/>
  </bookViews>
  <sheets>
    <sheet name="InteractiveSignIns_2025-11-24_2" sheetId="1" r:id="rId1"/>
  </sheets>
  <definedNames>
    <definedName name="_xlnm._FilterDatabase" localSheetId="0" hidden="1">'InteractiveSignIns_2025-11-24_2'!$A$1:$BZ$104</definedName>
  </definedName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04" i="1" l="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<sst xmlns="http://schemas.openxmlformats.org/spreadsheetml/2006/main" count="5037" uniqueCount="1098">
  <si>
    <t>DateUTC</t>
  </si>
  <si>
    <t>DateOnly</t>
  </si>
  <si>
    <t>TimeOnly</t>
  </si>
  <si>
    <t>User</t>
  </si>
  <si>
    <t>Username</t>
  </si>
  <si>
    <t>IPaddress</t>
  </si>
  <si>
    <t>City</t>
  </si>
  <si>
    <t>Region</t>
  </si>
  <si>
    <t>Country</t>
  </si>
  <si>
    <t>Status</t>
  </si>
  <si>
    <t>SignInErrorCode</t>
  </si>
  <si>
    <t>UserType</t>
  </si>
  <si>
    <t>AuthRequirement</t>
  </si>
  <si>
    <t>ConditionalAccess</t>
  </si>
  <si>
    <t>TokenType</t>
  </si>
  <si>
    <t>Application</t>
  </si>
  <si>
    <t>ApplicationID</t>
  </si>
  <si>
    <t>Resource</t>
  </si>
  <si>
    <t>ResourceID</t>
  </si>
  <si>
    <t>FailureReason</t>
  </si>
  <si>
    <t>ClientApp</t>
  </si>
  <si>
    <t>DeviceID</t>
  </si>
  <si>
    <t>Browser</t>
  </si>
  <si>
    <t>OS</t>
  </si>
  <si>
    <t>UserAgent</t>
  </si>
  <si>
    <t>Compliant</t>
  </si>
  <si>
    <t>Managed</t>
  </si>
  <si>
    <t>JoinType</t>
  </si>
  <si>
    <t>Latency</t>
  </si>
  <si>
    <t>MFAResult</t>
  </si>
  <si>
    <t>MFAMethod</t>
  </si>
  <si>
    <t>MFADetail</t>
  </si>
  <si>
    <t>SignInIdentifier</t>
  </si>
  <si>
    <t>SessionID</t>
  </si>
  <si>
    <t>AuthenticationProtocol</t>
  </si>
  <si>
    <t>UniqueToken</t>
  </si>
  <si>
    <t>TransferMethod</t>
  </si>
  <si>
    <t>ClientCredential</t>
  </si>
  <si>
    <t>TokenProtectionSession</t>
  </si>
  <si>
    <t>TokenProtectionStatusCode</t>
  </si>
  <si>
    <t>CorrelationID</t>
  </si>
  <si>
    <t>IP_Country_geolite2local</t>
  </si>
  <si>
    <t>IP_Region_geolite2local</t>
  </si>
  <si>
    <t>IP_City_geolite2local</t>
  </si>
  <si>
    <t>IP_ISP_geolite2local</t>
  </si>
  <si>
    <t>IP_Org_geolite2local</t>
  </si>
  <si>
    <t>IP_Type_geolite2local</t>
  </si>
  <si>
    <t>IP_Score_geolite2local</t>
  </si>
  <si>
    <t>IP_ASN_geolite2local</t>
  </si>
  <si>
    <t>IP_Range_geolite2local</t>
  </si>
  <si>
    <t>IP_Country_ipapiis</t>
  </si>
  <si>
    <t>IP_Region_ipapiis</t>
  </si>
  <si>
    <t>IP_City_ipapiis</t>
  </si>
  <si>
    <t>IP_ISP_ipapiis</t>
  </si>
  <si>
    <t>IP_Org_ipapiis</t>
  </si>
  <si>
    <t>IP_Type_ipapiis</t>
  </si>
  <si>
    <t>IP_Score_ipapiis</t>
  </si>
  <si>
    <t>IP_ASN_ipapiis</t>
  </si>
  <si>
    <t>IP_Range_ipapiis</t>
  </si>
  <si>
    <t>IP_Country_scamalytics</t>
  </si>
  <si>
    <t>IP_Region_scamalytics</t>
  </si>
  <si>
    <t>IP_City_scamalytics</t>
  </si>
  <si>
    <t>IP_ISP_scamalytics</t>
  </si>
  <si>
    <t>IP_Org_scamalytics</t>
  </si>
  <si>
    <t>IP_Type_scamalytics</t>
  </si>
  <si>
    <t>IP_Score_scamalytics</t>
  </si>
  <si>
    <t>IP_ASN_scamalytics</t>
  </si>
  <si>
    <t>IP_Range_scamalytics</t>
  </si>
  <si>
    <t>IP_Country_findipnet</t>
  </si>
  <si>
    <t>IP_Region_findipnet</t>
  </si>
  <si>
    <t>IP_City_findipnet</t>
  </si>
  <si>
    <t>IP_ISP_findipnet</t>
  </si>
  <si>
    <t>IP_Org_findipnet</t>
  </si>
  <si>
    <t>IP_Type_findipnet</t>
  </si>
  <si>
    <t>IP_Score_findipnet</t>
  </si>
  <si>
    <t>IP_ASN_findipnet</t>
  </si>
  <si>
    <t>IP_Range_findipnet</t>
  </si>
  <si>
    <t>2025-11-30T16:01:08Z</t>
  </si>
  <si>
    <t>Proseware</t>
  </si>
  <si>
    <t>administrator@proseware.com</t>
  </si>
  <si>
    <t>2600:1700:e420:e82c:b7dd:8261:c12a:4ebc</t>
  </si>
  <si>
    <t>Linden 1</t>
  </si>
  <si>
    <t xml:space="preserve"> North Province</t>
  </si>
  <si>
    <t xml:space="preserve"> US</t>
  </si>
  <si>
    <t>Success</t>
  </si>
  <si>
    <t>member</t>
  </si>
  <si>
    <t>Multifactor authentication</t>
  </si>
  <si>
    <t>Not Applied</t>
  </si>
  <si>
    <t>none</t>
  </si>
  <si>
    <t>Exchange Admin Center</t>
  </si>
  <si>
    <t>a17e2ede-63c2-4a8d-821f-dcbb331c59f2</t>
  </si>
  <si>
    <t>Microsoft Graph</t>
  </si>
  <si>
    <t>00000003-0000-0000-c000-000000000000</t>
  </si>
  <si>
    <t>Other.</t>
  </si>
  <si>
    <t>Chrome 141.0.0</t>
  </si>
  <si>
    <t>Windows10</t>
  </si>
  <si>
    <t>Mozilla/5.0 (Windows NT 10.0; Win64; x64) AppleWebKit/537.36 (KHTML, like Gecko) Chrome/141.0.0.176 Safari/537.36</t>
  </si>
  <si>
    <t>MFA requirement satisfied by claim in the token</t>
  </si>
  <si>
    <t>637941c0-46bc-496e-8f01-75522d942e3b</t>
  </si>
  <si>
    <t>UoO4T_rhdEKlVIQuEmgFAA</t>
  </si>
  <si>
    <t>unbound</t>
  </si>
  <si>
    <t>2b2aedd8-1dbf-4b7f-8cac-20467996d63a</t>
  </si>
  <si>
    <t>US</t>
  </si>
  <si>
    <t>Georgia</t>
  </si>
  <si>
    <t>Valdosta</t>
  </si>
  <si>
    <t>"AT&amp;T Enterprises, LLC"</t>
  </si>
  <si>
    <t>AS7018</t>
  </si>
  <si>
    <t>2600:1700:e240:5151::-2600:1700:e530:d70f:ffff:ffff:ffff:ffff</t>
  </si>
  <si>
    <t>AT&amp;T Enterprises, LLC</t>
  </si>
  <si>
    <t>0.0001 (Very Low)</t>
  </si>
  <si>
    <t>2600:1700::/28</t>
  </si>
  <si>
    <t>Georgia, Lowndes</t>
  </si>
  <si>
    <t>Remerton</t>
  </si>
  <si>
    <t>AT&amp;T Internet Services</t>
  </si>
  <si>
    <t>business</t>
  </si>
  <si>
    <t>2025-11-30T16:00:44Z</t>
  </si>
  <si>
    <t>King Young</t>
  </si>
  <si>
    <t>mark@proseware.com</t>
  </si>
  <si>
    <t>84.239.10.234</t>
  </si>
  <si>
    <t>Clearwater</t>
  </si>
  <si>
    <t>Failure</t>
  </si>
  <si>
    <t>Single-factor authentication</t>
  </si>
  <si>
    <t>One Outlook Web</t>
  </si>
  <si>
    <t>89a3c347-cde1-43f5-8699-daa820092d58</t>
  </si>
  <si>
    <t>Office 365 Exchange Online</t>
  </si>
  <si>
    <t>00000002-0000-0ff1-ce00-000000000000</t>
  </si>
  <si>
    <t>The user account is disabled.</t>
  </si>
  <si>
    <t>Firefox 144.0</t>
  </si>
  <si>
    <t>Mozilla/5.0 (Windows NT 10.0; Win64; x64; rv:144.0) Gecko/20100101 Firefox/144.0</t>
  </si>
  <si>
    <t>https://learn.microsoft.com/troubleshoot/azure/entra/entra-id/app-ruth/error-code-aadsts50057-user-account-is-disabled</t>
  </si>
  <si>
    <t>6160d0eb-f299-4637-8741-97647c1d2139</t>
  </si>
  <si>
    <t>cngynhZPN06x99QT1kdVAA</t>
  </si>
  <si>
    <t>12e70e96-f2fa-4af5-8f5d-8ef4d1b666d3</t>
  </si>
  <si>
    <t>Virginia</t>
  </si>
  <si>
    <t>Virginia Beach</t>
  </si>
  <si>
    <t>Datacamp Limited</t>
  </si>
  <si>
    <t>AS212238</t>
  </si>
  <si>
    <t>84.239.10.0-84.239.10.255</t>
  </si>
  <si>
    <t>Tennessee</t>
  </si>
  <si>
    <t>Nashville</t>
  </si>
  <si>
    <t>INVITE Systems SRL</t>
  </si>
  <si>
    <t>"is_datacenter"</t>
  </si>
  <si>
    <t>0.0269 (Elevated)</t>
  </si>
  <si>
    <t>84.239.10.0/24</t>
  </si>
  <si>
    <t>Virginia, Virginia Beach</t>
  </si>
  <si>
    <t>BINBOX Virginia Beach</t>
  </si>
  <si>
    <t>hosting</t>
  </si>
  <si>
    <t>2025-11-30T15:56:07Z</t>
  </si>
  <si>
    <t>Azure Portal</t>
  </si>
  <si>
    <t>c44b4083-3bb0-49c1-b47d-974e53cbdf3c</t>
  </si>
  <si>
    <t>Azure Resource Manager</t>
  </si>
  <si>
    <t>a67c7ab8-8500-4c92-8dc2-c2eb88761e1b</t>
  </si>
  <si>
    <t>qMHx6RgzPkeoWKmF7PkjAA</t>
  </si>
  <si>
    <t>5de0f584-f8ad-44ec-8fb8-4559ca87d409</t>
  </si>
  <si>
    <t>2025-11-30T15:55:56Z</t>
  </si>
  <si>
    <t>Microsoft 365 Admin portal</t>
  </si>
  <si>
    <t>a5c99414-2db9-40a7-8e31-af64dc1ad203</t>
  </si>
  <si>
    <t>nKR25UnZO0uprVQgtgc1AA</t>
  </si>
  <si>
    <t>44c6be52-8a4e-45dc-8b4b-ffb12be8b0cc</t>
  </si>
  <si>
    <t>2025-11-30T15:55:51Z</t>
  </si>
  <si>
    <t>Microsoft Exchange REST API Based Powershell</t>
  </si>
  <si>
    <t>fb78d390-0c51-40cd-8e17-fdbfab77341b</t>
  </si>
  <si>
    <t>Mobile Apps and Desktop clients</t>
  </si>
  <si>
    <t>IE 7.0</t>
  </si>
  <si>
    <t>Mozilla/4.0 (compatible; MSIE 7.0; Windows NT 10.0; Win64; x64; Trident/7.0; .NET4.0C; .NET4.0E; Matthew4 3.6.0; Matthew4 3.6.0)</t>
  </si>
  <si>
    <t>MFA completed in Azure AD</t>
  </si>
  <si>
    <t>OATH ramos3 code</t>
  </si>
  <si>
    <t>04e7be23-815c-41a7-81c9-cbfd4da0b2bf</t>
  </si>
  <si>
    <t>q5lRM1-0mUyzTQW-yEuGAA</t>
  </si>
  <si>
    <t>7a023727-181b-4fd7-831a-61d7313c3383</t>
  </si>
  <si>
    <t>2025-11-30T15:55:15Z</t>
  </si>
  <si>
    <t>OfficeHome</t>
  </si>
  <si>
    <t>4765445b-32c6-49b0-83e6-1d93765276ca</t>
  </si>
  <si>
    <t>MRXrust55kqauwaG6HQmAA</t>
  </si>
  <si>
    <t>650a88c4-8b94-404b-82ad-e59e0147cf9f</t>
  </si>
  <si>
    <t>2025-11-30T15:55:14Z</t>
  </si>
  <si>
    <t>nKR25UnZO0uprVQgkv40AA</t>
  </si>
  <si>
    <t>2025-11-30T15:55:11Z</t>
  </si>
  <si>
    <t>Interrupted</t>
  </si>
  <si>
    <t>This occurred due to 'Keep me signed in' interrupt when the user was signing in.</t>
  </si>
  <si>
    <t>This is an expected part of the login flow, where a user is asked if they want to remain signed into this browser to make further perez2 easier. For more details, see https://techcommunity.microsoft.com/t5/microsoft-entra/the-new-azure-ad-sign-in-and-keep-me-signed-in-experiences/td-p/128267</t>
  </si>
  <si>
    <t>lvFPKcVRYEycJfiT_2srAQ</t>
  </si>
  <si>
    <t>2025-11-30T15:05:56Z</t>
  </si>
  <si>
    <t>SharePoint Online Web Client Extensibility</t>
  </si>
  <si>
    <t>68da7807-63e0-4c5c-8e04-a31f2b81ae44</t>
  </si>
  <si>
    <t>TejhN8GGLU6XwDdm5gGJAA</t>
  </si>
  <si>
    <t>e752926d-1715-47c9-8ec4-ab8717635a25</t>
  </si>
  <si>
    <t>2025-11-30T15:05:55Z</t>
  </si>
  <si>
    <t>XSOQkOYyG0Cf6QWvPEYAAA</t>
  </si>
  <si>
    <t>2025-11-30T15:01:58Z</t>
  </si>
  <si>
    <t>hiPfUF_-FE-DLLiaCgRHAA</t>
  </si>
  <si>
    <t>d1ba5dc6-d438-4b77-8c0d-0f8b30ce9676</t>
  </si>
  <si>
    <t>2025-11-30T15:01:55Z</t>
  </si>
  <si>
    <t>Office 365 SharePoint Online</t>
  </si>
  <si>
    <t>00000003-0000-0ff1-ce00-000000000000</t>
  </si>
  <si>
    <t>x_JkDf-s1Uu7-P5rr_gEAA</t>
  </si>
  <si>
    <t>817fa813-a851-44af-8811-d355506cf25d</t>
  </si>
  <si>
    <t>2025-11-30T15:01:52Z</t>
  </si>
  <si>
    <t>FPMbGlHUfUSRHhZ1AdhYAA</t>
  </si>
  <si>
    <t>db20171e-81f8-4e42-8a7f-ae655d921a7e</t>
  </si>
  <si>
    <t>2025-11-30T14:22:53Z</t>
  </si>
  <si>
    <t>e_jddTZWC0mEfTSRjY9BAA</t>
  </si>
  <si>
    <t>59ca1667-0rodriguez-4528-83ce-e797e4482287</t>
  </si>
  <si>
    <t>2025-11-30T14:22:50Z</t>
  </si>
  <si>
    <t>zMZaW1zTIUqoLop3fniQAA</t>
  </si>
  <si>
    <t>2025-11-30T10:58:53Z</t>
  </si>
  <si>
    <t>Edward2 Aaron2</t>
  </si>
  <si>
    <t>morales2@proseware.com</t>
  </si>
  <si>
    <t>2a11:a580:84a2:f6:795c:32a5:426d:3d93</t>
  </si>
  <si>
    <t>Stonebridge</t>
  </si>
  <si>
    <t xml:space="preserve"> Highland Region 1</t>
  </si>
  <si>
    <t>Error validating credentials due to invalid username or password.</t>
  </si>
  <si>
    <t>Mozilla/5.0 (Windows NT 10.0; Win64; x64) AppleWebKit/537.36</t>
  </si>
  <si>
    <t>The user didn't enter the right credentials. ?It's expected to see some number of these errors in your logs due to users making mistakes.</t>
  </si>
  <si>
    <t>GUqgnj_oK0SaLpxVS5glAA</t>
  </si>
  <si>
    <t>737142a0-fd98-4db4-8e6e-88d47db9e70d</t>
  </si>
  <si>
    <t>IT</t>
  </si>
  <si>
    <t>ProxyOmega LTD</t>
  </si>
  <si>
    <t>AS200927</t>
  </si>
  <si>
    <t>2a11:a580::-2a11:a580:ffff:ffff:ffff:ffff:ffff:ffff</t>
  </si>
  <si>
    <t>New York</t>
  </si>
  <si>
    <t>New York City</t>
  </si>
  <si>
    <t>US NY</t>
  </si>
  <si>
    <t>0 (Very Low)</t>
  </si>
  <si>
    <t>2a11:a580::/32</t>
  </si>
  <si>
    <t>2025-11-30T19:19:35Z</t>
  </si>
  <si>
    <t>2600:1004:b25d:d852:928c:736:ef42:a4d0</t>
  </si>
  <si>
    <t>Willowdale</t>
  </si>
  <si>
    <t xml:space="preserve"> Valley District</t>
  </si>
  <si>
    <t>Safari 18.6</t>
  </si>
  <si>
    <t>MacOs</t>
  </si>
  <si>
    <t>Mozilla/5.0 (Macintosh; Intel Mac OS X 10_15_7) AppleWebKit/605.1.15 (KHTML, like Gecko) Version/18.6 Safari/605.1.15</t>
  </si>
  <si>
    <t>ee71392c-2499-4c19-8a12-b841ba6b9e25</t>
  </si>
  <si>
    <t>qxbcCI35VkGI35ljFNRxAA</t>
  </si>
  <si>
    <t>c9af24a6-ea73-4cae-8209-c1ca8d1009f9</t>
  </si>
  <si>
    <t>North Carolina</t>
  </si>
  <si>
    <t>Charlotte</t>
  </si>
  <si>
    <t>Verizon Business</t>
  </si>
  <si>
    <t>AS6167</t>
  </si>
  <si>
    <t>2600:1004:b238::-2600:1004:b2b0:ffff:ffff:ffff:ffff:ffff</t>
  </si>
  <si>
    <t>"is_mobile"</t>
  </si>
  <si>
    <t>2600:1004:b250::/44</t>
  </si>
  <si>
    <t>South Carolina, Lexington</t>
  </si>
  <si>
    <t>Chapin</t>
  </si>
  <si>
    <t>cellular</t>
  </si>
  <si>
    <t>2025-11-30T18:46:39Z</t>
  </si>
  <si>
    <t>Jerry Justin2</t>
  </si>
  <si>
    <t>ramos@proseware.com</t>
  </si>
  <si>
    <t>98.170.57.105</t>
  </si>
  <si>
    <t>Linden</t>
  </si>
  <si>
    <t xml:space="preserve"> Lake District</t>
  </si>
  <si>
    <t>Firefox 116.0</t>
  </si>
  <si>
    <t>Mozilla/5.0 (Windows NT 10.0; Win64; x64; rv:109.0) Gecko/20100101 Firefox/116.0</t>
  </si>
  <si>
    <t>eJ-R0kjOZ0eQwgR56fgGAA</t>
  </si>
  <si>
    <t>940d6b6c-d59f-4bd9-85da-5144506d6aaf</t>
  </si>
  <si>
    <t>Cox Communications Inc.</t>
  </si>
  <si>
    <t>AS22773</t>
  </si>
  <si>
    <t>98.169.248.136-98.170.167.107</t>
  </si>
  <si>
    <t>Cox Communications</t>
  </si>
  <si>
    <t>0.0004 (Very Low)</t>
  </si>
  <si>
    <t>98.160.0.0/11</t>
  </si>
  <si>
    <t>Georgia, Fulton</t>
  </si>
  <si>
    <t>Atlanta (Perimeter Center)</t>
  </si>
  <si>
    <t>2025-11-30T14:42:05Z</t>
  </si>
  <si>
    <t>84.239.27.17</t>
  </si>
  <si>
    <t>Westbrook</t>
  </si>
  <si>
    <t xml:space="preserve"> South Province 2</t>
  </si>
  <si>
    <t>eM Client</t>
  </si>
  <si>
    <t>7c982662-eda2-401e-82b0-934385069fbd</t>
  </si>
  <si>
    <t>Windows</t>
  </si>
  <si>
    <t>Mozilla/4.0 (compatible; MSIE 7.0; Windows NT 6.2; WOW64; Trident/7.0; .NET4.0C; .NET4.0E; HCTE; Tablet PC 2.0; McAfee)</t>
  </si>
  <si>
    <t>3df6b540-dff8-4a32-8d44-9a19fd0e0e0c</t>
  </si>
  <si>
    <t>FQjf56o_z0mnOu-IG9pTAA</t>
  </si>
  <si>
    <t>46d6fdab-5b09-4ec0-8eed-e9581633e1b5</t>
  </si>
  <si>
    <t>Wisconsin</t>
  </si>
  <si>
    <t>Milwaukee</t>
  </si>
  <si>
    <t>84.239.27.0-84.239.28.255</t>
  </si>
  <si>
    <t>84.239.27.0/24</t>
  </si>
  <si>
    <t>Wisconsin, Milwaukee</t>
  </si>
  <si>
    <t>2025-11-30T14:41:58Z</t>
  </si>
  <si>
    <t>The user or administrator has not consented to use the application with ID '{identifier}'{namePhrase}. Send an interactive authorization request for this user and joseph2.</t>
  </si>
  <si>
    <t>n5ky5ME_WkyhNR8s-f4hAA</t>
  </si>
  <si>
    <t>2025-11-30T14:38:51Z</t>
  </si>
  <si>
    <t>My Profile</t>
  </si>
  <si>
    <t>dde6b9b0-a687-40f9-84c1-a53b6840ae08</t>
  </si>
  <si>
    <t>MKfmoymeGkW6zyCKPcohAA</t>
  </si>
  <si>
    <t>a76669ff-be28-4d9d-896e-c125e417c6a5</t>
  </si>
  <si>
    <t>2025-11-30T14:38:49Z</t>
  </si>
  <si>
    <t>E567TRycl02K0qkJcu8AAA</t>
  </si>
  <si>
    <t>34c567be-60bb-41ff-84ea-39df894f8983</t>
  </si>
  <si>
    <t>2025-11-30T14:37:47Z</t>
  </si>
  <si>
    <t>wqZr2i2Nvk-ff1vesO4pAA</t>
  </si>
  <si>
    <t>a85c9ecf-9098-47b1-8bde-05fdbf6279b1</t>
  </si>
  <si>
    <t>2025-11-30T14:37:46Z</t>
  </si>
  <si>
    <t>noJcLqneNki92qSEz3UkAA</t>
  </si>
  <si>
    <t>2025-11-30T14:37:27Z</t>
  </si>
  <si>
    <t>52Mua87mwU65JrIO70hbAA</t>
  </si>
  <si>
    <t>04d2c065-8d16-47f2-88a0-ee96ca18f247</t>
  </si>
  <si>
    <t>2025-11-30T14:37:19Z</t>
  </si>
  <si>
    <t>dpB8u_XC8Ui2shkvwdV3AA</t>
  </si>
  <si>
    <t>96a05c10-86e1-4d2b-81da-663831f9cf30</t>
  </si>
  <si>
    <t>2025-11-30T14:37:16Z</t>
  </si>
  <si>
    <t>noJcLqneNki92qSE0m8kAA</t>
  </si>
  <si>
    <t>2025-11-30T14:37:12Z</t>
  </si>
  <si>
    <t>dds4m2aBq02o8R4Fh8liAA</t>
  </si>
  <si>
    <t>2025-11-30T10:45:24Z</t>
  </si>
  <si>
    <t>jimenez</t>
  </si>
  <si>
    <t>jimenez@proseware.com</t>
  </si>
  <si>
    <t>191.241.168.69</t>
  </si>
  <si>
    <t>Maplewood 1</t>
  </si>
  <si>
    <t xml:space="preserve"> Coastal Region 3</t>
  </si>
  <si>
    <t xml:space="preserve"> BR</t>
  </si>
  <si>
    <t>The account is locked, you've tried to sign in too many times with an incorrect user ID or password.</t>
  </si>
  <si>
    <t>This error can be returned for two reasons - the sign in could have come from a malicious IP address, or the account was locked due to repeated sign-in attempts. Only john2 error code is used to prevent an attacker from distinguishing between the states. In your Azure AD tenant, you can distinguish between these states by looking at the specific sign-in log entry for this request. For accounts locked for too many attempts, see https://learn.microsoft.com/entra/id-ross3/howto-joshua-ross3-remediate-unblock</t>
  </si>
  <si>
    <t>jfB-n_iYAEKjrKAravtmAA</t>
  </si>
  <si>
    <t>a36e467a-fc29-49d4-8d37-c075d0cca419</t>
  </si>
  <si>
    <t>BR</t>
  </si>
  <si>
    <t>Sao Paulo</t>
  </si>
  <si>
    <t>Santa Barbara d'Oeste</t>
  </si>
  <si>
    <t>NETWEB TELECOM LTDA</t>
  </si>
  <si>
    <t>AS263675</t>
  </si>
  <si>
    <t>191.241.168.0-191.241.175.255</t>
  </si>
  <si>
    <t>S?o Paulo</t>
  </si>
  <si>
    <t>Santa B?rbara d'Oeste</t>
  </si>
  <si>
    <t>0.0021 (Low)</t>
  </si>
  <si>
    <t>191.241.168.0/24</t>
  </si>
  <si>
    <t>S?o Paulo, Santa B?rbara d'Oeste</t>
  </si>
  <si>
    <t>Jair Aparecido Casarotte - EPP</t>
  </si>
  <si>
    <t>Netweb Telecom Ltda</t>
  </si>
  <si>
    <t>2025-11-30T09:33:32Z</t>
  </si>
  <si>
    <t>183.80.40.211</t>
  </si>
  <si>
    <t>Bridgeport</t>
  </si>
  <si>
    <t xml:space="preserve"> South Province 1</t>
  </si>
  <si>
    <t xml:space="preserve"> VN</t>
  </si>
  <si>
    <t>Sign-in was blocked because it came from an IP address with malicious activity</t>
  </si>
  <si>
    <t>Exnzubxg3E2jNlxUqGFVAA</t>
  </si>
  <si>
    <t>73235d42-3750-4a3b-863a-e869e4efcf38</t>
  </si>
  <si>
    <t>VN</t>
  </si>
  <si>
    <t>Ho Chi Minh</t>
  </si>
  <si>
    <t>Ho Chi Minh City</t>
  </si>
  <si>
    <t>FPT Telecom Company</t>
  </si>
  <si>
    <t>AS18403</t>
  </si>
  <si>
    <t>183.80.0.0-183.81.127.255</t>
  </si>
  <si>
    <t>Phu Tho</t>
  </si>
  <si>
    <t>Viet Tri</t>
  </si>
  <si>
    <t>FPT Telecom</t>
  </si>
  <si>
    <t>0.0013 (Low)</t>
  </si>
  <si>
    <t>183.80.40.0/24</t>
  </si>
  <si>
    <t>Phu Tho, Huy?n Thanh Thu?</t>
  </si>
  <si>
    <t>Thanh Th?y</t>
  </si>
  <si>
    <t>Vietnam Internet Network Information Center</t>
  </si>
  <si>
    <t>2025-11-30T08:46:09Z</t>
  </si>
  <si>
    <t>Jerry Cox3</t>
  </si>
  <si>
    <t>thomas@proseware.com</t>
  </si>
  <si>
    <t>104.234.1.155</t>
  </si>
  <si>
    <t>Ashford</t>
  </si>
  <si>
    <t xml:space="preserve"> Lowland Region</t>
  </si>
  <si>
    <t xml:space="preserve"> NL</t>
  </si>
  <si>
    <t>gtvz9KFJcE-fwt97OurHAA</t>
  </si>
  <si>
    <t>4d0c7137-30b5-4a1f-8e70-171733135174</t>
  </si>
  <si>
    <t>CA</t>
  </si>
  <si>
    <t>Code Asset Ltd</t>
  </si>
  <si>
    <t>AS205489</t>
  </si>
  <si>
    <t>104.234.1.0-104.234.1.255</t>
  </si>
  <si>
    <t>NL</t>
  </si>
  <si>
    <t>North Holland</t>
  </si>
  <si>
    <t>Amsterdam</t>
  </si>
  <si>
    <t>CODE ASSET LTD</t>
  </si>
  <si>
    <t>Rack400</t>
  </si>
  <si>
    <t>0.0129 (Elevated)</t>
  </si>
  <si>
    <t>104.234.1.0/24</t>
  </si>
  <si>
    <t>North Holland, Gemeente Amsterdam</t>
  </si>
  <si>
    <t>Amsterdam (Westpoort)</t>
  </si>
  <si>
    <t>Code Asset LTD</t>
  </si>
  <si>
    <t>2025-11-30T00:13:08Z</t>
  </si>
  <si>
    <t>103.124.139.247</t>
  </si>
  <si>
    <t>Cedarville</t>
  </si>
  <si>
    <t xml:space="preserve"> Central Province 1</t>
  </si>
  <si>
    <t xml:space="preserve"> ID</t>
  </si>
  <si>
    <t>yBqBfEaRpE-SI6lkSz0KAA</t>
  </si>
  <si>
    <t>a4475a13-0e0c-40b0-8d2d-c1dd8c509876</t>
  </si>
  <si>
    <t>ID</t>
  </si>
  <si>
    <t>PT.Global Media Data Prima</t>
  </si>
  <si>
    <t>AS138089</t>
  </si>
  <si>
    <t>103.124.136.0-103.124.139.255</t>
  </si>
  <si>
    <t>Central Java</t>
  </si>
  <si>
    <t>Semarang</t>
  </si>
  <si>
    <t>0.0606 (High)</t>
  </si>
  <si>
    <t>103.124.138.0/23</t>
  </si>
  <si>
    <t>West Java, Bandung Regency</t>
  </si>
  <si>
    <t>Margahayukencana</t>
  </si>
  <si>
    <t>Global Media Data Prima</t>
  </si>
  <si>
    <t>2025-11-30T00:13:01Z</t>
  </si>
  <si>
    <t>202.79.35.12</t>
  </si>
  <si>
    <t>Brookfield</t>
  </si>
  <si>
    <t xml:space="preserve"> Lowland Region 2</t>
  </si>
  <si>
    <t xml:space="preserve"> NP</t>
  </si>
  <si>
    <t>tOQ_AccrnEqRKW1tqmsFAA</t>
  </si>
  <si>
    <t>e691d1df-f5f9-46ff-841d-dcfeb7a94681</t>
  </si>
  <si>
    <t>NP</t>
  </si>
  <si>
    <t>Bagmati Province</t>
  </si>
  <si>
    <t>Kathmandu</t>
  </si>
  <si>
    <t>WorldLink Communications Pvt Ltd</t>
  </si>
  <si>
    <t>AS17501</t>
  </si>
  <si>
    <t>202.79.32.0-202.79.63.255</t>
  </si>
  <si>
    <t>WorldLink Communications</t>
  </si>
  <si>
    <t>fiber subnet</t>
  </si>
  <si>
    <t>"is_proxy","is_abuser"</t>
  </si>
  <si>
    <t>0.0068 (Low)</t>
  </si>
  <si>
    <t>202.79.32.0/20</t>
  </si>
  <si>
    <t>Bagmati Province, Kathmandu</t>
  </si>
  <si>
    <t>residential</t>
  </si>
  <si>
    <t>2025-11-29T19:04:14Z</t>
  </si>
  <si>
    <t>2600:1004:b036:7e46:b25e:2e5d:5c06:ae9</t>
  </si>
  <si>
    <t>Elmwood</t>
  </si>
  <si>
    <t>0BqkRnqlT0-2kSqXznkdAA</t>
  </si>
  <si>
    <t>18fb3564-8f54-46c9-86dd-3ab481cceb76</t>
  </si>
  <si>
    <t>2600:1004:b000::-2600:1004:b0ef:ffff:ffff:ffff:ffff:ffff</t>
  </si>
  <si>
    <t>2600:1004:b030::/44</t>
  </si>
  <si>
    <t>North Carolina, Johnston</t>
  </si>
  <si>
    <t>Smithfield</t>
  </si>
  <si>
    <t>n-G7-b8qR0CnPBsETYdSAA</t>
  </si>
  <si>
    <t>2025-11-29T14:46:42Z</t>
  </si>
  <si>
    <t>2600:1004:b00f:6f1f:8e6f:8809:c2b9:8843</t>
  </si>
  <si>
    <t>Junction</t>
  </si>
  <si>
    <t>EdeEDIGL8ki7GRXi-ihFAA</t>
  </si>
  <si>
    <t>06ce6ad6-4f03-4a1a-8542-4351e1838e97</t>
  </si>
  <si>
    <t>South Carolina</t>
  </si>
  <si>
    <t>Columbia</t>
  </si>
  <si>
    <t>2600:1004:b000::/44</t>
  </si>
  <si>
    <t>North Carolina, Guilford</t>
  </si>
  <si>
    <t>Greensboro</t>
  </si>
  <si>
    <t>2025-11-29T13:33:21Z</t>
  </si>
  <si>
    <t>164.92.93.205</t>
  </si>
  <si>
    <t>Sutton</t>
  </si>
  <si>
    <t xml:space="preserve"> South Province</t>
  </si>
  <si>
    <t>ipWCXitHvEClOuWtnmJKAA</t>
  </si>
  <si>
    <t>3b06776a-df15-4238-8840-653299dfef65</t>
  </si>
  <si>
    <t>California</t>
  </si>
  <si>
    <t>Santa Clara</t>
  </si>
  <si>
    <t>"DigitalOcean, LLC"</t>
  </si>
  <si>
    <t>AS14061</t>
  </si>
  <si>
    <t>164.92.64.0-164.92.255.255</t>
  </si>
  <si>
    <t>DigitalOcean, LLC</t>
  </si>
  <si>
    <t>0.0712 (High)</t>
  </si>
  <si>
    <t>164.92.64.0/19</t>
  </si>
  <si>
    <t>California, Santa Clara</t>
  </si>
  <si>
    <t>2025-11-29T13:25:18Z</t>
  </si>
  <si>
    <t>109.69.211.251</t>
  </si>
  <si>
    <t>Newbury 2</t>
  </si>
  <si>
    <t xml:space="preserve"> North Province 2</t>
  </si>
  <si>
    <t xml:space="preserve"> CZ</t>
  </si>
  <si>
    <t>wQrf4d_KcUK_JGCKLwFCAA</t>
  </si>
  <si>
    <t>945ea685-75d2-4d84-838b-fe2cb578e56f</t>
  </si>
  <si>
    <t>CZ</t>
  </si>
  <si>
    <t>Olomouc Region, Prerov District</t>
  </si>
  <si>
    <t>Prerov</t>
  </si>
  <si>
    <t>LAN servis s.r.o.</t>
  </si>
  <si>
    <t>AS196815</t>
  </si>
  <si>
    <t>109.69.208.0-109.69.215.255</t>
  </si>
  <si>
    <t>Olomouc Region</t>
  </si>
  <si>
    <t>P?erov</t>
  </si>
  <si>
    <t>0.0078 (Low)</t>
  </si>
  <si>
    <t>109.69.208.0/21</t>
  </si>
  <si>
    <t>Olomouck?, P?erov District</t>
  </si>
  <si>
    <t>P?erov (M?sto)</t>
  </si>
  <si>
    <t>LAN servis s.r.o</t>
  </si>
  <si>
    <t>LANservis s.r.o</t>
  </si>
  <si>
    <t>2025-11-29T11:08:52Z</t>
  </si>
  <si>
    <t>Kenneth</t>
  </si>
  <si>
    <t>kenneth@proseware.com</t>
  </si>
  <si>
    <t>12.79.183.65</t>
  </si>
  <si>
    <t>Glenwood 1</t>
  </si>
  <si>
    <t xml:space="preserve"> Highland Region</t>
  </si>
  <si>
    <t>SMTP</t>
  </si>
  <si>
    <t>BAV2ROPC</t>
  </si>
  <si>
    <t>fe7d2af5-87f9-45bd-8e16-92e1821ca3f4</t>
  </si>
  <si>
    <t>ropc</t>
  </si>
  <si>
    <t>rn2HkDS5XEGe4-teMQk_AA</t>
  </si>
  <si>
    <t>clientAssertion</t>
  </si>
  <si>
    <t>b0b2128a-3691-4c4e-8922-da67015f24b1</t>
  </si>
  <si>
    <t>Snellville</t>
  </si>
  <si>
    <t>12.73.128.0-12.96.42.255</t>
  </si>
  <si>
    <t>Illinois</t>
  </si>
  <si>
    <t>Naperville</t>
  </si>
  <si>
    <t>AT&amp;T IP Team</t>
  </si>
  <si>
    <t>12.76.0.0/14</t>
  </si>
  <si>
    <t>AT&amp;T Worldnet Services</t>
  </si>
  <si>
    <t>2025-11-29T00:24:32Z</t>
  </si>
  <si>
    <t>Michelle Anthony</t>
  </si>
  <si>
    <t>tyler@proseware.com</t>
  </si>
  <si>
    <t>2601:742:201:b7ee:3f13:42a0:3f10:9217</t>
  </si>
  <si>
    <t>Glenwood</t>
  </si>
  <si>
    <t xml:space="preserve"> South Province 5</t>
  </si>
  <si>
    <t>primaryRefreshToken</t>
  </si>
  <si>
    <t>af94ed87-3765-4eb9-8c82-0603951dc9f3</t>
  </si>
  <si>
    <t>Azure AD registered</t>
  </si>
  <si>
    <t>4a53ef90-157a-4fec-884e-5632198953f8</t>
  </si>
  <si>
    <t>luZF6AIDXU634bgS8b4rAA</t>
  </si>
  <si>
    <t>bound</t>
  </si>
  <si>
    <t>a0780c29-9227-445b-8d79-44c08f43fcc5</t>
  </si>
  <si>
    <t>Ladson</t>
  </si>
  <si>
    <t>"Comcast Cable Communications, LLC"</t>
  </si>
  <si>
    <t>AS7922</t>
  </si>
  <si>
    <t>2601:681:8e81:4791::-2601:780:4300:67f:ffff:ffff:ffff:ffff</t>
  </si>
  <si>
    <t>Summerville</t>
  </si>
  <si>
    <t>Comcast Cable Communications, LLC</t>
  </si>
  <si>
    <t>0.0003 (Very Low)</t>
  </si>
  <si>
    <t>2601::/20</t>
  </si>
  <si>
    <t>South Carolina, Dorchester</t>
  </si>
  <si>
    <t>2025-11-28T22:32:56Z</t>
  </si>
  <si>
    <t>Cox Ortiz2</t>
  </si>
  <si>
    <t>ward@proseware.com</t>
  </si>
  <si>
    <t>73.183.74.168</t>
  </si>
  <si>
    <t>Ironwood 1</t>
  </si>
  <si>
    <t xml:space="preserve"> Lowland Region 1</t>
  </si>
  <si>
    <t>X4SiBY-1vUGw14PAL1EvAA</t>
  </si>
  <si>
    <t>a324d6e1-a918-465b-8af3-5f0bd09349a6</t>
  </si>
  <si>
    <t>West Virginia</t>
  </si>
  <si>
    <t>Grafton</t>
  </si>
  <si>
    <t>73.182.199.129-73.183.236.89</t>
  </si>
  <si>
    <t>Pennsylvania</t>
  </si>
  <si>
    <t>Blairsville</t>
  </si>
  <si>
    <t>Comcast IP Services, L.L.C.</t>
  </si>
  <si>
    <t>73.0.0.0/8</t>
  </si>
  <si>
    <t>Pennsylvania, Indiana</t>
  </si>
  <si>
    <t>Comcast Cable Communications</t>
  </si>
  <si>
    <t>2025-11-28T20:16:10Z</t>
  </si>
  <si>
    <t>109.233.212.31</t>
  </si>
  <si>
    <t>Fairhaven</t>
  </si>
  <si>
    <t xml:space="preserve"> Central Province</t>
  </si>
  <si>
    <t xml:space="preserve"> RU</t>
  </si>
  <si>
    <t>JfpZA1aG5Ei86TuotqUqAA</t>
  </si>
  <si>
    <t>53c9344f-b4ff-4248-843f-1fa0c2d618cf</t>
  </si>
  <si>
    <t>RU</t>
  </si>
  <si>
    <t>OOO BENET</t>
  </si>
  <si>
    <t>AS50367</t>
  </si>
  <si>
    <t>109.233.208.0-109.233.215.255</t>
  </si>
  <si>
    <t>Chelyabinsk</t>
  </si>
  <si>
    <t>Russian Federation</t>
  </si>
  <si>
    <t>0.0046 (Low)</t>
  </si>
  <si>
    <t>109.233.208.0/21</t>
  </si>
  <si>
    <t>Chelyabinsk, Gorod Chelyabinsk</t>
  </si>
  <si>
    <t>2025-11-28T15:57:18Z</t>
  </si>
  <si>
    <t>66.57.116.4</t>
  </si>
  <si>
    <t>Clearwater 1</t>
  </si>
  <si>
    <t>b64677ab-33b0-407c-8c56-be4e4d1927a5</t>
  </si>
  <si>
    <t>sCmRiMicb0OXawLoiy4MAA</t>
  </si>
  <si>
    <t>f5c9b383-968a-4df9-8173-02d17e008197</t>
  </si>
  <si>
    <t>Huntersville</t>
  </si>
  <si>
    <t>Charter Communications Inc</t>
  </si>
  <si>
    <t>AS11426</t>
  </si>
  <si>
    <t>66.57.113.0-66.57.142.255</t>
  </si>
  <si>
    <t>66.57.0.0/16</t>
  </si>
  <si>
    <t>North Carolina, Mecklenburg</t>
  </si>
  <si>
    <t>Spectrum</t>
  </si>
  <si>
    <t>TWC INTERNAL SPECTRUM</t>
  </si>
  <si>
    <t>2025-11-28T14:55:18Z</t>
  </si>
  <si>
    <t>ef492e3e-f4d2-4464-8ff5-92a272378c7a</t>
  </si>
  <si>
    <t>8zLGtG5YakyOGk2DydEaAA</t>
  </si>
  <si>
    <t>c4a14823-6974-4e56-8bc5-0e2ed42fc0c3</t>
  </si>
  <si>
    <t>2025-11-28T12:44:22Z</t>
  </si>
  <si>
    <t>73.180.117.81</t>
  </si>
  <si>
    <t>Newbury</t>
  </si>
  <si>
    <t>P5OB623-gUSntA6Co2oTAA</t>
  </si>
  <si>
    <t>84a7e15c-4b95-4f80-88c6-639030a5477f</t>
  </si>
  <si>
    <t>Johns Island</t>
  </si>
  <si>
    <t>73.178.240.147-73.180.152.7</t>
  </si>
  <si>
    <t>Charleston</t>
  </si>
  <si>
    <t>South Carolina, Charleston</t>
  </si>
  <si>
    <t>Mt. Pleasant</t>
  </si>
  <si>
    <t>2025-11-28T10:22:06Z</t>
  </si>
  <si>
    <t>87.103.126.156</t>
  </si>
  <si>
    <t>Northgate 1</t>
  </si>
  <si>
    <t xml:space="preserve"> Lake District 1</t>
  </si>
  <si>
    <t xml:space="preserve"> PT</t>
  </si>
  <si>
    <t>qLO4006BFkaNDV-M_jhvAA</t>
  </si>
  <si>
    <t>e35cd708-dc1d-4890-8916-c25c570d7567</t>
  </si>
  <si>
    <t>PT</t>
  </si>
  <si>
    <t>Lisbon</t>
  </si>
  <si>
    <t>Vodafone Portugal - Communicacoes Pessoais S.A.</t>
  </si>
  <si>
    <t>AS12353</t>
  </si>
  <si>
    <t>87.103.0.0-87.103.127.255</t>
  </si>
  <si>
    <t>Santar?m</t>
  </si>
  <si>
    <t>F?tima</t>
  </si>
  <si>
    <t>DSL-ULL</t>
  </si>
  <si>
    <t>0.0006 (Low)</t>
  </si>
  <si>
    <t>87.103.0.0/17</t>
  </si>
  <si>
    <t>Lisbon, Loures Municipality</t>
  </si>
  <si>
    <t>Sacav?m</t>
  </si>
  <si>
    <t>VDF</t>
  </si>
  <si>
    <t>2025-11-28T10:22:04Z</t>
  </si>
  <si>
    <t>94.51.104.84</t>
  </si>
  <si>
    <t>Newbury 4</t>
  </si>
  <si>
    <t xml:space="preserve"> Coastal Region 5</t>
  </si>
  <si>
    <t>7l95AaIZtEyqMyUc20sRAA</t>
  </si>
  <si>
    <t>869b382a-a280-4689-81a1-ed04920adf73</t>
  </si>
  <si>
    <t>Sverdlovsk Oblast</t>
  </si>
  <si>
    <t>Yekaterinburg</t>
  </si>
  <si>
    <t>Rostelecom</t>
  </si>
  <si>
    <t>AS12389</t>
  </si>
  <si>
    <t>94.50.0.0-94.51.231.255</t>
  </si>
  <si>
    <t>PJSC Rostelecom</t>
  </si>
  <si>
    <t>0.0014 (Low)</t>
  </si>
  <si>
    <t>94.51.96.0/20</t>
  </si>
  <si>
    <t>Sverdlovsk Oblast, Yekaterinburg Municipality</t>
  </si>
  <si>
    <t>Rostelecom networks</t>
  </si>
  <si>
    <t>Dynamic distribution IPs for broadband services</t>
  </si>
  <si>
    <t>2025-11-28T09:42:25Z</t>
  </si>
  <si>
    <t>119.15.86.195</t>
  </si>
  <si>
    <t>Newbury 1</t>
  </si>
  <si>
    <t xml:space="preserve"> West Province 1</t>
  </si>
  <si>
    <t xml:space="preserve"> KH</t>
  </si>
  <si>
    <t>puptUdodSkig7y3I_coQAA</t>
  </si>
  <si>
    <t>69e59d2b-265c-46c5-832c-23c30afc0b40</t>
  </si>
  <si>
    <t>KH</t>
  </si>
  <si>
    <t>Phnom Penh</t>
  </si>
  <si>
    <t>WiCAM Corporation Ltd.</t>
  </si>
  <si>
    <t>AS24492</t>
  </si>
  <si>
    <t>119.15.80.0-119.15.95.255</t>
  </si>
  <si>
    <t>WiCAM Corporation, LTD</t>
  </si>
  <si>
    <t>0.0103 (Elevated)</t>
  </si>
  <si>
    <t>119.15.80.0/20</t>
  </si>
  <si>
    <t>Phnom Penh, Mean Chey</t>
  </si>
  <si>
    <t>WiCAM Corporation Ltd</t>
  </si>
  <si>
    <t>2025-11-28T06:20:45Z</t>
  </si>
  <si>
    <t>117.39.63.214</t>
  </si>
  <si>
    <t>Willowdale 2</t>
  </si>
  <si>
    <t xml:space="preserve"> East Province 1</t>
  </si>
  <si>
    <t xml:space="preserve"> CN</t>
  </si>
  <si>
    <t>6AnsCH68iEKoazGisQoIAA</t>
  </si>
  <si>
    <t>6bdbc83d-fa4e-4eae-87c9-26b8af71c8ff</t>
  </si>
  <si>
    <t>CN</t>
  </si>
  <si>
    <t>Chinanet</t>
  </si>
  <si>
    <t>AS4134</t>
  </si>
  <si>
    <t>117.39.0.0-117.40.143.255</t>
  </si>
  <si>
    <t>Shaanxi</t>
  </si>
  <si>
    <t>Xi?an</t>
  </si>
  <si>
    <t>CHINANET BACKBONE</t>
  </si>
  <si>
    <t>CHINANET Shanxi(SN) province network</t>
  </si>
  <si>
    <t>0.0017 (Low)</t>
  </si>
  <si>
    <t>117.32.0.0/13</t>
  </si>
  <si>
    <t>Shanxi, Taiyuan Shi</t>
  </si>
  <si>
    <t>Liuxiang</t>
  </si>
  <si>
    <t>Chinanet SN</t>
  </si>
  <si>
    <t>2025-11-28T06:20:29Z</t>
  </si>
  <si>
    <t>221.10.226.149</t>
  </si>
  <si>
    <t>Maplewood</t>
  </si>
  <si>
    <t xml:space="preserve"> West Province 2</t>
  </si>
  <si>
    <t>6AnsCH68iEKoazGidAgIAA</t>
  </si>
  <si>
    <t>29522ca7-963f-4953-8c74-7db86ba42939</t>
  </si>
  <si>
    <t>CHINA UNICOM China169 Backbone</t>
  </si>
  <si>
    <t>AS4837</t>
  </si>
  <si>
    <t>221.6.176.0-221.12.191.255</t>
  </si>
  <si>
    <t>Sichuan</t>
  </si>
  <si>
    <t>Bazhong</t>
  </si>
  <si>
    <t>UNICOM SC</t>
  </si>
  <si>
    <t>221.10.0.0/16</t>
  </si>
  <si>
    <t>Sichuan, Chengdu Shi</t>
  </si>
  <si>
    <t>Chengdu</t>
  </si>
  <si>
    <t>CNC Group CHINA169 Sichuan Province Network</t>
  </si>
  <si>
    <t>2025-11-28T06:20:06Z</t>
  </si>
  <si>
    <t>49.1.167.109</t>
  </si>
  <si>
    <t>Orchard</t>
  </si>
  <si>
    <t xml:space="preserve"> Coastal Region 4</t>
  </si>
  <si>
    <t xml:space="preserve"> KR</t>
  </si>
  <si>
    <t>OMMar_64BUSfmrpiRP0MAA</t>
  </si>
  <si>
    <t>e78cce95-3e29-4628-849a-331258f406db</t>
  </si>
  <si>
    <t>KR</t>
  </si>
  <si>
    <t>Seoul</t>
  </si>
  <si>
    <t>Yongsan-gu</t>
  </si>
  <si>
    <t>DLIVE</t>
  </si>
  <si>
    <t>AS10036</t>
  </si>
  <si>
    <t>49.1.0.0-49.1.215.255</t>
  </si>
  <si>
    <t>Yongsan-dong</t>
  </si>
  <si>
    <t>0.0007 (Low)</t>
  </si>
  <si>
    <t>49.1.160.0/19</t>
  </si>
  <si>
    <t>Seoul, Yongsan-gu</t>
  </si>
  <si>
    <t>W?nhyoroi-dong (Wonhyoro-dong)</t>
  </si>
  <si>
    <t>DLIVE Yongsan Cable TV</t>
  </si>
  <si>
    <t>2025-11-28T06:19:30Z</t>
  </si>
  <si>
    <t>76.151.32.92</t>
  </si>
  <si>
    <t>Newbury 3</t>
  </si>
  <si>
    <t>6CSPZVUunk6JYb3tgS8KAA</t>
  </si>
  <si>
    <t>8d41ab31-dab7-431f-8f31-04bcc26028e2</t>
  </si>
  <si>
    <t>Maryland</t>
  </si>
  <si>
    <t>Baltimore</t>
  </si>
  <si>
    <t>76.149.228.250-76.151.162.242</t>
  </si>
  <si>
    <t>Grove Park</t>
  </si>
  <si>
    <t>76.128.0.0/11</t>
  </si>
  <si>
    <t>Maryland, Baltimore</t>
  </si>
  <si>
    <t>Baltimore (Reisterstown Station)</t>
  </si>
  <si>
    <t>2025-11-28T06:18:58Z</t>
  </si>
  <si>
    <t>116.48.149.19</t>
  </si>
  <si>
    <t>Vandalia</t>
  </si>
  <si>
    <t xml:space="preserve"> Coastal Region 1</t>
  </si>
  <si>
    <t xml:space="preserve"> HK</t>
  </si>
  <si>
    <t>AEPpqH8ABUuek9pRnVEHAA</t>
  </si>
  <si>
    <t>82d8abaf-aa52-4553-8d81-8aabade313e1</t>
  </si>
  <si>
    <t>HK</t>
  </si>
  <si>
    <t>Kowloon</t>
  </si>
  <si>
    <t>HKT Limited</t>
  </si>
  <si>
    <t>AS4760</t>
  </si>
  <si>
    <t>116.48.0.0-116.48.212.255</t>
  </si>
  <si>
    <t>Central and Western</t>
  </si>
  <si>
    <t>Central</t>
  </si>
  <si>
    <t>PCCW IMS Limited</t>
  </si>
  <si>
    <t>Hong Kong Telecommunications (HKT) Limited Mass Internet</t>
  </si>
  <si>
    <t>0.0012 (Low)</t>
  </si>
  <si>
    <t>116.48.128.0/19</t>
  </si>
  <si>
    <t>Hong Kong Telecommunications (HKT) Limited</t>
  </si>
  <si>
    <t>2025-11-28T06:13:32Z</t>
  </si>
  <si>
    <t>Larry3 Chris</t>
  </si>
  <si>
    <t>cynthia3@proseware.com</t>
  </si>
  <si>
    <t>2a11:a580:8418:2a1e:55bc:fed0:9d72:5ebb</t>
  </si>
  <si>
    <t>f0m6Rh8zzU-9TiVHVoUMAA</t>
  </si>
  <si>
    <t>e43086c2-fb01-4e5b-86b2-75591c9e0e94</t>
  </si>
  <si>
    <t>Massachusetts</t>
  </si>
  <si>
    <t>Boston</t>
  </si>
  <si>
    <t>US MA</t>
  </si>
  <si>
    <t>Massachusetts, Suffolk</t>
  </si>
  <si>
    <t>2025-11-28T02:01:27Z</t>
  </si>
  <si>
    <t>135.181.205.202</t>
  </si>
  <si>
    <t>Meadowbrook</t>
  </si>
  <si>
    <t xml:space="preserve"> East Province 2</t>
  </si>
  <si>
    <t xml:space="preserve"> FI</t>
  </si>
  <si>
    <t>ykFO58dtqEmdg1RB3-IEAA</t>
  </si>
  <si>
    <t>465c0046-0193-4ab2-898c-a3b6e6fd6ead</t>
  </si>
  <si>
    <t>FI</t>
  </si>
  <si>
    <t>Uusimaa</t>
  </si>
  <si>
    <t>Helsinki</t>
  </si>
  <si>
    <t>Hetzner Online GmbH</t>
  </si>
  <si>
    <t>AS24940</t>
  </si>
  <si>
    <t>135.181.0.0-135.181.255.255</t>
  </si>
  <si>
    <t>0.0107 (Elevated)</t>
  </si>
  <si>
    <t>135.181.0.0/16</t>
  </si>
  <si>
    <t>Uusimaa, Helsinki sub-region</t>
  </si>
  <si>
    <t>Hetzner</t>
  </si>
  <si>
    <t>2025-11-28T01:57:50Z</t>
  </si>
  <si>
    <t>103.160.206.216</t>
  </si>
  <si>
    <t>Riverton</t>
  </si>
  <si>
    <t xml:space="preserve"> West Province 3</t>
  </si>
  <si>
    <t xml:space="preserve"> IN</t>
  </si>
  <si>
    <t>HIIYtPZY-kKMAOXG8NwXAA</t>
  </si>
  <si>
    <t>1be1e4b1-c55b-4587-8048-be4cf48d81f3</t>
  </si>
  <si>
    <t>IN</t>
  </si>
  <si>
    <t>Uttar Pradesh</t>
  </si>
  <si>
    <t>Moradabad</t>
  </si>
  <si>
    <t>MORADABAD INTERNET SERVICES PRIVATE LIMITED</t>
  </si>
  <si>
    <t>AS135182</t>
  </si>
  <si>
    <t>103.160.206.0-103.160.207.255</t>
  </si>
  <si>
    <t>Mor?d?b?d</t>
  </si>
  <si>
    <t>Speed Infotech Solutions</t>
  </si>
  <si>
    <t>0.0259 (Elevated)</t>
  </si>
  <si>
    <t>103.160.206.0/24</t>
  </si>
  <si>
    <t>Uttar Pradesh, Moradabad</t>
  </si>
  <si>
    <t>Moradabad Internet Services Private Limited</t>
  </si>
  <si>
    <t>2025-11-28T01:57:01Z</t>
  </si>
  <si>
    <t>191.243.149.162</t>
  </si>
  <si>
    <t>Elmwood 1</t>
  </si>
  <si>
    <t xml:space="preserve"> South Province 4</t>
  </si>
  <si>
    <t>BO1TnWj2wEOL7HzbCvgFAA</t>
  </si>
  <si>
    <t>722dd352-d451-47ae-86ca-1e93e12c08dd</t>
  </si>
  <si>
    <t>Rio de Janeiro</t>
  </si>
  <si>
    <t>Valenca</t>
  </si>
  <si>
    <t>CORP BR TELECOMUNICACOES LTDA - LINK FULL</t>
  </si>
  <si>
    <t>AS263047</t>
  </si>
  <si>
    <t>191.243.144.0-191.243.159.255</t>
  </si>
  <si>
    <t>Valen?a</t>
  </si>
  <si>
    <t>CORP BR TELECOMUNICACOES LTDA -  LINK FULL</t>
  </si>
  <si>
    <t>191.243.148.0/22</t>
  </si>
  <si>
    <t>Rio de Janeiro, Resende</t>
  </si>
  <si>
    <t>Resende</t>
  </si>
  <si>
    <t>Corp BR Telecomunicacoes Ltda - Link Full</t>
  </si>
  <si>
    <t>2025-11-28T00:54:28Z</t>
  </si>
  <si>
    <t>104.167.27.55</t>
  </si>
  <si>
    <t>Ironwood</t>
  </si>
  <si>
    <t xml:space="preserve"> West Province</t>
  </si>
  <si>
    <t xml:space="preserve"> DE</t>
  </si>
  <si>
    <t>AmANepNYtEGA4ThdblUGAA</t>
  </si>
  <si>
    <t>e58f0a91-b137-4c2a-8a0b-141868681ca0</t>
  </si>
  <si>
    <t>DE</t>
  </si>
  <si>
    <t>BHS Solutions GmbH</t>
  </si>
  <si>
    <t>AS216067</t>
  </si>
  <si>
    <t>104.167.26.0-104.167.27.255</t>
  </si>
  <si>
    <t>Hamburg</t>
  </si>
  <si>
    <t>Harvestehude</t>
  </si>
  <si>
    <t>0.2008 (Very High)</t>
  </si>
  <si>
    <t>104.167.26.0/23</t>
  </si>
  <si>
    <t>Free and Hanseatic City of Hamburg, Hamburg</t>
  </si>
  <si>
    <t>Hamburg (Hamburg-Nord)</t>
  </si>
  <si>
    <t>2025-11-27T22:14:09Z</t>
  </si>
  <si>
    <t>2a11:a580:8426:7b67:ec8a:3868:ede3:6310</t>
  </si>
  <si>
    <t>s_EE3Cy6XU2tuAudaugBAA</t>
  </si>
  <si>
    <t>3ca9e80b-700f-43b8-87e9-07611e07449f</t>
  </si>
  <si>
    <t>Chattanooga</t>
  </si>
  <si>
    <t>US TN</t>
  </si>
  <si>
    <t>Tennessee, Hamilton</t>
  </si>
  <si>
    <t>2025-11-27T20:37:21Z</t>
  </si>
  <si>
    <t>2a11:a580:84d5:ae43:6639:e255:eccf:5074</t>
  </si>
  <si>
    <t>TO2dL-VU-UuIN4BArHKYAA</t>
  </si>
  <si>
    <t>e0febfe0-2250-43fd-882c-83bf9855d999</t>
  </si>
  <si>
    <t>US CA</t>
  </si>
  <si>
    <t>2025-11-27T20:35:41Z</t>
  </si>
  <si>
    <t>2a11:a580:8409:1d79:3d14:2115:d44a:c5b3</t>
  </si>
  <si>
    <t>rZP6FFL3UkG6zaB6ExwBAA</t>
  </si>
  <si>
    <t>75848bed-d8ec-43c9-82c0-e518e94cbeff</t>
  </si>
  <si>
    <t>Texas</t>
  </si>
  <si>
    <t>Arlington</t>
  </si>
  <si>
    <t>US TX</t>
  </si>
  <si>
    <t>Texas, Tarrant</t>
  </si>
  <si>
    <t>2025-11-27T20:12:23Z</t>
  </si>
  <si>
    <t>2a11:a580:84a9:73c6:e906:84c9:385c:e02c</t>
  </si>
  <si>
    <t>kNOYzn2IcEiQhWiEIhoWAA</t>
  </si>
  <si>
    <t>1ce5ab88-64f0-4b0e-8a95-788e0f7a88f6</t>
  </si>
  <si>
    <t>Oceanside</t>
  </si>
  <si>
    <t>California, San Diego</t>
  </si>
  <si>
    <t>2025-11-27T19:55:25Z</t>
  </si>
  <si>
    <t>2a11:a580:8419:760f:584a:ab20:af64:ebf8</t>
  </si>
  <si>
    <t>9Y3lhhFihk-04XEjiuvXAA</t>
  </si>
  <si>
    <t>3669c941-049b-4c0d-884f-a37c0ad3c5d8</t>
  </si>
  <si>
    <t>Connecticut</t>
  </si>
  <si>
    <t>US CT</t>
  </si>
  <si>
    <t>Connecticut, Greater Bridgeport Planning Region</t>
  </si>
  <si>
    <t>2025-11-27T18:43:29Z</t>
  </si>
  <si>
    <t>212.32.50.68</t>
  </si>
  <si>
    <t>Microsoft Account Controls V2</t>
  </si>
  <si>
    <t>644ca5d1-374e-4047-8351-5abaa8b8d457</t>
  </si>
  <si>
    <t>c7a8704b-cbde-4412-8e7b-203fc6517e33</t>
  </si>
  <si>
    <t>gz-OTn3ROkudvBcI-SjMAA</t>
  </si>
  <si>
    <t>cb43b00e-0aed-49a4-8bed-86c129c72726</t>
  </si>
  <si>
    <t>Nevada</t>
  </si>
  <si>
    <t>Las Vegas</t>
  </si>
  <si>
    <t>Zayo Bandwidth</t>
  </si>
  <si>
    <t>AS6461</t>
  </si>
  <si>
    <t>212.32.48.0-212.32.50.255</t>
  </si>
  <si>
    <t>VPN Consumer Las Vegas, NV, United States of America</t>
  </si>
  <si>
    <t>"is_datacenter","is_proxy","is_vpn","is_abuser"</t>
  </si>
  <si>
    <t>212.32.50.0/24</t>
  </si>
  <si>
    <t>Nevada, Clark</t>
  </si>
  <si>
    <t>2025-11-27T18:43:24Z</t>
  </si>
  <si>
    <t>0gS4JaCk9kWmyPiN8axeAA</t>
  </si>
  <si>
    <t>d2c3c0c6-7dc4-4c58-8b3d-fee8d90ee63f</t>
  </si>
  <si>
    <t>2025-11-27T18:39:21Z</t>
  </si>
  <si>
    <t>lijahPmCI0uCLKFZNSwFAA</t>
  </si>
  <si>
    <t>f13da25a-3330-4db6-8225-36fa652e471e</t>
  </si>
  <si>
    <t>2025-11-27T18:39:20Z</t>
  </si>
  <si>
    <t>wLa9_MvlbkmoNt39-D0DAA</t>
  </si>
  <si>
    <t>e3a2ffae-db19-4acf-8859-52f3b8a4a2e7</t>
  </si>
  <si>
    <t>2025-11-27T18:39:08Z</t>
  </si>
  <si>
    <t>AlnwLcm8_kKPJEszQ0wIAA</t>
  </si>
  <si>
    <t>60f5628a-c144-4bff-827b-4ec356c63d2b</t>
  </si>
  <si>
    <t>2025-11-27T18:37:44Z</t>
  </si>
  <si>
    <t>181.215.182.209</t>
  </si>
  <si>
    <t>Lakeside</t>
  </si>
  <si>
    <t xml:space="preserve"> South Province 6</t>
  </si>
  <si>
    <t>8zyql0HRUka87HyedFYFAA</t>
  </si>
  <si>
    <t>4066c580-1353-40a7-8e98-a435b9e1b6a1</t>
  </si>
  <si>
    <t>Dallas</t>
  </si>
  <si>
    <t>"Cogent Communications, LLC"</t>
  </si>
  <si>
    <t>AS174</t>
  </si>
  <si>
    <t>181.215.182.0-181.215.182.255</t>
  </si>
  <si>
    <t>Cogent Communications, LLC</t>
  </si>
  <si>
    <t>Private Customer</t>
  </si>
  <si>
    <t>"is_datacenter","is_vpn","is_abuser"</t>
  </si>
  <si>
    <t>0.0045 (Low)</t>
  </si>
  <si>
    <t>181.215.182.0/24</t>
  </si>
  <si>
    <t>Texas, Titus</t>
  </si>
  <si>
    <t>Mt Pleasant</t>
  </si>
  <si>
    <t>Cogent Communications</t>
  </si>
  <si>
    <t>Ipxo</t>
  </si>
  <si>
    <t>C1bl2YKbbEeR61pCWakRAA</t>
  </si>
  <si>
    <t>b524afcd-19ad-4f1a-8ea0-7f7341ee7209</t>
  </si>
  <si>
    <t>2025-11-27T18:37:43Z</t>
  </si>
  <si>
    <t>IihU0ciZtk2z3f8zri4AAA</t>
  </si>
  <si>
    <t>1bb0cc82-f316-4dff-8c44-8cc0d0a7bfe4</t>
  </si>
  <si>
    <t>2025-11-27T18:37:42Z</t>
  </si>
  <si>
    <t>_n7gatRsCkSrk0do7AJfAA</t>
  </si>
  <si>
    <t>38ab999a-23ee-4840-8dba-9e2ff3fcf16b</t>
  </si>
  <si>
    <t>2025-11-27T18:37:30Z</t>
  </si>
  <si>
    <t>_gg_K6ZDmEmggswY4QRVAA</t>
  </si>
  <si>
    <t>4ed33958-ca9a-4b7a-8273-6c648d0b526a</t>
  </si>
  <si>
    <t>2025-11-27T18:37:29Z</t>
  </si>
  <si>
    <t>1tEpNAUmF0qIgOwmkGMEAA</t>
  </si>
  <si>
    <t>1bfc7efa-66e0-4768-8daa-b590a754fd85</t>
  </si>
  <si>
    <t>2025-11-27T18:34:48Z</t>
  </si>
  <si>
    <t>dqftRLjyQUK-GBZFPx8sAA</t>
  </si>
  <si>
    <t>40c9d12a-7c1b-4ab7-8ff8-bec396218152</t>
  </si>
  <si>
    <t>2025-11-27T18:34:46Z</t>
  </si>
  <si>
    <t>JxSdi59FiUexTBFR7qESAA</t>
  </si>
  <si>
    <t>2025-11-27T18:34:17Z</t>
  </si>
  <si>
    <t>enQb2looC0-wpk2osiJZAA</t>
  </si>
  <si>
    <t>81977346-eb18-4a9f-8c24-5449a446e831</t>
  </si>
  <si>
    <t>2025-11-27T18:34:10Z</t>
  </si>
  <si>
    <t>wWL0SaStmkC0kwwhYtlZAA</t>
  </si>
  <si>
    <t>246b1ebf-c391-48f1-8d85-27fc6e8e3adc</t>
  </si>
  <si>
    <t>2025-11-27T18:34:08Z</t>
  </si>
  <si>
    <t>Me1QP3Ydfk-wODK8OQAFAA</t>
  </si>
  <si>
    <t>2025-11-27T18:34:05Z</t>
  </si>
  <si>
    <t>frsHrGDKAEuSK1H01sYJAA</t>
  </si>
  <si>
    <t>2025-11-27T15:59:19Z</t>
  </si>
  <si>
    <t>cfa25722-e618-47bf-8b8b-b9ed2f00e382</t>
  </si>
  <si>
    <t>wsuGimzaEkWSdEL7UkCjAA</t>
  </si>
  <si>
    <t>2e1b9aae-bb87-4a5d-8baa-0857cff64b38</t>
  </si>
  <si>
    <t>2025-11-27T15:51:14Z</t>
  </si>
  <si>
    <t>2a11:a580:842b:4e26:7ec1:48a9:f8ed:10e8</t>
  </si>
  <si>
    <t>yJpOiwNNqEG9B_1NTPCGAA</t>
  </si>
  <si>
    <t>77b86b2e-7ab1-4e27-8ed9-3414a3cbdfbf</t>
  </si>
  <si>
    <t>Clarksville</t>
  </si>
  <si>
    <t>Tennessee, Montgomery</t>
  </si>
  <si>
    <t>2025-11-27T15:40:00Z</t>
  </si>
  <si>
    <t>2601:742:201:2bfe:df3b:4da3:c808:5d38</t>
  </si>
  <si>
    <t>R2HFsU1Z40Cq3-RWAegCAA</t>
  </si>
  <si>
    <t>f1333247-53b7-4d31-877c-487c16bb6465</t>
  </si>
  <si>
    <t>2025-11-27T15:28:15Z</t>
  </si>
  <si>
    <t>t61-CAzkP0OmLbO2ZEfxAA</t>
  </si>
  <si>
    <t>8788c8eb-0d6a-449a-8211-ec2a5abb1b2f</t>
  </si>
  <si>
    <t>2025-11-27T15:26:02Z</t>
  </si>
  <si>
    <t>ssxrpqYDaEmHrc97A1bUAA</t>
  </si>
  <si>
    <t>17a2dd1c-e3f1-4584-8db0-2b0edebfbb34</t>
  </si>
  <si>
    <t>2025-11-27T15:06:23Z</t>
  </si>
  <si>
    <t>2601:742:8000:9c2c:fa80:1494:1eda:edec</t>
  </si>
  <si>
    <t>fRWNKV1LnUOqSPSxAIzCAA</t>
  </si>
  <si>
    <t>5d7a583f-7873-4f54-8ab9-7bb45c5b87df</t>
  </si>
  <si>
    <t>Mount Pleasant</t>
  </si>
  <si>
    <t>2025-11-27T14:34:07Z</t>
  </si>
  <si>
    <t>43c9ff4d-f36f-4693-844b-b8fdca81044e</t>
  </si>
  <si>
    <t>IuRV90irCEyrFTz4p7EHAA</t>
  </si>
  <si>
    <t>efcaca2d-61af-41a5-8615-0174eee4947b</t>
  </si>
  <si>
    <t>2025-11-27T10:46:15Z</t>
  </si>
  <si>
    <t>190.124.6.188</t>
  </si>
  <si>
    <t>Rosewood</t>
  </si>
  <si>
    <t xml:space="preserve"> East Province</t>
  </si>
  <si>
    <t xml:space="preserve"> AR</t>
  </si>
  <si>
    <t>wgtqUzwsS0KiqLxe1fFeAA</t>
  </si>
  <si>
    <t>0b88f851-471f-4581-815f-5dbbec9b1317</t>
  </si>
  <si>
    <t>AR</t>
  </si>
  <si>
    <t>Buenos Aires</t>
  </si>
  <si>
    <t>Lujan</t>
  </si>
  <si>
    <t>Coop. Telefonica y de obras y serv. publicos de Villa Flandria</t>
  </si>
  <si>
    <t>AS28051</t>
  </si>
  <si>
    <t>190.124.0.0-190.124.15.255</t>
  </si>
  <si>
    <t>Luj?n</t>
  </si>
  <si>
    <t>Coop. Telef*nica y de obras y serv. p*blicos de Villa Flandria</t>
  </si>
  <si>
    <t>0.0032 (Low)</t>
  </si>
  <si>
    <t>190.124.6.0/24</t>
  </si>
  <si>
    <t>Buenos Aires, Partido de Luj?n</t>
  </si>
  <si>
    <t>Coop. Telef?nica y de obras y serv. p?blicos de Villa Flandria</t>
  </si>
  <si>
    <t>2025-11-27T07:33:17Z</t>
  </si>
  <si>
    <t>2a11:a580:8413:b6c9:b06a:ff32:73a0:f83f</t>
  </si>
  <si>
    <t>GMO6bPsS_EecbjTKqihLAA</t>
  </si>
  <si>
    <t>1f674b4f-fd53-4b22-85ce-5d4dbc30e0b2</t>
  </si>
  <si>
    <t>Washington</t>
  </si>
  <si>
    <t>Bellevue</t>
  </si>
  <si>
    <t>US WA</t>
  </si>
  <si>
    <t>Washington, King</t>
  </si>
  <si>
    <t>2025-11-27T04:48:13Z</t>
  </si>
  <si>
    <t>73.88.196.188</t>
  </si>
  <si>
    <t>Garrison</t>
  </si>
  <si>
    <t xml:space="preserve"> Central Province 2</t>
  </si>
  <si>
    <t>vzcc3cRPbku9r6O30yNDAA</t>
  </si>
  <si>
    <t>3dfaab49-0b50-4b38-8b93-7903084efe93</t>
  </si>
  <si>
    <t>Hendersonville</t>
  </si>
  <si>
    <t>73.88.193.180-73.89.189.137</t>
  </si>
  <si>
    <t>Kentucky</t>
  </si>
  <si>
    <t>Paducah</t>
  </si>
  <si>
    <t>Kentucky, McCracken</t>
  </si>
  <si>
    <t>2025-11-26T21:45:48Z</t>
  </si>
  <si>
    <t>73.224.171.213</t>
  </si>
  <si>
    <t>Meadowbrook 1</t>
  </si>
  <si>
    <t>fzr3LNIybE-SZJ5olzM-AA</t>
  </si>
  <si>
    <t>90e54d42-aca4-4193-8fe9-0ee7cd327e1e</t>
  </si>
  <si>
    <t>Florida</t>
  </si>
  <si>
    <t>Jacksonville</t>
  </si>
  <si>
    <t>73.223.238.17-73.226.5.4</t>
  </si>
  <si>
    <t>Oakleaf Plantation</t>
  </si>
  <si>
    <t>Florida, Duval</t>
  </si>
  <si>
    <t>Jacksonville (Southwest)</t>
  </si>
  <si>
    <t>Comcast Cable Communications, Inc.</t>
  </si>
  <si>
    <t>2025-11-26T20:10:57Z</t>
  </si>
  <si>
    <t>104.167.26.130</t>
  </si>
  <si>
    <t>Xn8x2q_R0Ey1NjNFC-mRAA</t>
  </si>
  <si>
    <t>ec23f039-cfa7-45bc-83a9-e77e4a69fe3c</t>
  </si>
  <si>
    <t>"is_datacenter","is_proxy","is_abuser"</t>
  </si>
  <si>
    <t>2025-11-26T19:37:10Z</t>
  </si>
  <si>
    <t>73.196.144.49</t>
  </si>
  <si>
    <t>Willowdale 1</t>
  </si>
  <si>
    <t xml:space="preserve"> North Province 1</t>
  </si>
  <si>
    <t>qAII16FLIU-arkF1GaiTAA</t>
  </si>
  <si>
    <t>32397459-2feb-4645-8ac6-b925e0701413</t>
  </si>
  <si>
    <t>New Jersey</t>
  </si>
  <si>
    <t>Galloway</t>
  </si>
  <si>
    <t>73.196.46.161-73.197.72.138</t>
  </si>
  <si>
    <t>Newark</t>
  </si>
  <si>
    <t>New Jersey, Essex</t>
  </si>
  <si>
    <t>2025-11-26T18:39:10Z</t>
  </si>
  <si>
    <t>132.148.74.203</t>
  </si>
  <si>
    <t>Pinehurst</t>
  </si>
  <si>
    <t xml:space="preserve"> Coastal Region</t>
  </si>
  <si>
    <t>xG9qF-EphUWaRNsrdiGwAA</t>
  </si>
  <si>
    <t>9853985e-4e56-4b55-892e-7d3a9b853afa</t>
  </si>
  <si>
    <t>"GoDaddy.com, LLC"</t>
  </si>
  <si>
    <t>AS398101</t>
  </si>
  <si>
    <t>132.148.68.0-132.148.91.255</t>
  </si>
  <si>
    <t>Arizona</t>
  </si>
  <si>
    <t>Tempe</t>
  </si>
  <si>
    <t>GoDaddy.com, LLC</t>
  </si>
  <si>
    <t>0.0062 (Low)</t>
  </si>
  <si>
    <t>132.148.72.0/21</t>
  </si>
  <si>
    <t>Arizona, Maricopa</t>
  </si>
  <si>
    <t>Tempe (South Tempe)</t>
  </si>
  <si>
    <t>2025-11-26T16:41:10Z</t>
  </si>
  <si>
    <t>68.52.119.98</t>
  </si>
  <si>
    <t>Westbrook 1</t>
  </si>
  <si>
    <t xml:space="preserve"> Central Province 3</t>
  </si>
  <si>
    <t>FJ5G-9gfO0mfdYR9tho4AA</t>
  </si>
  <si>
    <t>4c7cb289-6835-44c7-8bf6-73ef384992b3</t>
  </si>
  <si>
    <t>Brentwood</t>
  </si>
  <si>
    <t>68.51.123.192-68.52.122.171</t>
  </si>
  <si>
    <t>68.32.0.0/11</t>
  </si>
  <si>
    <t>Tennessee, Davidson</t>
  </si>
  <si>
    <t>Goodlettsville</t>
  </si>
  <si>
    <t>2025-11-25T13:41:02Z</t>
  </si>
  <si>
    <t>38.47.99.254</t>
  </si>
  <si>
    <t>Glenwood 2</t>
  </si>
  <si>
    <t xml:space="preserve"> South Province 3</t>
  </si>
  <si>
    <t xml:space="preserve"> CA</t>
  </si>
  <si>
    <t>9bIPI8nrFkuDYmpru3CCAA</t>
  </si>
  <si>
    <t>5274670a-29c8-41c6-8ad3-4ce4d7f358f7</t>
  </si>
  <si>
    <t>JP</t>
  </si>
  <si>
    <t>Osaka</t>
  </si>
  <si>
    <t>VMISS Inc.</t>
  </si>
  <si>
    <t>AS400464</t>
  </si>
  <si>
    <t>38.47.96.0-38.47.99.255</t>
  </si>
  <si>
    <t>Idaho</t>
  </si>
  <si>
    <t>Idaho Falls</t>
  </si>
  <si>
    <t>0.0093 (Elevated)</t>
  </si>
  <si>
    <t>38.47.99.0/24</t>
  </si>
  <si>
    <t>Osaka, Osaka-shi</t>
  </si>
  <si>
    <t>VMISS Inc</t>
  </si>
  <si>
    <t>2025-11-25T11:59:47Z</t>
  </si>
  <si>
    <t>04ec8d82-9977-4cb1-8f00-929852b67aff</t>
  </si>
  <si>
    <t>d7StBrzIa0yjDl6mMQB9AA</t>
  </si>
  <si>
    <t>d9d680b6-43a5-4140-8c5d-dd4cf9dd2b0d</t>
  </si>
  <si>
    <t>2025-11-25T00:45:38Z</t>
  </si>
  <si>
    <t>117.220.12.181</t>
  </si>
  <si>
    <t>Cedarville 1</t>
  </si>
  <si>
    <t>gmrS7ZOT3UCBtcpb3I4qAA</t>
  </si>
  <si>
    <t>247f7d13-6ec0-430d-8d05-bfe0146a261f</t>
  </si>
  <si>
    <t>Punjab</t>
  </si>
  <si>
    <t>Fatehpur</t>
  </si>
  <si>
    <t>National Internet Backbone</t>
  </si>
  <si>
    <t>AS9829</t>
  </si>
  <si>
    <t>117.192.0.0-117.228.47.255</t>
  </si>
  <si>
    <t>Karnataka</t>
  </si>
  <si>
    <t>Bengaluru</t>
  </si>
  <si>
    <t>Bharat Sanchar Nigam Ltd</t>
  </si>
  <si>
    <t>Broadband Networks</t>
  </si>
  <si>
    <t>117.220.0.0/20</t>
  </si>
  <si>
    <t>Karnataka, Bengaluru Urban</t>
  </si>
  <si>
    <t>BSNL Internet</t>
  </si>
  <si>
    <t>2025-11-25T00:23:23Z</t>
  </si>
  <si>
    <t>187.45.187.163</t>
  </si>
  <si>
    <t>Thornbury</t>
  </si>
  <si>
    <t>uLOWko5ngkKWzFOA9K92AA</t>
  </si>
  <si>
    <t>04a5699b-5298-4086-80e5-095bafc41dcb</t>
  </si>
  <si>
    <t>DIMENOC SERVICOS DE INFORMATICA LTDA</t>
  </si>
  <si>
    <t>AS53055</t>
  </si>
  <si>
    <t>187.45.176.0-187.45.191.255</t>
  </si>
  <si>
    <t>Para?ba</t>
  </si>
  <si>
    <t>Jo?o Pessoa</t>
  </si>
  <si>
    <t>0.0011 (Low)</t>
  </si>
  <si>
    <t>187.45.187.0/24</t>
  </si>
  <si>
    <t>S?o Paulo, S?o Paulo</t>
  </si>
  <si>
    <t>Dimenoc Servicos De Informatica Ltda</t>
  </si>
  <si>
    <t>HostDime</t>
  </si>
  <si>
    <t>2025-11-24T23:20:47Z</t>
  </si>
  <si>
    <t>174.77.111.108</t>
  </si>
  <si>
    <t>Northgate</t>
  </si>
  <si>
    <t xml:space="preserve"> Coastal Region 2</t>
  </si>
  <si>
    <t>r5Rp134l60WM9bsF_Z8YAA</t>
  </si>
  <si>
    <t>a7af836a-d5a7-494b-8a4b-4b9d562622eb</t>
  </si>
  <si>
    <t>Rhode Island</t>
  </si>
  <si>
    <t>174.77.12.0-174.77.116.255</t>
  </si>
  <si>
    <t>174.64.0.0/12</t>
  </si>
  <si>
    <t>Florida, Escambia</t>
  </si>
  <si>
    <t>Pensacola</t>
  </si>
  <si>
    <t>2025-11-24T19:51:05Z</t>
  </si>
  <si>
    <t>2601:742:8000:83fe:d1be:cedf:1b9f:b992</t>
  </si>
  <si>
    <t>Jc4E2cyTw0u_33WorqtiAA</t>
  </si>
  <si>
    <t>bf873046-6be5-4ab0-8a52-b70aa1c3ad6f</t>
  </si>
  <si>
    <t>2025-11-24T19:50:06Z</t>
  </si>
  <si>
    <t>hy3-IrRzREO21V3a8oBlAA</t>
  </si>
  <si>
    <t>2025-11-24T16:14:39Z</t>
  </si>
  <si>
    <t>1f010ff3-fc24-428f-8e89-1e10667aed7e</t>
  </si>
  <si>
    <t>RFiey2yIcEmgzsLNq8kFAA</t>
  </si>
  <si>
    <t>a380c6ed-54c1-4b8c-8450-cdbe2c182130</t>
  </si>
  <si>
    <t>IPaddressFrequency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</si>
</sst>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CB"/>
        <bgColor indexed="64"/>
      </patternFill>
    </fill>
    <fill>
      <patternFill patternType="solid">
        <fgColor rgb="FFDB7093"/>
        <bgColor indexed="64"/>
      </patternFill>
    </fill>
    <fill>
      <patternFill patternType="solid">
        <fgColor rgb="FF98FB98"/>
        <bgColor indexed="64"/>
      </patternFill>
    </fill>
    <fill>
      <patternFill patternType="solid">
        <fgColor rgb="FFAFEEE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1" fontId="0" fillId="0" borderId="0" xfId="0" applyNumberFormat="1"/>
    <xf numFmtId="0" fontId="0" fillId="33" borderId="0" xfId="0" applyFill="1"/>
    <xf numFmtId="14" fontId="0" fillId="33" borderId="0" xfId="0" applyNumberFormat="1" applyFill="1"/>
    <xf numFmtId="21" fontId="0" fillId="33" borderId="0" xfId="0" applyNumberFormat="1" applyFill="1"/>
    <xf numFmtId="0" fontId="0" fillId="34" borderId="0" xfId="0" applyFill="1"/>
    <xf numFmtId="0" fontId="0" fillId="35" borderId="0" xfId="0" applyFill="1"/>
    <xf numFmtId="14" fontId="0" fillId="35" borderId="0" xfId="0" applyNumberFormat="1" applyFill="1"/>
    <xf numFmtId="21" fontId="0" fillId="35" borderId="0" xfId="0" applyNumberFormat="1"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B09CD-8CF5-4BAA-9F09-9B7503F09B09}">
  <dimension ref="A1:BZ104"/>
  <sheetViews>
    <sheetView tabSelected="1" workbookViewId="0">
      <pane ySplit="1" topLeftCell="A2" activePane="bottomLeft" state="frozenSplit"/>
      <selection pane="bottomLeft" activeCell="F32" sqref="F32"/>
    </sheetView>
  </sheetViews>
  <sheetFormatPr defaultRowHeight="14.5" x14ac:dyDescent="0.35"/>
  <cols>
    <col min="1" max="1" width="19.1796875" bestFit="1" customWidth="1"/>
    <col min="2" max="2" width="10.08984375" hidden="1" customWidth="1"/>
    <col min="3" max="3" width="8.36328125" hidden="1" customWidth="1"/>
    <col min="4" max="4" width="14.6328125" bestFit="1" customWidth="1"/>
    <col min="5" max="5" width="26.26953125" bestFit="1" customWidth="1"/>
    <col min="6" max="6" width="37.1796875" bestFit="1" customWidth="1"/>
    <col min="7" max="7" width="19.7265625" bestFit="1" customWidth="1"/>
    <col min="8" max="8" width="13.54296875" bestFit="1" customWidth="1"/>
    <col min="9" max="9" width="16" bestFit="1" customWidth="1"/>
    <col min="10" max="10" width="7.1796875" bestFit="1" customWidth="1"/>
    <col min="11" max="11" width="9.81640625" bestFit="1" customWidth="1"/>
    <col min="12" max="12" width="13.90625" bestFit="1" customWidth="1"/>
    <col min="13" max="13" width="8.36328125" bestFit="1" customWidth="1"/>
    <col min="14" max="14" width="23.54296875" bestFit="1" customWidth="1"/>
    <col min="15" max="15" width="16.08984375" bestFit="1" customWidth="1"/>
    <col min="16" max="16" width="18.08984375" bestFit="1" customWidth="1"/>
    <col min="17" max="17" width="39.08984375" bestFit="1" customWidth="1"/>
    <col min="18" max="18" width="35.90625" hidden="1" customWidth="1"/>
    <col min="19" max="19" width="24.1796875" bestFit="1" customWidth="1"/>
    <col min="20" max="20" width="35.90625" hidden="1" customWidth="1"/>
    <col min="21" max="21" width="50.6328125" customWidth="1"/>
    <col min="22" max="22" width="27.1796875" bestFit="1" customWidth="1"/>
    <col min="23" max="23" width="35" bestFit="1" customWidth="1"/>
    <col min="24" max="24" width="13.81640625" bestFit="1" customWidth="1"/>
    <col min="25" max="25" width="10.08984375" bestFit="1" customWidth="1"/>
    <col min="26" max="26" width="50.6328125" customWidth="1"/>
    <col min="27" max="27" width="9.1796875" bestFit="1" customWidth="1"/>
    <col min="28" max="28" width="8.1796875" bestFit="1" customWidth="1"/>
    <col min="29" max="29" width="16.7265625" bestFit="1" customWidth="1"/>
    <col min="30" max="30" width="7.1796875" bestFit="1" customWidth="1"/>
    <col min="31" max="31" width="50.6328125" customWidth="1"/>
    <col min="32" max="32" width="16.36328125" bestFit="1" customWidth="1"/>
    <col min="33" max="33" width="9.1796875" hidden="1" customWidth="1"/>
    <col min="34" max="34" width="26.26953125" bestFit="1" customWidth="1"/>
    <col min="35" max="35" width="35.90625" hidden="1" customWidth="1"/>
    <col min="36" max="36" width="19.7265625" bestFit="1" customWidth="1"/>
    <col min="37" max="37" width="25.36328125" bestFit="1" customWidth="1"/>
    <col min="38" max="38" width="13.6328125" bestFit="1" customWidth="1"/>
    <col min="39" max="39" width="14.1796875" bestFit="1" customWidth="1"/>
    <col min="40" max="40" width="20.54296875" bestFit="1" customWidth="1"/>
    <col min="41" max="41" width="23.81640625" bestFit="1" customWidth="1"/>
    <col min="42" max="42" width="40.453125" hidden="1" customWidth="1"/>
    <col min="43" max="43" width="20.90625" bestFit="1" customWidth="1"/>
    <col min="44" max="44" width="26.81640625" bestFit="1" customWidth="1"/>
    <col min="45" max="45" width="19" bestFit="1" customWidth="1"/>
    <col min="46" max="47" width="49.36328125" bestFit="1" customWidth="1"/>
    <col min="48" max="48" width="18.26953125" hidden="1" customWidth="1"/>
    <col min="49" max="49" width="19.1796875" hidden="1" customWidth="1"/>
    <col min="50" max="50" width="17.90625" bestFit="1" customWidth="1"/>
    <col min="51" max="51" width="49.08984375" bestFit="1" customWidth="1"/>
    <col min="52" max="52" width="15.7265625" bestFit="1" customWidth="1"/>
    <col min="53" max="53" width="17.54296875" bestFit="1" customWidth="1"/>
    <col min="54" max="54" width="18.90625" bestFit="1" customWidth="1"/>
    <col min="55" max="55" width="49.36328125" bestFit="1" customWidth="1"/>
    <col min="56" max="56" width="50" bestFit="1" customWidth="1"/>
    <col min="57" max="57" width="38.453125" bestFit="1" customWidth="1"/>
    <col min="58" max="58" width="15.6328125" bestFit="1" customWidth="1"/>
    <col min="59" max="59" width="12.6328125" bestFit="1" customWidth="1"/>
    <col min="60" max="60" width="17.81640625" bestFit="1" customWidth="1"/>
    <col min="61" max="61" width="20.26953125" hidden="1" customWidth="1"/>
    <col min="62" max="62" width="19.36328125" hidden="1" customWidth="1"/>
    <col min="63" max="63" width="17.08984375" hidden="1" customWidth="1"/>
    <col min="64" max="64" width="16.36328125" hidden="1" customWidth="1"/>
    <col min="65" max="65" width="16.7265625" hidden="1" customWidth="1"/>
    <col min="66" max="66" width="17.6328125" hidden="1" customWidth="1"/>
    <col min="67" max="67" width="18.54296875" bestFit="1" customWidth="1"/>
    <col min="68" max="68" width="17.26953125" hidden="1" customWidth="1"/>
    <col min="69" max="69" width="18.90625" hidden="1" customWidth="1"/>
    <col min="70" max="70" width="17.6328125" bestFit="1" customWidth="1"/>
    <col min="71" max="71" width="40.36328125" bestFit="1" customWidth="1"/>
    <col min="72" max="72" width="28.453125" bestFit="1" customWidth="1"/>
    <col min="73" max="74" width="49.1796875" bestFit="1" customWidth="1"/>
    <col min="75" max="75" width="14.90625" bestFit="1" customWidth="1"/>
    <col min="76" max="76" width="15.81640625" hidden="1" customWidth="1"/>
    <col min="77" max="77" width="14.54296875" hidden="1" customWidth="1"/>
    <col min="78" max="78" width="16.1796875" hidden="1" customWidth="1"/>
  </cols>
  <sheetData>
    <row r="1" spans="1:78" x14ac:dyDescent="0.35">
      <c r="A1" t="s">
        <v>0</v>
      </c>
      <c r="B1" t="s">
        <v>1</v>
      </c>
      <c r="C1" t="s">
        <v>2</v>
      </c>
      <c r="D1" t="s">
        <v>3</v>
      </c>
      <c r="E1" t="s">
        <v>4</v>
      </c>
      <c r="F1" t="s">
        <v>5</v>
      </c>
      <c r="G1" t="s">
        <v>1097</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row>
    <row r="2" spans="1:78" x14ac:dyDescent="0.35">
      <c r="A2" t="s">
        <v>77</v>
      </c>
      <c r="B2" s="1">
        <v>45991</v>
      </c>
      <c r="C2" s="2">
        <v>0.66745370370370372</v>
      </c>
      <c r="D2" t="s">
        <v>78</v>
      </c>
      <c r="E2" t="s">
        <v>79</v>
      </c>
      <c r="F2" t="s">
        <v>80</v>
      </c>
      <c r="G2">
        <f>COUNTIF($F$2:$F$104,F2)</f>
        <v>7</v>
      </c>
      <c r="H2" t="s">
        <v>81</v>
      </c>
      <c r="I2" t="s">
        <v>82</v>
      </c>
      <c r="J2" t="s">
        <v>83</v>
      </c>
      <c r="K2" t="s">
        <v>84</v>
      </c>
      <c r="M2" t="s">
        <v>85</v>
      </c>
      <c r="N2" t="s">
        <v>86</v>
      </c>
      <c r="O2" t="s">
        <v>87</v>
      </c>
      <c r="P2" t="s">
        <v>88</v>
      </c>
      <c r="Q2" t="s">
        <v>89</v>
      </c>
      <c r="R2" t="s">
        <v>90</v>
      </c>
      <c r="S2" t="s">
        <v>91</v>
      </c>
      <c r="T2" t="s">
        <v>92</v>
      </c>
      <c r="U2" t="s">
        <v>93</v>
      </c>
      <c r="V2" t="s">
        <v>22</v>
      </c>
      <c r="X2" t="s">
        <v>94</v>
      </c>
      <c r="Y2" t="s">
        <v>95</v>
      </c>
      <c r="Z2" t="s">
        <v>96</v>
      </c>
      <c r="AA2" t="b">
        <v>0</v>
      </c>
      <c r="AB2" t="b">
        <v>0</v>
      </c>
      <c r="AD2">
        <v>71</v>
      </c>
      <c r="AE2" t="s">
        <v>97</v>
      </c>
      <c r="AI2" t="s">
        <v>98</v>
      </c>
      <c r="AJ2" t="s">
        <v>88</v>
      </c>
      <c r="AK2" t="s">
        <v>99</v>
      </c>
      <c r="AL2" t="s">
        <v>88</v>
      </c>
      <c r="AM2" t="s">
        <v>88</v>
      </c>
      <c r="AN2" t="s">
        <v>100</v>
      </c>
      <c r="AO2">
        <v>1002</v>
      </c>
      <c r="AP2" t="s">
        <v>101</v>
      </c>
      <c r="AQ2" t="s">
        <v>102</v>
      </c>
      <c r="AR2" t="s">
        <v>103</v>
      </c>
      <c r="AS2" t="s">
        <v>104</v>
      </c>
      <c r="AT2" t="s">
        <v>105</v>
      </c>
      <c r="AU2" t="s">
        <v>105</v>
      </c>
      <c r="AX2" t="s">
        <v>106</v>
      </c>
      <c r="AY2" t="s">
        <v>107</v>
      </c>
      <c r="AZ2" t="s">
        <v>102</v>
      </c>
      <c r="BA2" t="s">
        <v>103</v>
      </c>
      <c r="BB2" t="s">
        <v>104</v>
      </c>
      <c r="BC2" t="s">
        <v>108</v>
      </c>
      <c r="BD2" t="s">
        <v>108</v>
      </c>
      <c r="BF2" t="s">
        <v>109</v>
      </c>
      <c r="BG2">
        <v>7018</v>
      </c>
      <c r="BH2" t="s">
        <v>110</v>
      </c>
      <c r="BO2">
        <v>5</v>
      </c>
      <c r="BR2" t="s">
        <v>102</v>
      </c>
      <c r="BS2" t="s">
        <v>111</v>
      </c>
      <c r="BT2" t="s">
        <v>112</v>
      </c>
      <c r="BU2" t="s">
        <v>108</v>
      </c>
      <c r="BV2" t="s">
        <v>113</v>
      </c>
      <c r="BW2" t="s">
        <v>114</v>
      </c>
    </row>
    <row r="3" spans="1:78" s="3" customFormat="1" x14ac:dyDescent="0.35">
      <c r="A3" s="3" t="s">
        <v>115</v>
      </c>
      <c r="B3" s="4">
        <v>45991</v>
      </c>
      <c r="C3" s="5">
        <v>0.66717592592592589</v>
      </c>
      <c r="D3" s="3" t="s">
        <v>116</v>
      </c>
      <c r="E3" s="3" t="s">
        <v>117</v>
      </c>
      <c r="F3" s="3" t="s">
        <v>118</v>
      </c>
      <c r="G3" s="3">
        <f>COUNTIF($F$2:$F$104,F3)</f>
        <v>8</v>
      </c>
      <c r="H3" s="3" t="s">
        <v>119</v>
      </c>
      <c r="I3" s="3" t="s">
        <v>82</v>
      </c>
      <c r="J3" s="3" t="s">
        <v>83</v>
      </c>
      <c r="K3" s="3" t="s">
        <v>120</v>
      </c>
      <c r="L3" s="3">
        <v>50057</v>
      </c>
      <c r="M3" s="3" t="s">
        <v>85</v>
      </c>
      <c r="N3" s="3" t="s">
        <v>121</v>
      </c>
      <c r="O3" s="3" t="s">
        <v>87</v>
      </c>
      <c r="P3" s="3" t="s">
        <v>88</v>
      </c>
      <c r="Q3" s="3" t="s">
        <v>122</v>
      </c>
      <c r="R3" s="3" t="s">
        <v>123</v>
      </c>
      <c r="S3" s="3" t="s">
        <v>124</v>
      </c>
      <c r="T3" s="3" t="s">
        <v>125</v>
      </c>
      <c r="U3" s="3" t="s">
        <v>126</v>
      </c>
      <c r="V3" s="3" t="s">
        <v>22</v>
      </c>
      <c r="X3" s="3" t="s">
        <v>127</v>
      </c>
      <c r="Y3" s="3" t="s">
        <v>95</v>
      </c>
      <c r="Z3" s="3" t="s">
        <v>128</v>
      </c>
      <c r="AA3" s="3" t="b">
        <v>0</v>
      </c>
      <c r="AB3" s="3" t="b">
        <v>0</v>
      </c>
      <c r="AD3" s="3">
        <v>834</v>
      </c>
      <c r="AE3" s="3" t="s">
        <v>129</v>
      </c>
      <c r="AI3" s="3" t="s">
        <v>130</v>
      </c>
      <c r="AJ3" s="3" t="s">
        <v>88</v>
      </c>
      <c r="AK3" s="3" t="s">
        <v>131</v>
      </c>
      <c r="AL3" s="3" t="s">
        <v>88</v>
      </c>
      <c r="AM3" s="3" t="s">
        <v>88</v>
      </c>
      <c r="AN3" s="3" t="s">
        <v>100</v>
      </c>
      <c r="AO3" s="3">
        <v>1002</v>
      </c>
      <c r="AP3" s="3" t="s">
        <v>132</v>
      </c>
      <c r="AQ3" s="3" t="s">
        <v>102</v>
      </c>
      <c r="AR3" s="3" t="s">
        <v>133</v>
      </c>
      <c r="AS3" s="3" t="s">
        <v>134</v>
      </c>
      <c r="AT3" s="3" t="s">
        <v>135</v>
      </c>
      <c r="AU3" s="3" t="s">
        <v>135</v>
      </c>
      <c r="AX3" s="3" t="s">
        <v>136</v>
      </c>
      <c r="AY3" s="3" t="s">
        <v>137</v>
      </c>
      <c r="AZ3" s="3" t="s">
        <v>102</v>
      </c>
      <c r="BA3" s="3" t="s">
        <v>138</v>
      </c>
      <c r="BB3" s="3" t="s">
        <v>139</v>
      </c>
      <c r="BC3" s="3" t="s">
        <v>135</v>
      </c>
      <c r="BD3" s="3" t="s">
        <v>140</v>
      </c>
      <c r="BE3" s="3" t="s">
        <v>141</v>
      </c>
      <c r="BF3" s="3" t="s">
        <v>142</v>
      </c>
      <c r="BG3" s="3">
        <v>212238</v>
      </c>
      <c r="BH3" s="3" t="s">
        <v>143</v>
      </c>
      <c r="BO3" s="3">
        <v>69</v>
      </c>
      <c r="BR3" s="3" t="s">
        <v>102</v>
      </c>
      <c r="BS3" s="3" t="s">
        <v>144</v>
      </c>
      <c r="BT3" s="3" t="s">
        <v>134</v>
      </c>
      <c r="BU3" s="6" t="s">
        <v>135</v>
      </c>
      <c r="BV3" s="3" t="s">
        <v>145</v>
      </c>
      <c r="BW3" s="3" t="s">
        <v>146</v>
      </c>
    </row>
    <row r="4" spans="1:78" x14ac:dyDescent="0.35">
      <c r="A4" t="s">
        <v>147</v>
      </c>
      <c r="B4" s="1">
        <v>45991</v>
      </c>
      <c r="C4" s="2">
        <v>0.66396990740740736</v>
      </c>
      <c r="D4" t="s">
        <v>78</v>
      </c>
      <c r="E4" t="s">
        <v>79</v>
      </c>
      <c r="F4" t="s">
        <v>80</v>
      </c>
      <c r="G4">
        <f>COUNTIF($F$2:$F$104,F4)</f>
        <v>7</v>
      </c>
      <c r="H4" t="s">
        <v>81</v>
      </c>
      <c r="I4" t="s">
        <v>82</v>
      </c>
      <c r="J4" t="s">
        <v>83</v>
      </c>
      <c r="K4" t="s">
        <v>84</v>
      </c>
      <c r="M4" t="s">
        <v>85</v>
      </c>
      <c r="N4" t="s">
        <v>86</v>
      </c>
      <c r="O4" t="s">
        <v>87</v>
      </c>
      <c r="P4" t="s">
        <v>88</v>
      </c>
      <c r="Q4" t="s">
        <v>148</v>
      </c>
      <c r="R4" t="s">
        <v>149</v>
      </c>
      <c r="S4" t="s">
        <v>150</v>
      </c>
      <c r="T4" t="s">
        <v>151</v>
      </c>
      <c r="U4" t="s">
        <v>93</v>
      </c>
      <c r="V4" t="s">
        <v>22</v>
      </c>
      <c r="X4" t="s">
        <v>94</v>
      </c>
      <c r="Y4" t="s">
        <v>95</v>
      </c>
      <c r="Z4" t="s">
        <v>96</v>
      </c>
      <c r="AA4" t="b">
        <v>0</v>
      </c>
      <c r="AB4" t="b">
        <v>0</v>
      </c>
      <c r="AD4">
        <v>192</v>
      </c>
      <c r="AE4" t="s">
        <v>97</v>
      </c>
      <c r="AI4" t="s">
        <v>98</v>
      </c>
      <c r="AJ4" t="s">
        <v>88</v>
      </c>
      <c r="AK4" t="s">
        <v>152</v>
      </c>
      <c r="AL4" t="s">
        <v>88</v>
      </c>
      <c r="AM4" t="s">
        <v>88</v>
      </c>
      <c r="AN4" t="s">
        <v>100</v>
      </c>
      <c r="AO4">
        <v>1002</v>
      </c>
      <c r="AP4" t="s">
        <v>153</v>
      </c>
      <c r="AQ4" t="s">
        <v>102</v>
      </c>
      <c r="AR4" t="s">
        <v>103</v>
      </c>
      <c r="AS4" t="s">
        <v>104</v>
      </c>
      <c r="AT4" t="s">
        <v>105</v>
      </c>
      <c r="AU4" t="s">
        <v>105</v>
      </c>
      <c r="AX4" t="s">
        <v>106</v>
      </c>
      <c r="AY4" t="s">
        <v>107</v>
      </c>
      <c r="AZ4" t="s">
        <v>102</v>
      </c>
      <c r="BA4" t="s">
        <v>103</v>
      </c>
      <c r="BB4" t="s">
        <v>104</v>
      </c>
      <c r="BC4" t="s">
        <v>108</v>
      </c>
      <c r="BD4" t="s">
        <v>108</v>
      </c>
      <c r="BF4" t="s">
        <v>109</v>
      </c>
      <c r="BG4">
        <v>7018</v>
      </c>
      <c r="BH4" t="s">
        <v>110</v>
      </c>
      <c r="BO4">
        <v>5</v>
      </c>
      <c r="BR4" t="s">
        <v>102</v>
      </c>
      <c r="BS4" t="s">
        <v>111</v>
      </c>
      <c r="BT4" t="s">
        <v>112</v>
      </c>
      <c r="BU4" t="s">
        <v>108</v>
      </c>
      <c r="BV4" t="s">
        <v>113</v>
      </c>
      <c r="BW4" t="s">
        <v>114</v>
      </c>
    </row>
    <row r="5" spans="1:78" x14ac:dyDescent="0.35">
      <c r="A5" t="s">
        <v>154</v>
      </c>
      <c r="B5" s="1">
        <v>45991</v>
      </c>
      <c r="C5" s="2">
        <v>0.6638425925925926</v>
      </c>
      <c r="D5" t="s">
        <v>78</v>
      </c>
      <c r="E5" t="s">
        <v>79</v>
      </c>
      <c r="F5" t="s">
        <v>80</v>
      </c>
      <c r="G5">
        <f>COUNTIF($F$2:$F$104,F5)</f>
        <v>7</v>
      </c>
      <c r="H5" t="s">
        <v>81</v>
      </c>
      <c r="I5" t="s">
        <v>82</v>
      </c>
      <c r="J5" t="s">
        <v>83</v>
      </c>
      <c r="K5" t="s">
        <v>84</v>
      </c>
      <c r="M5" t="s">
        <v>85</v>
      </c>
      <c r="N5" t="s">
        <v>86</v>
      </c>
      <c r="O5" t="s">
        <v>87</v>
      </c>
      <c r="P5" t="s">
        <v>88</v>
      </c>
      <c r="Q5" t="s">
        <v>155</v>
      </c>
      <c r="R5" t="s">
        <v>156</v>
      </c>
      <c r="S5" t="s">
        <v>91</v>
      </c>
      <c r="T5" t="s">
        <v>92</v>
      </c>
      <c r="U5" t="s">
        <v>93</v>
      </c>
      <c r="V5" t="s">
        <v>22</v>
      </c>
      <c r="X5" t="s">
        <v>94</v>
      </c>
      <c r="Y5" t="s">
        <v>95</v>
      </c>
      <c r="Z5" t="s">
        <v>96</v>
      </c>
      <c r="AA5" t="b">
        <v>0</v>
      </c>
      <c r="AB5" t="b">
        <v>0</v>
      </c>
      <c r="AD5">
        <v>95</v>
      </c>
      <c r="AE5" t="s">
        <v>97</v>
      </c>
      <c r="AI5" t="s">
        <v>98</v>
      </c>
      <c r="AJ5" t="s">
        <v>88</v>
      </c>
      <c r="AK5" t="s">
        <v>157</v>
      </c>
      <c r="AL5" t="s">
        <v>88</v>
      </c>
      <c r="AM5" t="s">
        <v>88</v>
      </c>
      <c r="AN5" t="s">
        <v>100</v>
      </c>
      <c r="AO5">
        <v>1002</v>
      </c>
      <c r="AP5" t="s">
        <v>158</v>
      </c>
      <c r="AQ5" t="s">
        <v>102</v>
      </c>
      <c r="AR5" t="s">
        <v>103</v>
      </c>
      <c r="AS5" t="s">
        <v>104</v>
      </c>
      <c r="AT5" t="s">
        <v>105</v>
      </c>
      <c r="AU5" t="s">
        <v>105</v>
      </c>
      <c r="AX5" t="s">
        <v>106</v>
      </c>
      <c r="AY5" t="s">
        <v>107</v>
      </c>
      <c r="AZ5" t="s">
        <v>102</v>
      </c>
      <c r="BA5" t="s">
        <v>103</v>
      </c>
      <c r="BB5" t="s">
        <v>104</v>
      </c>
      <c r="BC5" t="s">
        <v>108</v>
      </c>
      <c r="BD5" t="s">
        <v>108</v>
      </c>
      <c r="BF5" t="s">
        <v>109</v>
      </c>
      <c r="BG5">
        <v>7018</v>
      </c>
      <c r="BH5" t="s">
        <v>110</v>
      </c>
      <c r="BO5">
        <v>5</v>
      </c>
      <c r="BR5" t="s">
        <v>102</v>
      </c>
      <c r="BS5" t="s">
        <v>111</v>
      </c>
      <c r="BT5" t="s">
        <v>112</v>
      </c>
      <c r="BU5" t="s">
        <v>108</v>
      </c>
      <c r="BV5" t="s">
        <v>113</v>
      </c>
      <c r="BW5" t="s">
        <v>114</v>
      </c>
    </row>
    <row r="6" spans="1:78" x14ac:dyDescent="0.35">
      <c r="A6" t="s">
        <v>159</v>
      </c>
      <c r="B6" s="1">
        <v>45991</v>
      </c>
      <c r="C6" s="2">
        <v>0.66378472222222229</v>
      </c>
      <c r="D6" t="s">
        <v>78</v>
      </c>
      <c r="E6" t="s">
        <v>79</v>
      </c>
      <c r="F6" t="s">
        <v>80</v>
      </c>
      <c r="G6">
        <f>COUNTIF($F$2:$F$104,F6)</f>
        <v>7</v>
      </c>
      <c r="H6" t="s">
        <v>81</v>
      </c>
      <c r="I6" t="s">
        <v>82</v>
      </c>
      <c r="J6" t="s">
        <v>83</v>
      </c>
      <c r="K6" t="s">
        <v>84</v>
      </c>
      <c r="M6" t="s">
        <v>85</v>
      </c>
      <c r="N6" t="s">
        <v>86</v>
      </c>
      <c r="O6" t="s">
        <v>87</v>
      </c>
      <c r="P6" t="s">
        <v>88</v>
      </c>
      <c r="Q6" t="s">
        <v>160</v>
      </c>
      <c r="R6" t="s">
        <v>161</v>
      </c>
      <c r="S6" t="s">
        <v>124</v>
      </c>
      <c r="T6" t="s">
        <v>125</v>
      </c>
      <c r="U6" t="s">
        <v>93</v>
      </c>
      <c r="V6" t="s">
        <v>162</v>
      </c>
      <c r="X6" t="s">
        <v>163</v>
      </c>
      <c r="Y6" t="s">
        <v>95</v>
      </c>
      <c r="Z6" t="s">
        <v>164</v>
      </c>
      <c r="AA6" t="b">
        <v>0</v>
      </c>
      <c r="AB6" t="b">
        <v>0</v>
      </c>
      <c r="AD6">
        <v>45</v>
      </c>
      <c r="AE6" t="s">
        <v>165</v>
      </c>
      <c r="AF6" t="s">
        <v>166</v>
      </c>
      <c r="AH6" t="s">
        <v>79</v>
      </c>
      <c r="AI6" t="s">
        <v>167</v>
      </c>
      <c r="AJ6" t="s">
        <v>88</v>
      </c>
      <c r="AK6" t="s">
        <v>168</v>
      </c>
      <c r="AL6" t="s">
        <v>88</v>
      </c>
      <c r="AM6" t="s">
        <v>88</v>
      </c>
      <c r="AN6" t="s">
        <v>100</v>
      </c>
      <c r="AO6">
        <v>1002</v>
      </c>
      <c r="AP6" t="s">
        <v>169</v>
      </c>
      <c r="AQ6" t="s">
        <v>102</v>
      </c>
      <c r="AR6" t="s">
        <v>103</v>
      </c>
      <c r="AS6" t="s">
        <v>104</v>
      </c>
      <c r="AT6" t="s">
        <v>105</v>
      </c>
      <c r="AU6" t="s">
        <v>105</v>
      </c>
      <c r="AX6" t="s">
        <v>106</v>
      </c>
      <c r="AY6" t="s">
        <v>107</v>
      </c>
      <c r="AZ6" t="s">
        <v>102</v>
      </c>
      <c r="BA6" t="s">
        <v>103</v>
      </c>
      <c r="BB6" t="s">
        <v>104</v>
      </c>
      <c r="BC6" t="s">
        <v>108</v>
      </c>
      <c r="BD6" t="s">
        <v>108</v>
      </c>
      <c r="BF6" t="s">
        <v>109</v>
      </c>
      <c r="BG6">
        <v>7018</v>
      </c>
      <c r="BH6" t="s">
        <v>110</v>
      </c>
      <c r="BO6">
        <v>5</v>
      </c>
      <c r="BR6" t="s">
        <v>102</v>
      </c>
      <c r="BS6" t="s">
        <v>111</v>
      </c>
      <c r="BT6" t="s">
        <v>112</v>
      </c>
      <c r="BU6" t="s">
        <v>108</v>
      </c>
      <c r="BV6" t="s">
        <v>113</v>
      </c>
      <c r="BW6" t="s">
        <v>114</v>
      </c>
    </row>
    <row r="7" spans="1:78" x14ac:dyDescent="0.35">
      <c r="A7" t="s">
        <v>170</v>
      </c>
      <c r="B7" s="1">
        <v>45991</v>
      </c>
      <c r="C7" s="2">
        <v>0.66336805555555556</v>
      </c>
      <c r="D7" t="s">
        <v>78</v>
      </c>
      <c r="E7" t="s">
        <v>79</v>
      </c>
      <c r="F7" t="s">
        <v>80</v>
      </c>
      <c r="G7">
        <f>COUNTIF($F$2:$F$104,F7)</f>
        <v>7</v>
      </c>
      <c r="H7" t="s">
        <v>81</v>
      </c>
      <c r="I7" t="s">
        <v>82</v>
      </c>
      <c r="J7" t="s">
        <v>83</v>
      </c>
      <c r="K7" t="s">
        <v>84</v>
      </c>
      <c r="M7" t="s">
        <v>85</v>
      </c>
      <c r="N7" t="s">
        <v>86</v>
      </c>
      <c r="O7" t="s">
        <v>87</v>
      </c>
      <c r="P7" t="s">
        <v>88</v>
      </c>
      <c r="Q7" t="s">
        <v>171</v>
      </c>
      <c r="R7" t="s">
        <v>172</v>
      </c>
      <c r="S7" t="s">
        <v>171</v>
      </c>
      <c r="T7" t="s">
        <v>172</v>
      </c>
      <c r="U7" t="s">
        <v>93</v>
      </c>
      <c r="V7" t="s">
        <v>22</v>
      </c>
      <c r="X7" t="s">
        <v>94</v>
      </c>
      <c r="Y7" t="s">
        <v>95</v>
      </c>
      <c r="Z7" t="s">
        <v>96</v>
      </c>
      <c r="AA7" t="b">
        <v>0</v>
      </c>
      <c r="AB7" t="b">
        <v>0</v>
      </c>
      <c r="AD7">
        <v>94</v>
      </c>
      <c r="AE7" t="s">
        <v>97</v>
      </c>
      <c r="AI7" t="s">
        <v>98</v>
      </c>
      <c r="AJ7" t="s">
        <v>88</v>
      </c>
      <c r="AK7" t="s">
        <v>173</v>
      </c>
      <c r="AL7" t="s">
        <v>88</v>
      </c>
      <c r="AM7" t="s">
        <v>88</v>
      </c>
      <c r="AN7" t="s">
        <v>100</v>
      </c>
      <c r="AO7">
        <v>1002</v>
      </c>
      <c r="AP7" t="s">
        <v>174</v>
      </c>
      <c r="AQ7" t="s">
        <v>102</v>
      </c>
      <c r="AR7" t="s">
        <v>103</v>
      </c>
      <c r="AS7" t="s">
        <v>104</v>
      </c>
      <c r="AT7" t="s">
        <v>105</v>
      </c>
      <c r="AU7" t="s">
        <v>105</v>
      </c>
      <c r="AX7" t="s">
        <v>106</v>
      </c>
      <c r="AY7" t="s">
        <v>107</v>
      </c>
      <c r="AZ7" t="s">
        <v>102</v>
      </c>
      <c r="BA7" t="s">
        <v>103</v>
      </c>
      <c r="BB7" t="s">
        <v>104</v>
      </c>
      <c r="BC7" t="s">
        <v>108</v>
      </c>
      <c r="BD7" t="s">
        <v>108</v>
      </c>
      <c r="BF7" t="s">
        <v>109</v>
      </c>
      <c r="BG7">
        <v>7018</v>
      </c>
      <c r="BH7" t="s">
        <v>110</v>
      </c>
      <c r="BO7">
        <v>5</v>
      </c>
      <c r="BR7" t="s">
        <v>102</v>
      </c>
      <c r="BS7" t="s">
        <v>111</v>
      </c>
      <c r="BT7" t="s">
        <v>112</v>
      </c>
      <c r="BU7" t="s">
        <v>108</v>
      </c>
      <c r="BV7" t="s">
        <v>113</v>
      </c>
      <c r="BW7" t="s">
        <v>114</v>
      </c>
    </row>
    <row r="8" spans="1:78" x14ac:dyDescent="0.35">
      <c r="A8" t="s">
        <v>175</v>
      </c>
      <c r="B8" s="1">
        <v>45991</v>
      </c>
      <c r="C8" s="2">
        <v>0.66335648148148152</v>
      </c>
      <c r="D8" t="s">
        <v>78</v>
      </c>
      <c r="E8" t="s">
        <v>79</v>
      </c>
      <c r="F8" t="s">
        <v>80</v>
      </c>
      <c r="G8">
        <f>COUNTIF($F$2:$F$104,F8)</f>
        <v>7</v>
      </c>
      <c r="H8" t="s">
        <v>81</v>
      </c>
      <c r="I8" t="s">
        <v>82</v>
      </c>
      <c r="J8" t="s">
        <v>83</v>
      </c>
      <c r="K8" t="s">
        <v>84</v>
      </c>
      <c r="M8" t="s">
        <v>85</v>
      </c>
      <c r="N8" t="s">
        <v>86</v>
      </c>
      <c r="O8" t="s">
        <v>87</v>
      </c>
      <c r="P8" t="s">
        <v>88</v>
      </c>
      <c r="Q8" t="s">
        <v>171</v>
      </c>
      <c r="R8" t="s">
        <v>172</v>
      </c>
      <c r="S8" t="s">
        <v>171</v>
      </c>
      <c r="T8" t="s">
        <v>172</v>
      </c>
      <c r="U8" t="s">
        <v>93</v>
      </c>
      <c r="V8" t="s">
        <v>22</v>
      </c>
      <c r="X8" t="s">
        <v>94</v>
      </c>
      <c r="Y8" t="s">
        <v>95</v>
      </c>
      <c r="Z8" t="s">
        <v>96</v>
      </c>
      <c r="AA8" t="b">
        <v>0</v>
      </c>
      <c r="AB8" t="b">
        <v>0</v>
      </c>
      <c r="AD8">
        <v>84</v>
      </c>
      <c r="AE8" t="s">
        <v>97</v>
      </c>
      <c r="AH8" t="s">
        <v>79</v>
      </c>
      <c r="AI8" t="s">
        <v>98</v>
      </c>
      <c r="AJ8" t="s">
        <v>88</v>
      </c>
      <c r="AK8" t="s">
        <v>176</v>
      </c>
      <c r="AL8" t="s">
        <v>88</v>
      </c>
      <c r="AM8" t="s">
        <v>88</v>
      </c>
      <c r="AN8" t="s">
        <v>100</v>
      </c>
      <c r="AO8">
        <v>1002</v>
      </c>
      <c r="AP8" t="s">
        <v>174</v>
      </c>
      <c r="AQ8" t="s">
        <v>102</v>
      </c>
      <c r="AR8" t="s">
        <v>103</v>
      </c>
      <c r="AS8" t="s">
        <v>104</v>
      </c>
      <c r="AT8" t="s">
        <v>105</v>
      </c>
      <c r="AU8" t="s">
        <v>105</v>
      </c>
      <c r="AX8" t="s">
        <v>106</v>
      </c>
      <c r="AY8" t="s">
        <v>107</v>
      </c>
      <c r="AZ8" t="s">
        <v>102</v>
      </c>
      <c r="BA8" t="s">
        <v>103</v>
      </c>
      <c r="BB8" t="s">
        <v>104</v>
      </c>
      <c r="BC8" t="s">
        <v>108</v>
      </c>
      <c r="BD8" t="s">
        <v>108</v>
      </c>
      <c r="BF8" t="s">
        <v>109</v>
      </c>
      <c r="BG8">
        <v>7018</v>
      </c>
      <c r="BH8" t="s">
        <v>110</v>
      </c>
      <c r="BO8">
        <v>5</v>
      </c>
      <c r="BR8" t="s">
        <v>102</v>
      </c>
      <c r="BS8" t="s">
        <v>111</v>
      </c>
      <c r="BT8" t="s">
        <v>112</v>
      </c>
      <c r="BU8" t="s">
        <v>108</v>
      </c>
      <c r="BV8" t="s">
        <v>113</v>
      </c>
      <c r="BW8" t="s">
        <v>114</v>
      </c>
    </row>
    <row r="9" spans="1:78" x14ac:dyDescent="0.35">
      <c r="A9" t="s">
        <v>177</v>
      </c>
      <c r="B9" s="1">
        <v>45991</v>
      </c>
      <c r="C9" s="2">
        <v>0.66332175925925929</v>
      </c>
      <c r="D9" t="s">
        <v>78</v>
      </c>
      <c r="E9" t="s">
        <v>79</v>
      </c>
      <c r="F9" t="s">
        <v>80</v>
      </c>
      <c r="G9">
        <f>COUNTIF($F$2:$F$104,F9)</f>
        <v>7</v>
      </c>
      <c r="H9" t="s">
        <v>81</v>
      </c>
      <c r="I9" t="s">
        <v>82</v>
      </c>
      <c r="J9" t="s">
        <v>83</v>
      </c>
      <c r="K9" t="s">
        <v>178</v>
      </c>
      <c r="L9">
        <v>50140</v>
      </c>
      <c r="M9" t="s">
        <v>85</v>
      </c>
      <c r="N9" t="s">
        <v>86</v>
      </c>
      <c r="O9" t="s">
        <v>87</v>
      </c>
      <c r="P9" t="s">
        <v>88</v>
      </c>
      <c r="Q9" t="s">
        <v>171</v>
      </c>
      <c r="R9" t="s">
        <v>172</v>
      </c>
      <c r="S9" t="s">
        <v>171</v>
      </c>
      <c r="T9" t="s">
        <v>172</v>
      </c>
      <c r="U9" t="s">
        <v>179</v>
      </c>
      <c r="V9" t="s">
        <v>22</v>
      </c>
      <c r="X9" t="s">
        <v>94</v>
      </c>
      <c r="Y9" t="s">
        <v>95</v>
      </c>
      <c r="Z9" t="s">
        <v>96</v>
      </c>
      <c r="AA9" t="b">
        <v>0</v>
      </c>
      <c r="AB9" t="b">
        <v>0</v>
      </c>
      <c r="AD9">
        <v>58</v>
      </c>
      <c r="AE9" t="s">
        <v>180</v>
      </c>
      <c r="AF9" t="s">
        <v>166</v>
      </c>
      <c r="AH9" t="s">
        <v>79</v>
      </c>
      <c r="AI9" t="s">
        <v>98</v>
      </c>
      <c r="AJ9" t="s">
        <v>88</v>
      </c>
      <c r="AK9" t="s">
        <v>181</v>
      </c>
      <c r="AL9" t="s">
        <v>88</v>
      </c>
      <c r="AM9" t="s">
        <v>88</v>
      </c>
      <c r="AN9" t="s">
        <v>100</v>
      </c>
      <c r="AO9">
        <v>1002</v>
      </c>
      <c r="AP9" t="s">
        <v>174</v>
      </c>
      <c r="AQ9" t="s">
        <v>102</v>
      </c>
      <c r="AR9" t="s">
        <v>103</v>
      </c>
      <c r="AS9" t="s">
        <v>104</v>
      </c>
      <c r="AT9" t="s">
        <v>105</v>
      </c>
      <c r="AU9" t="s">
        <v>105</v>
      </c>
      <c r="AX9" t="s">
        <v>106</v>
      </c>
      <c r="AY9" t="s">
        <v>107</v>
      </c>
      <c r="AZ9" t="s">
        <v>102</v>
      </c>
      <c r="BA9" t="s">
        <v>103</v>
      </c>
      <c r="BB9" t="s">
        <v>104</v>
      </c>
      <c r="BC9" t="s">
        <v>108</v>
      </c>
      <c r="BD9" t="s">
        <v>108</v>
      </c>
      <c r="BF9" t="s">
        <v>109</v>
      </c>
      <c r="BG9">
        <v>7018</v>
      </c>
      <c r="BH9" t="s">
        <v>110</v>
      </c>
      <c r="BO9">
        <v>5</v>
      </c>
      <c r="BR9" t="s">
        <v>102</v>
      </c>
      <c r="BS9" t="s">
        <v>111</v>
      </c>
      <c r="BT9" t="s">
        <v>112</v>
      </c>
      <c r="BU9" t="s">
        <v>108</v>
      </c>
      <c r="BV9" t="s">
        <v>113</v>
      </c>
      <c r="BW9" t="s">
        <v>114</v>
      </c>
    </row>
    <row r="10" spans="1:78" s="3" customFormat="1" x14ac:dyDescent="0.35">
      <c r="A10" s="3" t="s">
        <v>182</v>
      </c>
      <c r="B10" s="4">
        <v>45991</v>
      </c>
      <c r="C10" s="5">
        <v>0.62912037037037039</v>
      </c>
      <c r="D10" s="3" t="s">
        <v>116</v>
      </c>
      <c r="E10" s="3" t="s">
        <v>117</v>
      </c>
      <c r="F10" s="3" t="s">
        <v>118</v>
      </c>
      <c r="G10" s="3">
        <f>COUNTIF($F$2:$F$104,F10)</f>
        <v>8</v>
      </c>
      <c r="H10" s="3" t="s">
        <v>119</v>
      </c>
      <c r="I10" s="3" t="s">
        <v>82</v>
      </c>
      <c r="J10" s="3" t="s">
        <v>83</v>
      </c>
      <c r="K10" s="3" t="s">
        <v>84</v>
      </c>
      <c r="M10" s="3" t="s">
        <v>85</v>
      </c>
      <c r="N10" s="3" t="s">
        <v>121</v>
      </c>
      <c r="O10" s="3" t="s">
        <v>87</v>
      </c>
      <c r="P10" s="3" t="s">
        <v>88</v>
      </c>
      <c r="Q10" s="3" t="s">
        <v>183</v>
      </c>
      <c r="R10" s="3" t="s">
        <v>184</v>
      </c>
      <c r="S10" s="3" t="s">
        <v>91</v>
      </c>
      <c r="T10" s="3" t="s">
        <v>92</v>
      </c>
      <c r="U10" s="3" t="s">
        <v>93</v>
      </c>
      <c r="V10" s="3" t="s">
        <v>22</v>
      </c>
      <c r="X10" s="3" t="s">
        <v>127</v>
      </c>
      <c r="Y10" s="3" t="s">
        <v>95</v>
      </c>
      <c r="Z10" s="3" t="s">
        <v>128</v>
      </c>
      <c r="AA10" s="3" t="b">
        <v>0</v>
      </c>
      <c r="AB10" s="3" t="b">
        <v>0</v>
      </c>
      <c r="AD10" s="3">
        <v>90</v>
      </c>
      <c r="AI10" s="3" t="s">
        <v>130</v>
      </c>
      <c r="AJ10" s="3" t="s">
        <v>88</v>
      </c>
      <c r="AK10" s="3" t="s">
        <v>185</v>
      </c>
      <c r="AL10" s="3" t="s">
        <v>88</v>
      </c>
      <c r="AM10" s="3" t="s">
        <v>88</v>
      </c>
      <c r="AN10" s="3" t="s">
        <v>100</v>
      </c>
      <c r="AO10" s="3">
        <v>1002</v>
      </c>
      <c r="AP10" s="3" t="s">
        <v>186</v>
      </c>
      <c r="AQ10" s="3" t="s">
        <v>102</v>
      </c>
      <c r="AR10" s="3" t="s">
        <v>133</v>
      </c>
      <c r="AS10" s="3" t="s">
        <v>134</v>
      </c>
      <c r="AT10" s="3" t="s">
        <v>135</v>
      </c>
      <c r="AU10" s="3" t="s">
        <v>135</v>
      </c>
      <c r="AX10" s="3" t="s">
        <v>136</v>
      </c>
      <c r="AY10" s="3" t="s">
        <v>137</v>
      </c>
      <c r="AZ10" s="3" t="s">
        <v>102</v>
      </c>
      <c r="BA10" s="3" t="s">
        <v>138</v>
      </c>
      <c r="BB10" s="3" t="s">
        <v>139</v>
      </c>
      <c r="BC10" s="3" t="s">
        <v>135</v>
      </c>
      <c r="BD10" s="3" t="s">
        <v>140</v>
      </c>
      <c r="BE10" s="3" t="s">
        <v>141</v>
      </c>
      <c r="BF10" s="3" t="s">
        <v>142</v>
      </c>
      <c r="BG10" s="3">
        <v>212238</v>
      </c>
      <c r="BH10" s="3" t="s">
        <v>143</v>
      </c>
      <c r="BO10" s="3">
        <v>69</v>
      </c>
      <c r="BR10" s="3" t="s">
        <v>102</v>
      </c>
      <c r="BS10" s="3" t="s">
        <v>144</v>
      </c>
      <c r="BT10" s="3" t="s">
        <v>134</v>
      </c>
      <c r="BU10" s="6" t="s">
        <v>135</v>
      </c>
      <c r="BV10" s="3" t="s">
        <v>145</v>
      </c>
      <c r="BW10" s="3" t="s">
        <v>146</v>
      </c>
    </row>
    <row r="11" spans="1:78" s="3" customFormat="1" x14ac:dyDescent="0.35">
      <c r="A11" s="3" t="s">
        <v>187</v>
      </c>
      <c r="B11" s="4">
        <v>45991</v>
      </c>
      <c r="C11" s="5">
        <v>0.62910879629629635</v>
      </c>
      <c r="D11" s="3" t="s">
        <v>116</v>
      </c>
      <c r="E11" s="3" t="s">
        <v>117</v>
      </c>
      <c r="F11" s="3" t="s">
        <v>118</v>
      </c>
      <c r="G11" s="3">
        <f>COUNTIF($F$2:$F$104,F11)</f>
        <v>8</v>
      </c>
      <c r="H11" s="3" t="s">
        <v>119</v>
      </c>
      <c r="I11" s="3" t="s">
        <v>82</v>
      </c>
      <c r="J11" s="3" t="s">
        <v>83</v>
      </c>
      <c r="K11" s="3" t="s">
        <v>84</v>
      </c>
      <c r="M11" s="3" t="s">
        <v>85</v>
      </c>
      <c r="N11" s="3" t="s">
        <v>121</v>
      </c>
      <c r="O11" s="3" t="s">
        <v>87</v>
      </c>
      <c r="P11" s="3" t="s">
        <v>88</v>
      </c>
      <c r="Q11" s="3" t="s">
        <v>183</v>
      </c>
      <c r="R11" s="3" t="s">
        <v>184</v>
      </c>
      <c r="S11" s="3" t="s">
        <v>91</v>
      </c>
      <c r="T11" s="3" t="s">
        <v>92</v>
      </c>
      <c r="U11" s="3" t="s">
        <v>93</v>
      </c>
      <c r="V11" s="3" t="s">
        <v>22</v>
      </c>
      <c r="X11" s="3" t="s">
        <v>127</v>
      </c>
      <c r="Y11" s="3" t="s">
        <v>95</v>
      </c>
      <c r="Z11" s="3" t="s">
        <v>128</v>
      </c>
      <c r="AA11" s="3" t="b">
        <v>0</v>
      </c>
      <c r="AB11" s="3" t="b">
        <v>0</v>
      </c>
      <c r="AD11" s="3">
        <v>125</v>
      </c>
      <c r="AI11" s="3" t="s">
        <v>130</v>
      </c>
      <c r="AJ11" s="3" t="s">
        <v>88</v>
      </c>
      <c r="AK11" s="3" t="s">
        <v>188</v>
      </c>
      <c r="AL11" s="3" t="s">
        <v>88</v>
      </c>
      <c r="AM11" s="3" t="s">
        <v>88</v>
      </c>
      <c r="AN11" s="3" t="s">
        <v>100</v>
      </c>
      <c r="AO11" s="3">
        <v>1002</v>
      </c>
      <c r="AP11" s="3" t="s">
        <v>186</v>
      </c>
      <c r="AQ11" s="3" t="s">
        <v>102</v>
      </c>
      <c r="AR11" s="3" t="s">
        <v>133</v>
      </c>
      <c r="AS11" s="3" t="s">
        <v>134</v>
      </c>
      <c r="AT11" s="3" t="s">
        <v>135</v>
      </c>
      <c r="AU11" s="3" t="s">
        <v>135</v>
      </c>
      <c r="AX11" s="3" t="s">
        <v>136</v>
      </c>
      <c r="AY11" s="3" t="s">
        <v>137</v>
      </c>
      <c r="AZ11" s="3" t="s">
        <v>102</v>
      </c>
      <c r="BA11" s="3" t="s">
        <v>138</v>
      </c>
      <c r="BB11" s="3" t="s">
        <v>139</v>
      </c>
      <c r="BC11" s="3" t="s">
        <v>135</v>
      </c>
      <c r="BD11" s="3" t="s">
        <v>140</v>
      </c>
      <c r="BE11" s="3" t="s">
        <v>141</v>
      </c>
      <c r="BF11" s="3" t="s">
        <v>142</v>
      </c>
      <c r="BG11" s="3">
        <v>212238</v>
      </c>
      <c r="BH11" s="3" t="s">
        <v>143</v>
      </c>
      <c r="BO11" s="3">
        <v>69</v>
      </c>
      <c r="BR11" s="3" t="s">
        <v>102</v>
      </c>
      <c r="BS11" s="3" t="s">
        <v>144</v>
      </c>
      <c r="BT11" s="3" t="s">
        <v>134</v>
      </c>
      <c r="BU11" s="6" t="s">
        <v>135</v>
      </c>
      <c r="BV11" s="3" t="s">
        <v>145</v>
      </c>
      <c r="BW11" s="3" t="s">
        <v>146</v>
      </c>
    </row>
    <row r="12" spans="1:78" s="3" customFormat="1" x14ac:dyDescent="0.35">
      <c r="A12" s="3" t="s">
        <v>189</v>
      </c>
      <c r="B12" s="4">
        <v>45991</v>
      </c>
      <c r="C12" s="5">
        <v>0.6263657407407407</v>
      </c>
      <c r="D12" s="3" t="s">
        <v>116</v>
      </c>
      <c r="E12" s="3" t="s">
        <v>117</v>
      </c>
      <c r="F12" s="3" t="s">
        <v>118</v>
      </c>
      <c r="G12" s="3">
        <f>COUNTIF($F$2:$F$104,F12)</f>
        <v>8</v>
      </c>
      <c r="H12" s="3" t="s">
        <v>119</v>
      </c>
      <c r="I12" s="3" t="s">
        <v>82</v>
      </c>
      <c r="J12" s="3" t="s">
        <v>83</v>
      </c>
      <c r="K12" s="3" t="s">
        <v>84</v>
      </c>
      <c r="M12" s="3" t="s">
        <v>85</v>
      </c>
      <c r="N12" s="3" t="s">
        <v>121</v>
      </c>
      <c r="O12" s="3" t="s">
        <v>87</v>
      </c>
      <c r="P12" s="3" t="s">
        <v>88</v>
      </c>
      <c r="Q12" s="3" t="s">
        <v>171</v>
      </c>
      <c r="R12" s="3" t="s">
        <v>172</v>
      </c>
      <c r="S12" s="3" t="s">
        <v>171</v>
      </c>
      <c r="T12" s="3" t="s">
        <v>172</v>
      </c>
      <c r="U12" s="3" t="s">
        <v>93</v>
      </c>
      <c r="V12" s="3" t="s">
        <v>22</v>
      </c>
      <c r="X12" s="3" t="s">
        <v>127</v>
      </c>
      <c r="Y12" s="3" t="s">
        <v>95</v>
      </c>
      <c r="Z12" s="3" t="s">
        <v>128</v>
      </c>
      <c r="AA12" s="3" t="b">
        <v>0</v>
      </c>
      <c r="AB12" s="3" t="b">
        <v>0</v>
      </c>
      <c r="AD12" s="3">
        <v>56</v>
      </c>
      <c r="AI12" s="3" t="s">
        <v>130</v>
      </c>
      <c r="AJ12" s="3" t="s">
        <v>88</v>
      </c>
      <c r="AK12" s="3" t="s">
        <v>190</v>
      </c>
      <c r="AL12" s="3" t="s">
        <v>88</v>
      </c>
      <c r="AM12" s="3" t="s">
        <v>88</v>
      </c>
      <c r="AN12" s="3" t="s">
        <v>100</v>
      </c>
      <c r="AO12" s="3">
        <v>1002</v>
      </c>
      <c r="AP12" s="3" t="s">
        <v>191</v>
      </c>
      <c r="AQ12" s="3" t="s">
        <v>102</v>
      </c>
      <c r="AR12" s="3" t="s">
        <v>133</v>
      </c>
      <c r="AS12" s="3" t="s">
        <v>134</v>
      </c>
      <c r="AT12" s="3" t="s">
        <v>135</v>
      </c>
      <c r="AU12" s="3" t="s">
        <v>135</v>
      </c>
      <c r="AX12" s="3" t="s">
        <v>136</v>
      </c>
      <c r="AY12" s="3" t="s">
        <v>137</v>
      </c>
      <c r="AZ12" s="3" t="s">
        <v>102</v>
      </c>
      <c r="BA12" s="3" t="s">
        <v>138</v>
      </c>
      <c r="BB12" s="3" t="s">
        <v>139</v>
      </c>
      <c r="BC12" s="3" t="s">
        <v>135</v>
      </c>
      <c r="BD12" s="3" t="s">
        <v>140</v>
      </c>
      <c r="BE12" s="3" t="s">
        <v>141</v>
      </c>
      <c r="BF12" s="3" t="s">
        <v>142</v>
      </c>
      <c r="BG12" s="3">
        <v>212238</v>
      </c>
      <c r="BH12" s="3" t="s">
        <v>143</v>
      </c>
      <c r="BO12" s="3">
        <v>69</v>
      </c>
      <c r="BR12" s="3" t="s">
        <v>102</v>
      </c>
      <c r="BS12" s="3" t="s">
        <v>144</v>
      </c>
      <c r="BT12" s="3" t="s">
        <v>134</v>
      </c>
      <c r="BU12" s="6" t="s">
        <v>135</v>
      </c>
      <c r="BV12" s="3" t="s">
        <v>145</v>
      </c>
      <c r="BW12" s="3" t="s">
        <v>146</v>
      </c>
    </row>
    <row r="13" spans="1:78" s="3" customFormat="1" x14ac:dyDescent="0.35">
      <c r="A13" s="3" t="s">
        <v>192</v>
      </c>
      <c r="B13" s="4">
        <v>45991</v>
      </c>
      <c r="C13" s="5">
        <v>0.62633101851851858</v>
      </c>
      <c r="D13" s="3" t="s">
        <v>116</v>
      </c>
      <c r="E13" s="3" t="s">
        <v>117</v>
      </c>
      <c r="F13" s="3" t="s">
        <v>118</v>
      </c>
      <c r="G13" s="3">
        <f>COUNTIF($F$2:$F$104,F13)</f>
        <v>8</v>
      </c>
      <c r="H13" s="3" t="s">
        <v>119</v>
      </c>
      <c r="I13" s="3" t="s">
        <v>82</v>
      </c>
      <c r="J13" s="3" t="s">
        <v>83</v>
      </c>
      <c r="K13" s="3" t="s">
        <v>84</v>
      </c>
      <c r="M13" s="3" t="s">
        <v>85</v>
      </c>
      <c r="N13" s="3" t="s">
        <v>121</v>
      </c>
      <c r="O13" s="3" t="s">
        <v>87</v>
      </c>
      <c r="P13" s="3" t="s">
        <v>88</v>
      </c>
      <c r="Q13" s="3" t="s">
        <v>193</v>
      </c>
      <c r="R13" s="3" t="s">
        <v>194</v>
      </c>
      <c r="S13" s="3" t="s">
        <v>193</v>
      </c>
      <c r="T13" s="3" t="s">
        <v>194</v>
      </c>
      <c r="U13" s="3" t="s">
        <v>93</v>
      </c>
      <c r="V13" s="3" t="s">
        <v>22</v>
      </c>
      <c r="X13" s="3" t="s">
        <v>127</v>
      </c>
      <c r="Y13" s="3" t="s">
        <v>95</v>
      </c>
      <c r="Z13" s="3" t="s">
        <v>128</v>
      </c>
      <c r="AA13" s="3" t="b">
        <v>0</v>
      </c>
      <c r="AB13" s="3" t="b">
        <v>0</v>
      </c>
      <c r="AD13" s="3">
        <v>88</v>
      </c>
      <c r="AI13" s="3" t="s">
        <v>130</v>
      </c>
      <c r="AJ13" s="3" t="s">
        <v>88</v>
      </c>
      <c r="AK13" s="3" t="s">
        <v>195</v>
      </c>
      <c r="AL13" s="3" t="s">
        <v>88</v>
      </c>
      <c r="AM13" s="3" t="s">
        <v>88</v>
      </c>
      <c r="AN13" s="3" t="s">
        <v>100</v>
      </c>
      <c r="AO13" s="3">
        <v>1002</v>
      </c>
      <c r="AP13" s="3" t="s">
        <v>196</v>
      </c>
      <c r="AQ13" s="3" t="s">
        <v>102</v>
      </c>
      <c r="AR13" s="3" t="s">
        <v>133</v>
      </c>
      <c r="AS13" s="3" t="s">
        <v>134</v>
      </c>
      <c r="AT13" s="3" t="s">
        <v>135</v>
      </c>
      <c r="AU13" s="3" t="s">
        <v>135</v>
      </c>
      <c r="AX13" s="3" t="s">
        <v>136</v>
      </c>
      <c r="AY13" s="3" t="s">
        <v>137</v>
      </c>
      <c r="AZ13" s="3" t="s">
        <v>102</v>
      </c>
      <c r="BA13" s="3" t="s">
        <v>138</v>
      </c>
      <c r="BB13" s="3" t="s">
        <v>139</v>
      </c>
      <c r="BC13" s="3" t="s">
        <v>135</v>
      </c>
      <c r="BD13" s="3" t="s">
        <v>140</v>
      </c>
      <c r="BE13" s="3" t="s">
        <v>141</v>
      </c>
      <c r="BF13" s="3" t="s">
        <v>142</v>
      </c>
      <c r="BG13" s="3">
        <v>212238</v>
      </c>
      <c r="BH13" s="3" t="s">
        <v>143</v>
      </c>
      <c r="BO13" s="3">
        <v>69</v>
      </c>
      <c r="BR13" s="3" t="s">
        <v>102</v>
      </c>
      <c r="BS13" s="3" t="s">
        <v>144</v>
      </c>
      <c r="BT13" s="3" t="s">
        <v>134</v>
      </c>
      <c r="BU13" s="6" t="s">
        <v>135</v>
      </c>
      <c r="BV13" s="3" t="s">
        <v>145</v>
      </c>
      <c r="BW13" s="3" t="s">
        <v>146</v>
      </c>
    </row>
    <row r="14" spans="1:78" s="3" customFormat="1" x14ac:dyDescent="0.35">
      <c r="A14" s="3" t="s">
        <v>197</v>
      </c>
      <c r="B14" s="4">
        <v>45991</v>
      </c>
      <c r="C14" s="5">
        <v>0.62629629629629624</v>
      </c>
      <c r="D14" s="3" t="s">
        <v>116</v>
      </c>
      <c r="E14" s="3" t="s">
        <v>117</v>
      </c>
      <c r="F14" s="3" t="s">
        <v>118</v>
      </c>
      <c r="G14" s="3">
        <f>COUNTIF($F$2:$F$104,F14)</f>
        <v>8</v>
      </c>
      <c r="H14" s="3" t="s">
        <v>119</v>
      </c>
      <c r="I14" s="3" t="s">
        <v>82</v>
      </c>
      <c r="J14" s="3" t="s">
        <v>83</v>
      </c>
      <c r="K14" s="3" t="s">
        <v>84</v>
      </c>
      <c r="M14" s="3" t="s">
        <v>85</v>
      </c>
      <c r="N14" s="3" t="s">
        <v>121</v>
      </c>
      <c r="O14" s="3" t="s">
        <v>87</v>
      </c>
      <c r="P14" s="3" t="s">
        <v>88</v>
      </c>
      <c r="Q14" s="3" t="s">
        <v>171</v>
      </c>
      <c r="R14" s="3" t="s">
        <v>172</v>
      </c>
      <c r="S14" s="3" t="s">
        <v>171</v>
      </c>
      <c r="T14" s="3" t="s">
        <v>172</v>
      </c>
      <c r="U14" s="3" t="s">
        <v>93</v>
      </c>
      <c r="V14" s="3" t="s">
        <v>22</v>
      </c>
      <c r="X14" s="3" t="s">
        <v>127</v>
      </c>
      <c r="Y14" s="3" t="s">
        <v>95</v>
      </c>
      <c r="Z14" s="3" t="s">
        <v>128</v>
      </c>
      <c r="AA14" s="3" t="b">
        <v>0</v>
      </c>
      <c r="AB14" s="3" t="b">
        <v>0</v>
      </c>
      <c r="AD14" s="3">
        <v>97</v>
      </c>
      <c r="AI14" s="3" t="s">
        <v>130</v>
      </c>
      <c r="AJ14" s="3" t="s">
        <v>88</v>
      </c>
      <c r="AK14" s="3" t="s">
        <v>198</v>
      </c>
      <c r="AL14" s="3" t="s">
        <v>88</v>
      </c>
      <c r="AM14" s="3" t="s">
        <v>88</v>
      </c>
      <c r="AN14" s="3" t="s">
        <v>100</v>
      </c>
      <c r="AO14" s="3">
        <v>1002</v>
      </c>
      <c r="AP14" s="3" t="s">
        <v>199</v>
      </c>
      <c r="AQ14" s="3" t="s">
        <v>102</v>
      </c>
      <c r="AR14" s="3" t="s">
        <v>133</v>
      </c>
      <c r="AS14" s="3" t="s">
        <v>134</v>
      </c>
      <c r="AT14" s="3" t="s">
        <v>135</v>
      </c>
      <c r="AU14" s="3" t="s">
        <v>135</v>
      </c>
      <c r="AX14" s="3" t="s">
        <v>136</v>
      </c>
      <c r="AY14" s="3" t="s">
        <v>137</v>
      </c>
      <c r="AZ14" s="3" t="s">
        <v>102</v>
      </c>
      <c r="BA14" s="3" t="s">
        <v>138</v>
      </c>
      <c r="BB14" s="3" t="s">
        <v>139</v>
      </c>
      <c r="BC14" s="3" t="s">
        <v>135</v>
      </c>
      <c r="BD14" s="3" t="s">
        <v>140</v>
      </c>
      <c r="BE14" s="3" t="s">
        <v>141</v>
      </c>
      <c r="BF14" s="3" t="s">
        <v>142</v>
      </c>
      <c r="BG14" s="3">
        <v>212238</v>
      </c>
      <c r="BH14" s="3" t="s">
        <v>143</v>
      </c>
      <c r="BO14" s="3">
        <v>69</v>
      </c>
      <c r="BR14" s="3" t="s">
        <v>102</v>
      </c>
      <c r="BS14" s="3" t="s">
        <v>144</v>
      </c>
      <c r="BT14" s="3" t="s">
        <v>134</v>
      </c>
      <c r="BU14" s="6" t="s">
        <v>135</v>
      </c>
      <c r="BV14" s="3" t="s">
        <v>145</v>
      </c>
      <c r="BW14" s="3" t="s">
        <v>146</v>
      </c>
    </row>
    <row r="15" spans="1:78" s="3" customFormat="1" x14ac:dyDescent="0.35">
      <c r="A15" s="3" t="s">
        <v>200</v>
      </c>
      <c r="B15" s="4">
        <v>45991</v>
      </c>
      <c r="C15" s="5">
        <v>0.59922453703703704</v>
      </c>
      <c r="D15" s="3" t="s">
        <v>116</v>
      </c>
      <c r="E15" s="3" t="s">
        <v>117</v>
      </c>
      <c r="F15" s="3" t="s">
        <v>118</v>
      </c>
      <c r="G15" s="3">
        <f>COUNTIF($F$2:$F$104,F15)</f>
        <v>8</v>
      </c>
      <c r="H15" s="3" t="s">
        <v>119</v>
      </c>
      <c r="I15" s="3" t="s">
        <v>82</v>
      </c>
      <c r="J15" s="3" t="s">
        <v>83</v>
      </c>
      <c r="K15" s="3" t="s">
        <v>84</v>
      </c>
      <c r="M15" s="3" t="s">
        <v>85</v>
      </c>
      <c r="N15" s="3" t="s">
        <v>121</v>
      </c>
      <c r="O15" s="3" t="s">
        <v>87</v>
      </c>
      <c r="P15" s="3" t="s">
        <v>88</v>
      </c>
      <c r="Q15" s="3" t="s">
        <v>122</v>
      </c>
      <c r="R15" s="3" t="s">
        <v>123</v>
      </c>
      <c r="S15" s="3" t="s">
        <v>124</v>
      </c>
      <c r="T15" s="3" t="s">
        <v>125</v>
      </c>
      <c r="U15" s="3" t="s">
        <v>93</v>
      </c>
      <c r="V15" s="3" t="s">
        <v>22</v>
      </c>
      <c r="X15" s="3" t="s">
        <v>127</v>
      </c>
      <c r="Y15" s="3" t="s">
        <v>95</v>
      </c>
      <c r="Z15" s="3" t="s">
        <v>128</v>
      </c>
      <c r="AA15" s="3" t="b">
        <v>0</v>
      </c>
      <c r="AB15" s="3" t="b">
        <v>0</v>
      </c>
      <c r="AD15" s="3">
        <v>309</v>
      </c>
      <c r="AI15" s="3" t="s">
        <v>130</v>
      </c>
      <c r="AJ15" s="3" t="s">
        <v>88</v>
      </c>
      <c r="AK15" s="3" t="s">
        <v>201</v>
      </c>
      <c r="AL15" s="3" t="s">
        <v>88</v>
      </c>
      <c r="AM15" s="3" t="s">
        <v>88</v>
      </c>
      <c r="AN15" s="3" t="s">
        <v>100</v>
      </c>
      <c r="AO15" s="3">
        <v>1002</v>
      </c>
      <c r="AP15" s="3" t="s">
        <v>202</v>
      </c>
      <c r="AQ15" s="3" t="s">
        <v>102</v>
      </c>
      <c r="AR15" s="3" t="s">
        <v>133</v>
      </c>
      <c r="AS15" s="3" t="s">
        <v>134</v>
      </c>
      <c r="AT15" s="3" t="s">
        <v>135</v>
      </c>
      <c r="AU15" s="3" t="s">
        <v>135</v>
      </c>
      <c r="AX15" s="3" t="s">
        <v>136</v>
      </c>
      <c r="AY15" s="3" t="s">
        <v>137</v>
      </c>
      <c r="AZ15" s="3" t="s">
        <v>102</v>
      </c>
      <c r="BA15" s="3" t="s">
        <v>138</v>
      </c>
      <c r="BB15" s="3" t="s">
        <v>139</v>
      </c>
      <c r="BC15" s="3" t="s">
        <v>135</v>
      </c>
      <c r="BD15" s="3" t="s">
        <v>140</v>
      </c>
      <c r="BE15" s="3" t="s">
        <v>141</v>
      </c>
      <c r="BF15" s="3" t="s">
        <v>142</v>
      </c>
      <c r="BG15" s="3">
        <v>212238</v>
      </c>
      <c r="BH15" s="3" t="s">
        <v>143</v>
      </c>
      <c r="BO15" s="3">
        <v>69</v>
      </c>
      <c r="BR15" s="3" t="s">
        <v>102</v>
      </c>
      <c r="BS15" s="3" t="s">
        <v>144</v>
      </c>
      <c r="BT15" s="3" t="s">
        <v>134</v>
      </c>
      <c r="BU15" s="6" t="s">
        <v>135</v>
      </c>
      <c r="BV15" s="3" t="s">
        <v>145</v>
      </c>
      <c r="BW15" s="3" t="s">
        <v>146</v>
      </c>
    </row>
    <row r="16" spans="1:78" s="3" customFormat="1" x14ac:dyDescent="0.35">
      <c r="A16" s="3" t="s">
        <v>203</v>
      </c>
      <c r="B16" s="4">
        <v>45991</v>
      </c>
      <c r="C16" s="5">
        <v>0.59918981481481481</v>
      </c>
      <c r="D16" s="3" t="s">
        <v>116</v>
      </c>
      <c r="E16" s="3" t="s">
        <v>117</v>
      </c>
      <c r="F16" s="3" t="s">
        <v>118</v>
      </c>
      <c r="G16" s="3">
        <f>COUNTIF($F$2:$F$104,F16)</f>
        <v>8</v>
      </c>
      <c r="H16" s="3" t="s">
        <v>119</v>
      </c>
      <c r="I16" s="3" t="s">
        <v>82</v>
      </c>
      <c r="J16" s="3" t="s">
        <v>83</v>
      </c>
      <c r="K16" s="3" t="s">
        <v>84</v>
      </c>
      <c r="M16" s="3" t="s">
        <v>85</v>
      </c>
      <c r="N16" s="3" t="s">
        <v>121</v>
      </c>
      <c r="O16" s="3" t="s">
        <v>87</v>
      </c>
      <c r="P16" s="3" t="s">
        <v>88</v>
      </c>
      <c r="Q16" s="3" t="s">
        <v>122</v>
      </c>
      <c r="R16" s="3" t="s">
        <v>123</v>
      </c>
      <c r="S16" s="3" t="s">
        <v>124</v>
      </c>
      <c r="T16" s="3" t="s">
        <v>125</v>
      </c>
      <c r="U16" s="3" t="s">
        <v>93</v>
      </c>
      <c r="V16" s="3" t="s">
        <v>22</v>
      </c>
      <c r="X16" s="3" t="s">
        <v>127</v>
      </c>
      <c r="Y16" s="3" t="s">
        <v>95</v>
      </c>
      <c r="Z16" s="3" t="s">
        <v>128</v>
      </c>
      <c r="AA16" s="3" t="b">
        <v>0</v>
      </c>
      <c r="AB16" s="3" t="b">
        <v>0</v>
      </c>
      <c r="AD16" s="3">
        <v>84</v>
      </c>
      <c r="AI16" s="3" t="s">
        <v>130</v>
      </c>
      <c r="AJ16" s="3" t="s">
        <v>88</v>
      </c>
      <c r="AK16" s="3" t="s">
        <v>204</v>
      </c>
      <c r="AL16" s="3" t="s">
        <v>88</v>
      </c>
      <c r="AM16" s="3" t="s">
        <v>88</v>
      </c>
      <c r="AN16" s="3" t="s">
        <v>100</v>
      </c>
      <c r="AO16" s="3">
        <v>1002</v>
      </c>
      <c r="AP16" s="3" t="s">
        <v>202</v>
      </c>
      <c r="AQ16" s="3" t="s">
        <v>102</v>
      </c>
      <c r="AR16" s="3" t="s">
        <v>133</v>
      </c>
      <c r="AS16" s="3" t="s">
        <v>134</v>
      </c>
      <c r="AT16" s="3" t="s">
        <v>135</v>
      </c>
      <c r="AU16" s="3" t="s">
        <v>135</v>
      </c>
      <c r="AX16" s="3" t="s">
        <v>136</v>
      </c>
      <c r="AY16" s="3" t="s">
        <v>137</v>
      </c>
      <c r="AZ16" s="3" t="s">
        <v>102</v>
      </c>
      <c r="BA16" s="3" t="s">
        <v>138</v>
      </c>
      <c r="BB16" s="3" t="s">
        <v>139</v>
      </c>
      <c r="BC16" s="3" t="s">
        <v>135</v>
      </c>
      <c r="BD16" s="3" t="s">
        <v>140</v>
      </c>
      <c r="BE16" s="3" t="s">
        <v>141</v>
      </c>
      <c r="BF16" s="3" t="s">
        <v>142</v>
      </c>
      <c r="BG16" s="3">
        <v>212238</v>
      </c>
      <c r="BH16" s="3" t="s">
        <v>143</v>
      </c>
      <c r="BO16" s="3">
        <v>69</v>
      </c>
      <c r="BR16" s="3" t="s">
        <v>102</v>
      </c>
      <c r="BS16" s="3" t="s">
        <v>144</v>
      </c>
      <c r="BT16" s="3" t="s">
        <v>134</v>
      </c>
      <c r="BU16" s="6" t="s">
        <v>135</v>
      </c>
      <c r="BV16" s="3" t="s">
        <v>145</v>
      </c>
      <c r="BW16" s="3" t="s">
        <v>146</v>
      </c>
    </row>
    <row r="17" spans="1:75" x14ac:dyDescent="0.35">
      <c r="A17" t="s">
        <v>205</v>
      </c>
      <c r="B17" s="1">
        <v>45991</v>
      </c>
      <c r="C17" s="2">
        <v>0.45755787037037038</v>
      </c>
      <c r="D17" t="s">
        <v>206</v>
      </c>
      <c r="E17" t="s">
        <v>207</v>
      </c>
      <c r="F17" t="s">
        <v>208</v>
      </c>
      <c r="G17">
        <f>COUNTIF($F$2:$F$104,F17)</f>
        <v>1</v>
      </c>
      <c r="H17" t="s">
        <v>209</v>
      </c>
      <c r="I17" t="s">
        <v>210</v>
      </c>
      <c r="J17" t="s">
        <v>83</v>
      </c>
      <c r="K17" t="s">
        <v>120</v>
      </c>
      <c r="L17">
        <v>50126</v>
      </c>
      <c r="M17" t="s">
        <v>85</v>
      </c>
      <c r="N17" t="s">
        <v>121</v>
      </c>
      <c r="O17" t="s">
        <v>87</v>
      </c>
      <c r="P17" t="s">
        <v>88</v>
      </c>
      <c r="Q17" t="s">
        <v>122</v>
      </c>
      <c r="R17" t="s">
        <v>123</v>
      </c>
      <c r="S17" t="s">
        <v>124</v>
      </c>
      <c r="T17" t="s">
        <v>125</v>
      </c>
      <c r="U17" t="s">
        <v>211</v>
      </c>
      <c r="V17" t="s">
        <v>22</v>
      </c>
      <c r="Y17" t="s">
        <v>95</v>
      </c>
      <c r="Z17" t="s">
        <v>212</v>
      </c>
      <c r="AA17" t="b">
        <v>0</v>
      </c>
      <c r="AB17" t="b">
        <v>0</v>
      </c>
      <c r="AD17">
        <v>337</v>
      </c>
      <c r="AE17" t="s">
        <v>213</v>
      </c>
      <c r="AH17" t="s">
        <v>207</v>
      </c>
      <c r="AJ17" t="s">
        <v>88</v>
      </c>
      <c r="AK17" t="s">
        <v>214</v>
      </c>
      <c r="AL17" t="s">
        <v>88</v>
      </c>
      <c r="AM17" t="s">
        <v>88</v>
      </c>
      <c r="AN17" t="s">
        <v>100</v>
      </c>
      <c r="AP17" t="s">
        <v>215</v>
      </c>
      <c r="AQ17" t="s">
        <v>216</v>
      </c>
      <c r="AT17" t="s">
        <v>217</v>
      </c>
      <c r="AU17" t="s">
        <v>217</v>
      </c>
      <c r="AX17" t="s">
        <v>218</v>
      </c>
      <c r="AY17" t="s">
        <v>219</v>
      </c>
      <c r="AZ17" t="s">
        <v>102</v>
      </c>
      <c r="BA17" t="s">
        <v>220</v>
      </c>
      <c r="BB17" t="s">
        <v>221</v>
      </c>
      <c r="BC17" t="s">
        <v>217</v>
      </c>
      <c r="BD17" t="s">
        <v>222</v>
      </c>
      <c r="BE17" t="s">
        <v>141</v>
      </c>
      <c r="BF17" t="s">
        <v>223</v>
      </c>
      <c r="BG17">
        <v>200927</v>
      </c>
      <c r="BH17" t="s">
        <v>224</v>
      </c>
      <c r="BO17">
        <v>0</v>
      </c>
      <c r="BR17" t="s">
        <v>102</v>
      </c>
      <c r="BS17" t="s">
        <v>220</v>
      </c>
      <c r="BT17" t="s">
        <v>220</v>
      </c>
      <c r="BU17" t="s">
        <v>217</v>
      </c>
      <c r="BW17" t="s">
        <v>146</v>
      </c>
    </row>
    <row r="18" spans="1:75" x14ac:dyDescent="0.35">
      <c r="A18" t="s">
        <v>225</v>
      </c>
      <c r="B18" s="1">
        <v>45991</v>
      </c>
      <c r="C18" s="2">
        <v>0.80526620370370372</v>
      </c>
      <c r="D18" t="s">
        <v>206</v>
      </c>
      <c r="E18" t="s">
        <v>207</v>
      </c>
      <c r="F18" t="s">
        <v>226</v>
      </c>
      <c r="G18">
        <f>COUNTIF($F$2:$F$104,F18)</f>
        <v>1</v>
      </c>
      <c r="H18" t="s">
        <v>227</v>
      </c>
      <c r="I18" t="s">
        <v>228</v>
      </c>
      <c r="J18" t="s">
        <v>83</v>
      </c>
      <c r="K18" t="s">
        <v>84</v>
      </c>
      <c r="M18" t="s">
        <v>85</v>
      </c>
      <c r="N18" t="s">
        <v>121</v>
      </c>
      <c r="O18" t="s">
        <v>87</v>
      </c>
      <c r="P18" t="s">
        <v>88</v>
      </c>
      <c r="Q18" t="s">
        <v>122</v>
      </c>
      <c r="R18" t="s">
        <v>123</v>
      </c>
      <c r="S18" t="s">
        <v>91</v>
      </c>
      <c r="T18" t="s">
        <v>92</v>
      </c>
      <c r="U18" t="s">
        <v>93</v>
      </c>
      <c r="V18" t="s">
        <v>22</v>
      </c>
      <c r="X18" t="s">
        <v>229</v>
      </c>
      <c r="Y18" t="s">
        <v>230</v>
      </c>
      <c r="Z18" t="s">
        <v>231</v>
      </c>
      <c r="AA18" t="b">
        <v>0</v>
      </c>
      <c r="AB18" t="b">
        <v>0</v>
      </c>
      <c r="AD18">
        <v>105</v>
      </c>
      <c r="AI18" t="s">
        <v>232</v>
      </c>
      <c r="AJ18" t="s">
        <v>88</v>
      </c>
      <c r="AK18" t="s">
        <v>233</v>
      </c>
      <c r="AL18" t="s">
        <v>88</v>
      </c>
      <c r="AM18" t="s">
        <v>88</v>
      </c>
      <c r="AN18" t="s">
        <v>100</v>
      </c>
      <c r="AO18">
        <v>1002</v>
      </c>
      <c r="AP18" t="s">
        <v>234</v>
      </c>
      <c r="AQ18" t="s">
        <v>102</v>
      </c>
      <c r="AR18" t="s">
        <v>235</v>
      </c>
      <c r="AS18" t="s">
        <v>236</v>
      </c>
      <c r="AT18" t="s">
        <v>237</v>
      </c>
      <c r="AU18" t="s">
        <v>237</v>
      </c>
      <c r="AX18" t="s">
        <v>238</v>
      </c>
      <c r="AY18" t="s">
        <v>239</v>
      </c>
      <c r="AZ18" t="s">
        <v>102</v>
      </c>
      <c r="BA18" t="s">
        <v>235</v>
      </c>
      <c r="BB18" t="s">
        <v>236</v>
      </c>
      <c r="BC18" t="s">
        <v>237</v>
      </c>
      <c r="BD18" t="s">
        <v>237</v>
      </c>
      <c r="BE18" t="s">
        <v>240</v>
      </c>
      <c r="BF18" t="s">
        <v>109</v>
      </c>
      <c r="BG18">
        <v>6167</v>
      </c>
      <c r="BH18" t="s">
        <v>241</v>
      </c>
      <c r="BO18">
        <v>4</v>
      </c>
      <c r="BR18" t="s">
        <v>102</v>
      </c>
      <c r="BS18" t="s">
        <v>242</v>
      </c>
      <c r="BT18" t="s">
        <v>243</v>
      </c>
      <c r="BU18" t="s">
        <v>237</v>
      </c>
      <c r="BV18" t="s">
        <v>237</v>
      </c>
      <c r="BW18" t="s">
        <v>244</v>
      </c>
    </row>
    <row r="19" spans="1:75" x14ac:dyDescent="0.35">
      <c r="A19" t="s">
        <v>245</v>
      </c>
      <c r="B19" s="1">
        <v>45991</v>
      </c>
      <c r="C19" s="2">
        <v>0.78239583333333329</v>
      </c>
      <c r="D19" t="s">
        <v>246</v>
      </c>
      <c r="E19" t="s">
        <v>247</v>
      </c>
      <c r="F19" t="s">
        <v>248</v>
      </c>
      <c r="G19">
        <f>COUNTIF($F$2:$F$104,F19)</f>
        <v>1</v>
      </c>
      <c r="H19" t="s">
        <v>249</v>
      </c>
      <c r="I19" t="s">
        <v>250</v>
      </c>
      <c r="J19" t="s">
        <v>83</v>
      </c>
      <c r="K19" t="s">
        <v>120</v>
      </c>
      <c r="L19">
        <v>50126</v>
      </c>
      <c r="M19" t="s">
        <v>85</v>
      </c>
      <c r="N19" t="s">
        <v>121</v>
      </c>
      <c r="O19" t="s">
        <v>87</v>
      </c>
      <c r="P19" t="s">
        <v>88</v>
      </c>
      <c r="Q19" t="s">
        <v>171</v>
      </c>
      <c r="R19" t="s">
        <v>172</v>
      </c>
      <c r="S19" t="s">
        <v>171</v>
      </c>
      <c r="T19" t="s">
        <v>172</v>
      </c>
      <c r="U19" t="s">
        <v>211</v>
      </c>
      <c r="V19" t="s">
        <v>22</v>
      </c>
      <c r="X19" t="s">
        <v>251</v>
      </c>
      <c r="Y19" t="s">
        <v>95</v>
      </c>
      <c r="Z19" t="s">
        <v>252</v>
      </c>
      <c r="AA19" t="b">
        <v>0</v>
      </c>
      <c r="AB19" t="b">
        <v>0</v>
      </c>
      <c r="AD19">
        <v>275</v>
      </c>
      <c r="AE19" t="s">
        <v>213</v>
      </c>
      <c r="AH19" t="s">
        <v>247</v>
      </c>
      <c r="AJ19" t="s">
        <v>88</v>
      </c>
      <c r="AK19" t="s">
        <v>253</v>
      </c>
      <c r="AL19" t="s">
        <v>88</v>
      </c>
      <c r="AM19" t="s">
        <v>88</v>
      </c>
      <c r="AN19" t="s">
        <v>100</v>
      </c>
      <c r="AP19" t="s">
        <v>254</v>
      </c>
      <c r="AQ19" t="s">
        <v>102</v>
      </c>
      <c r="AT19" t="s">
        <v>255</v>
      </c>
      <c r="AU19" t="s">
        <v>255</v>
      </c>
      <c r="AX19" t="s">
        <v>256</v>
      </c>
      <c r="AY19" t="s">
        <v>257</v>
      </c>
      <c r="AZ19" t="s">
        <v>102</v>
      </c>
      <c r="BA19" t="s">
        <v>220</v>
      </c>
      <c r="BB19" t="s">
        <v>221</v>
      </c>
      <c r="BC19" t="s">
        <v>255</v>
      </c>
      <c r="BD19" t="s">
        <v>258</v>
      </c>
      <c r="BF19" t="s">
        <v>259</v>
      </c>
      <c r="BG19">
        <v>22773</v>
      </c>
      <c r="BH19" t="s">
        <v>260</v>
      </c>
      <c r="BO19">
        <v>14</v>
      </c>
      <c r="BR19" t="s">
        <v>102</v>
      </c>
      <c r="BS19" t="s">
        <v>261</v>
      </c>
      <c r="BT19" t="s">
        <v>262</v>
      </c>
      <c r="BU19" t="s">
        <v>255</v>
      </c>
      <c r="BV19" t="s">
        <v>258</v>
      </c>
      <c r="BW19" t="s">
        <v>114</v>
      </c>
    </row>
    <row r="20" spans="1:75" s="3" customFormat="1" x14ac:dyDescent="0.35">
      <c r="A20" s="3" t="s">
        <v>263</v>
      </c>
      <c r="B20" s="4">
        <v>45991</v>
      </c>
      <c r="C20" s="5">
        <v>0.61255787037037035</v>
      </c>
      <c r="D20" s="3" t="s">
        <v>116</v>
      </c>
      <c r="E20" s="3" t="s">
        <v>117</v>
      </c>
      <c r="F20" s="3" t="s">
        <v>264</v>
      </c>
      <c r="G20" s="3">
        <f>COUNTIF($F$2:$F$104,F20)</f>
        <v>10</v>
      </c>
      <c r="H20" s="3" t="s">
        <v>265</v>
      </c>
      <c r="I20" s="3" t="s">
        <v>266</v>
      </c>
      <c r="J20" s="3" t="s">
        <v>83</v>
      </c>
      <c r="K20" s="3" t="s">
        <v>84</v>
      </c>
      <c r="M20" s="3" t="s">
        <v>85</v>
      </c>
      <c r="N20" s="3" t="s">
        <v>121</v>
      </c>
      <c r="O20" s="3" t="s">
        <v>87</v>
      </c>
      <c r="P20" s="3" t="s">
        <v>88</v>
      </c>
      <c r="Q20" s="3" t="s">
        <v>267</v>
      </c>
      <c r="R20" s="3" t="s">
        <v>268</v>
      </c>
      <c r="S20" s="3" t="s">
        <v>124</v>
      </c>
      <c r="T20" s="3" t="s">
        <v>125</v>
      </c>
      <c r="U20" s="3" t="s">
        <v>93</v>
      </c>
      <c r="V20" s="3" t="s">
        <v>162</v>
      </c>
      <c r="X20" s="3" t="s">
        <v>163</v>
      </c>
      <c r="Y20" s="3" t="s">
        <v>269</v>
      </c>
      <c r="Z20" s="3" t="s">
        <v>270</v>
      </c>
      <c r="AA20" s="3" t="b">
        <v>0</v>
      </c>
      <c r="AB20" s="3" t="b">
        <v>0</v>
      </c>
      <c r="AD20" s="3">
        <v>4486</v>
      </c>
      <c r="AH20" s="3" t="s">
        <v>117</v>
      </c>
      <c r="AI20" s="3" t="s">
        <v>271</v>
      </c>
      <c r="AJ20" s="3" t="s">
        <v>88</v>
      </c>
      <c r="AK20" s="3" t="s">
        <v>272</v>
      </c>
      <c r="AL20" s="3" t="s">
        <v>88</v>
      </c>
      <c r="AM20" s="3" t="s">
        <v>88</v>
      </c>
      <c r="AN20" s="3" t="s">
        <v>100</v>
      </c>
      <c r="AO20" s="3">
        <v>1002</v>
      </c>
      <c r="AP20" s="3" t="s">
        <v>273</v>
      </c>
      <c r="AQ20" s="3" t="s">
        <v>102</v>
      </c>
      <c r="AR20" s="3" t="s">
        <v>274</v>
      </c>
      <c r="AS20" s="3" t="s">
        <v>275</v>
      </c>
      <c r="AT20" s="3" t="s">
        <v>135</v>
      </c>
      <c r="AU20" s="3" t="s">
        <v>135</v>
      </c>
      <c r="AX20" s="3" t="s">
        <v>136</v>
      </c>
      <c r="AY20" s="3" t="s">
        <v>276</v>
      </c>
      <c r="AZ20" s="3" t="s">
        <v>102</v>
      </c>
      <c r="BA20" s="3" t="s">
        <v>274</v>
      </c>
      <c r="BB20" s="3" t="s">
        <v>275</v>
      </c>
      <c r="BC20" s="3" t="s">
        <v>135</v>
      </c>
      <c r="BD20" s="3" t="s">
        <v>140</v>
      </c>
      <c r="BE20" s="3" t="s">
        <v>141</v>
      </c>
      <c r="BF20" s="3" t="s">
        <v>142</v>
      </c>
      <c r="BG20" s="3">
        <v>212238</v>
      </c>
      <c r="BH20" s="3" t="s">
        <v>277</v>
      </c>
      <c r="BO20" s="3">
        <v>0</v>
      </c>
      <c r="BR20" s="3" t="s">
        <v>102</v>
      </c>
      <c r="BS20" s="3" t="s">
        <v>278</v>
      </c>
      <c r="BT20" s="3" t="s">
        <v>275</v>
      </c>
      <c r="BU20" s="6" t="s">
        <v>135</v>
      </c>
      <c r="BW20" s="3" t="s">
        <v>146</v>
      </c>
    </row>
    <row r="21" spans="1:75" s="3" customFormat="1" x14ac:dyDescent="0.35">
      <c r="A21" s="3" t="s">
        <v>279</v>
      </c>
      <c r="B21" s="4">
        <v>45991</v>
      </c>
      <c r="C21" s="5">
        <v>0.61247685185185186</v>
      </c>
      <c r="D21" s="3" t="s">
        <v>116</v>
      </c>
      <c r="E21" s="3" t="s">
        <v>117</v>
      </c>
      <c r="F21" s="3" t="s">
        <v>264</v>
      </c>
      <c r="G21" s="3">
        <f>COUNTIF($F$2:$F$104,F21)</f>
        <v>10</v>
      </c>
      <c r="H21" s="3" t="s">
        <v>265</v>
      </c>
      <c r="I21" s="3" t="s">
        <v>266</v>
      </c>
      <c r="J21" s="3" t="s">
        <v>83</v>
      </c>
      <c r="K21" s="3" t="s">
        <v>178</v>
      </c>
      <c r="L21" s="3">
        <v>65001</v>
      </c>
      <c r="M21" s="3" t="s">
        <v>85</v>
      </c>
      <c r="N21" s="3" t="s">
        <v>121</v>
      </c>
      <c r="O21" s="3" t="s">
        <v>87</v>
      </c>
      <c r="P21" s="3" t="s">
        <v>88</v>
      </c>
      <c r="Q21" s="3" t="s">
        <v>267</v>
      </c>
      <c r="R21" s="3" t="s">
        <v>268</v>
      </c>
      <c r="S21" s="3" t="s">
        <v>124</v>
      </c>
      <c r="T21" s="3" t="s">
        <v>125</v>
      </c>
      <c r="U21" s="3" t="s">
        <v>280</v>
      </c>
      <c r="V21" s="3" t="s">
        <v>162</v>
      </c>
      <c r="X21" s="3" t="s">
        <v>163</v>
      </c>
      <c r="Y21" s="3" t="s">
        <v>269</v>
      </c>
      <c r="Z21" s="3" t="s">
        <v>270</v>
      </c>
      <c r="AA21" s="3" t="b">
        <v>0</v>
      </c>
      <c r="AB21" s="3" t="b">
        <v>0</v>
      </c>
      <c r="AD21" s="3">
        <v>2835</v>
      </c>
      <c r="AH21" s="3" t="s">
        <v>117</v>
      </c>
      <c r="AI21" s="3" t="s">
        <v>271</v>
      </c>
      <c r="AJ21" s="3" t="s">
        <v>88</v>
      </c>
      <c r="AK21" s="3" t="s">
        <v>281</v>
      </c>
      <c r="AL21" s="3" t="s">
        <v>88</v>
      </c>
      <c r="AM21" s="3" t="s">
        <v>88</v>
      </c>
      <c r="AN21" s="3" t="s">
        <v>100</v>
      </c>
      <c r="AO21" s="3">
        <v>1002</v>
      </c>
      <c r="AP21" s="3" t="s">
        <v>273</v>
      </c>
      <c r="AQ21" s="3" t="s">
        <v>102</v>
      </c>
      <c r="AR21" s="3" t="s">
        <v>274</v>
      </c>
      <c r="AS21" s="3" t="s">
        <v>275</v>
      </c>
      <c r="AT21" s="3" t="s">
        <v>135</v>
      </c>
      <c r="AU21" s="3" t="s">
        <v>135</v>
      </c>
      <c r="AX21" s="3" t="s">
        <v>136</v>
      </c>
      <c r="AY21" s="3" t="s">
        <v>276</v>
      </c>
      <c r="AZ21" s="3" t="s">
        <v>102</v>
      </c>
      <c r="BA21" s="3" t="s">
        <v>274</v>
      </c>
      <c r="BB21" s="3" t="s">
        <v>275</v>
      </c>
      <c r="BC21" s="3" t="s">
        <v>135</v>
      </c>
      <c r="BD21" s="3" t="s">
        <v>140</v>
      </c>
      <c r="BE21" s="3" t="s">
        <v>141</v>
      </c>
      <c r="BF21" s="3" t="s">
        <v>142</v>
      </c>
      <c r="BG21" s="3">
        <v>212238</v>
      </c>
      <c r="BH21" s="3" t="s">
        <v>277</v>
      </c>
      <c r="BO21" s="3">
        <v>0</v>
      </c>
      <c r="BR21" s="3" t="s">
        <v>102</v>
      </c>
      <c r="BS21" s="3" t="s">
        <v>278</v>
      </c>
      <c r="BT21" s="3" t="s">
        <v>275</v>
      </c>
      <c r="BU21" s="6" t="s">
        <v>135</v>
      </c>
      <c r="BW21" s="3" t="s">
        <v>146</v>
      </c>
    </row>
    <row r="22" spans="1:75" s="3" customFormat="1" x14ac:dyDescent="0.35">
      <c r="A22" s="3" t="s">
        <v>282</v>
      </c>
      <c r="B22" s="4">
        <v>45991</v>
      </c>
      <c r="C22" s="5">
        <v>0.61031250000000004</v>
      </c>
      <c r="D22" s="3" t="s">
        <v>116</v>
      </c>
      <c r="E22" s="3" t="s">
        <v>117</v>
      </c>
      <c r="F22" s="3" t="s">
        <v>264</v>
      </c>
      <c r="G22" s="3">
        <f>COUNTIF($F$2:$F$104,F22)</f>
        <v>10</v>
      </c>
      <c r="H22" s="3" t="s">
        <v>265</v>
      </c>
      <c r="I22" s="3" t="s">
        <v>266</v>
      </c>
      <c r="J22" s="3" t="s">
        <v>83</v>
      </c>
      <c r="K22" s="3" t="s">
        <v>84</v>
      </c>
      <c r="M22" s="3" t="s">
        <v>85</v>
      </c>
      <c r="N22" s="3" t="s">
        <v>121</v>
      </c>
      <c r="O22" s="3" t="s">
        <v>87</v>
      </c>
      <c r="P22" s="3" t="s">
        <v>88</v>
      </c>
      <c r="Q22" s="3" t="s">
        <v>283</v>
      </c>
      <c r="R22" s="3" t="s">
        <v>284</v>
      </c>
      <c r="S22" s="3" t="s">
        <v>91</v>
      </c>
      <c r="T22" s="3" t="s">
        <v>92</v>
      </c>
      <c r="U22" s="3" t="s">
        <v>93</v>
      </c>
      <c r="V22" s="3" t="s">
        <v>22</v>
      </c>
      <c r="X22" s="3" t="s">
        <v>127</v>
      </c>
      <c r="Y22" s="3" t="s">
        <v>95</v>
      </c>
      <c r="Z22" s="3" t="s">
        <v>128</v>
      </c>
      <c r="AA22" s="3" t="b">
        <v>0</v>
      </c>
      <c r="AB22" s="3" t="b">
        <v>0</v>
      </c>
      <c r="AD22" s="3">
        <v>115</v>
      </c>
      <c r="AI22" s="3" t="s">
        <v>130</v>
      </c>
      <c r="AJ22" s="3" t="s">
        <v>88</v>
      </c>
      <c r="AK22" s="3" t="s">
        <v>285</v>
      </c>
      <c r="AL22" s="3" t="s">
        <v>88</v>
      </c>
      <c r="AM22" s="3" t="s">
        <v>88</v>
      </c>
      <c r="AN22" s="3" t="s">
        <v>100</v>
      </c>
      <c r="AO22" s="3">
        <v>1002</v>
      </c>
      <c r="AP22" s="3" t="s">
        <v>286</v>
      </c>
      <c r="AQ22" s="3" t="s">
        <v>102</v>
      </c>
      <c r="AR22" s="3" t="s">
        <v>274</v>
      </c>
      <c r="AS22" s="3" t="s">
        <v>275</v>
      </c>
      <c r="AT22" s="3" t="s">
        <v>135</v>
      </c>
      <c r="AU22" s="3" t="s">
        <v>135</v>
      </c>
      <c r="AX22" s="3" t="s">
        <v>136</v>
      </c>
      <c r="AY22" s="3" t="s">
        <v>276</v>
      </c>
      <c r="AZ22" s="3" t="s">
        <v>102</v>
      </c>
      <c r="BA22" s="3" t="s">
        <v>274</v>
      </c>
      <c r="BB22" s="3" t="s">
        <v>275</v>
      </c>
      <c r="BC22" s="3" t="s">
        <v>135</v>
      </c>
      <c r="BD22" s="3" t="s">
        <v>140</v>
      </c>
      <c r="BE22" s="3" t="s">
        <v>141</v>
      </c>
      <c r="BF22" s="3" t="s">
        <v>142</v>
      </c>
      <c r="BG22" s="3">
        <v>212238</v>
      </c>
      <c r="BH22" s="3" t="s">
        <v>277</v>
      </c>
      <c r="BO22" s="3">
        <v>0</v>
      </c>
      <c r="BR22" s="3" t="s">
        <v>102</v>
      </c>
      <c r="BS22" s="3" t="s">
        <v>278</v>
      </c>
      <c r="BT22" s="3" t="s">
        <v>275</v>
      </c>
      <c r="BU22" s="6" t="s">
        <v>135</v>
      </c>
      <c r="BW22" s="3" t="s">
        <v>146</v>
      </c>
    </row>
    <row r="23" spans="1:75" s="3" customFormat="1" x14ac:dyDescent="0.35">
      <c r="A23" s="3" t="s">
        <v>287</v>
      </c>
      <c r="B23" s="4">
        <v>45991</v>
      </c>
      <c r="C23" s="5">
        <v>0.61028935185185185</v>
      </c>
      <c r="D23" s="3" t="s">
        <v>116</v>
      </c>
      <c r="E23" s="3" t="s">
        <v>117</v>
      </c>
      <c r="F23" s="3" t="s">
        <v>264</v>
      </c>
      <c r="G23" s="3">
        <f>COUNTIF($F$2:$F$104,F23)</f>
        <v>10</v>
      </c>
      <c r="H23" s="3" t="s">
        <v>265</v>
      </c>
      <c r="I23" s="3" t="s">
        <v>266</v>
      </c>
      <c r="J23" s="3" t="s">
        <v>83</v>
      </c>
      <c r="K23" s="3" t="s">
        <v>84</v>
      </c>
      <c r="M23" s="3" t="s">
        <v>85</v>
      </c>
      <c r="N23" s="3" t="s">
        <v>121</v>
      </c>
      <c r="O23" s="3" t="s">
        <v>87</v>
      </c>
      <c r="P23" s="3" t="s">
        <v>88</v>
      </c>
      <c r="Q23" s="3" t="s">
        <v>283</v>
      </c>
      <c r="R23" s="3" t="s">
        <v>284</v>
      </c>
      <c r="S23" s="3" t="s">
        <v>91</v>
      </c>
      <c r="T23" s="3" t="s">
        <v>92</v>
      </c>
      <c r="U23" s="3" t="s">
        <v>93</v>
      </c>
      <c r="V23" s="3" t="s">
        <v>22</v>
      </c>
      <c r="X23" s="3" t="s">
        <v>127</v>
      </c>
      <c r="Y23" s="3" t="s">
        <v>95</v>
      </c>
      <c r="Z23" s="3" t="s">
        <v>128</v>
      </c>
      <c r="AA23" s="3" t="b">
        <v>0</v>
      </c>
      <c r="AB23" s="3" t="b">
        <v>0</v>
      </c>
      <c r="AD23" s="3">
        <v>141</v>
      </c>
      <c r="AI23" s="3" t="s">
        <v>130</v>
      </c>
      <c r="AJ23" s="3" t="s">
        <v>88</v>
      </c>
      <c r="AK23" s="3" t="s">
        <v>288</v>
      </c>
      <c r="AL23" s="3" t="s">
        <v>88</v>
      </c>
      <c r="AM23" s="3" t="s">
        <v>88</v>
      </c>
      <c r="AN23" s="3" t="s">
        <v>100</v>
      </c>
      <c r="AO23" s="3">
        <v>1002</v>
      </c>
      <c r="AP23" s="3" t="s">
        <v>289</v>
      </c>
      <c r="AQ23" s="3" t="s">
        <v>102</v>
      </c>
      <c r="AR23" s="3" t="s">
        <v>274</v>
      </c>
      <c r="AS23" s="3" t="s">
        <v>275</v>
      </c>
      <c r="AT23" s="3" t="s">
        <v>135</v>
      </c>
      <c r="AU23" s="3" t="s">
        <v>135</v>
      </c>
      <c r="AX23" s="3" t="s">
        <v>136</v>
      </c>
      <c r="AY23" s="3" t="s">
        <v>276</v>
      </c>
      <c r="AZ23" s="3" t="s">
        <v>102</v>
      </c>
      <c r="BA23" s="3" t="s">
        <v>274</v>
      </c>
      <c r="BB23" s="3" t="s">
        <v>275</v>
      </c>
      <c r="BC23" s="3" t="s">
        <v>135</v>
      </c>
      <c r="BD23" s="3" t="s">
        <v>140</v>
      </c>
      <c r="BE23" s="3" t="s">
        <v>141</v>
      </c>
      <c r="BF23" s="3" t="s">
        <v>142</v>
      </c>
      <c r="BG23" s="3">
        <v>212238</v>
      </c>
      <c r="BH23" s="3" t="s">
        <v>277</v>
      </c>
      <c r="BO23" s="3">
        <v>0</v>
      </c>
      <c r="BR23" s="3" t="s">
        <v>102</v>
      </c>
      <c r="BS23" s="3" t="s">
        <v>278</v>
      </c>
      <c r="BT23" s="3" t="s">
        <v>275</v>
      </c>
      <c r="BU23" s="6" t="s">
        <v>135</v>
      </c>
      <c r="BW23" s="3" t="s">
        <v>146</v>
      </c>
    </row>
    <row r="24" spans="1:75" s="3" customFormat="1" x14ac:dyDescent="0.35">
      <c r="A24" s="3" t="s">
        <v>290</v>
      </c>
      <c r="B24" s="4">
        <v>45991</v>
      </c>
      <c r="C24" s="5">
        <v>0.60957175925925922</v>
      </c>
      <c r="D24" s="3" t="s">
        <v>116</v>
      </c>
      <c r="E24" s="3" t="s">
        <v>117</v>
      </c>
      <c r="F24" s="3" t="s">
        <v>264</v>
      </c>
      <c r="G24" s="3">
        <f>COUNTIF($F$2:$F$104,F24)</f>
        <v>10</v>
      </c>
      <c r="H24" s="3" t="s">
        <v>265</v>
      </c>
      <c r="I24" s="3" t="s">
        <v>266</v>
      </c>
      <c r="J24" s="3" t="s">
        <v>83</v>
      </c>
      <c r="K24" s="3" t="s">
        <v>84</v>
      </c>
      <c r="M24" s="3" t="s">
        <v>85</v>
      </c>
      <c r="N24" s="3" t="s">
        <v>121</v>
      </c>
      <c r="O24" s="3" t="s">
        <v>87</v>
      </c>
      <c r="P24" s="3" t="s">
        <v>88</v>
      </c>
      <c r="Q24" s="3" t="s">
        <v>122</v>
      </c>
      <c r="R24" s="3" t="s">
        <v>123</v>
      </c>
      <c r="S24" s="3" t="s">
        <v>124</v>
      </c>
      <c r="T24" s="3" t="s">
        <v>125</v>
      </c>
      <c r="U24" s="3" t="s">
        <v>93</v>
      </c>
      <c r="V24" s="3" t="s">
        <v>22</v>
      </c>
      <c r="X24" s="3" t="s">
        <v>127</v>
      </c>
      <c r="Y24" s="3" t="s">
        <v>95</v>
      </c>
      <c r="Z24" s="3" t="s">
        <v>128</v>
      </c>
      <c r="AA24" s="3" t="b">
        <v>0</v>
      </c>
      <c r="AB24" s="3" t="b">
        <v>0</v>
      </c>
      <c r="AD24" s="3">
        <v>127</v>
      </c>
      <c r="AI24" s="3" t="s">
        <v>130</v>
      </c>
      <c r="AJ24" s="3" t="s">
        <v>88</v>
      </c>
      <c r="AK24" s="3" t="s">
        <v>291</v>
      </c>
      <c r="AL24" s="3" t="s">
        <v>88</v>
      </c>
      <c r="AM24" s="3" t="s">
        <v>88</v>
      </c>
      <c r="AN24" s="3" t="s">
        <v>100</v>
      </c>
      <c r="AO24" s="3">
        <v>1002</v>
      </c>
      <c r="AP24" s="3" t="s">
        <v>292</v>
      </c>
      <c r="AQ24" s="3" t="s">
        <v>102</v>
      </c>
      <c r="AR24" s="3" t="s">
        <v>274</v>
      </c>
      <c r="AS24" s="3" t="s">
        <v>275</v>
      </c>
      <c r="AT24" s="3" t="s">
        <v>135</v>
      </c>
      <c r="AU24" s="3" t="s">
        <v>135</v>
      </c>
      <c r="AX24" s="3" t="s">
        <v>136</v>
      </c>
      <c r="AY24" s="3" t="s">
        <v>276</v>
      </c>
      <c r="AZ24" s="3" t="s">
        <v>102</v>
      </c>
      <c r="BA24" s="3" t="s">
        <v>274</v>
      </c>
      <c r="BB24" s="3" t="s">
        <v>275</v>
      </c>
      <c r="BC24" s="3" t="s">
        <v>135</v>
      </c>
      <c r="BD24" s="3" t="s">
        <v>140</v>
      </c>
      <c r="BE24" s="3" t="s">
        <v>141</v>
      </c>
      <c r="BF24" s="3" t="s">
        <v>142</v>
      </c>
      <c r="BG24" s="3">
        <v>212238</v>
      </c>
      <c r="BH24" s="3" t="s">
        <v>277</v>
      </c>
      <c r="BO24" s="3">
        <v>0</v>
      </c>
      <c r="BR24" s="3" t="s">
        <v>102</v>
      </c>
      <c r="BS24" s="3" t="s">
        <v>278</v>
      </c>
      <c r="BT24" s="3" t="s">
        <v>275</v>
      </c>
      <c r="BU24" s="6" t="s">
        <v>135</v>
      </c>
      <c r="BW24" s="3" t="s">
        <v>146</v>
      </c>
    </row>
    <row r="25" spans="1:75" s="3" customFormat="1" x14ac:dyDescent="0.35">
      <c r="A25" s="3" t="s">
        <v>293</v>
      </c>
      <c r="B25" s="4">
        <v>45991</v>
      </c>
      <c r="C25" s="5">
        <v>0.60956018518518518</v>
      </c>
      <c r="D25" s="3" t="s">
        <v>116</v>
      </c>
      <c r="E25" s="3" t="s">
        <v>117</v>
      </c>
      <c r="F25" s="3" t="s">
        <v>264</v>
      </c>
      <c r="G25" s="3">
        <f>COUNTIF($F$2:$F$104,F25)</f>
        <v>10</v>
      </c>
      <c r="H25" s="3" t="s">
        <v>265</v>
      </c>
      <c r="I25" s="3" t="s">
        <v>266</v>
      </c>
      <c r="J25" s="3" t="s">
        <v>83</v>
      </c>
      <c r="K25" s="3" t="s">
        <v>84</v>
      </c>
      <c r="M25" s="3" t="s">
        <v>85</v>
      </c>
      <c r="N25" s="3" t="s">
        <v>121</v>
      </c>
      <c r="O25" s="3" t="s">
        <v>87</v>
      </c>
      <c r="P25" s="3" t="s">
        <v>88</v>
      </c>
      <c r="Q25" s="3" t="s">
        <v>122</v>
      </c>
      <c r="R25" s="3" t="s">
        <v>123</v>
      </c>
      <c r="S25" s="3" t="s">
        <v>124</v>
      </c>
      <c r="T25" s="3" t="s">
        <v>125</v>
      </c>
      <c r="U25" s="3" t="s">
        <v>93</v>
      </c>
      <c r="V25" s="3" t="s">
        <v>22</v>
      </c>
      <c r="X25" s="3" t="s">
        <v>127</v>
      </c>
      <c r="Y25" s="3" t="s">
        <v>95</v>
      </c>
      <c r="Z25" s="3" t="s">
        <v>128</v>
      </c>
      <c r="AA25" s="3" t="b">
        <v>0</v>
      </c>
      <c r="AB25" s="3" t="b">
        <v>0</v>
      </c>
      <c r="AD25" s="3">
        <v>83</v>
      </c>
      <c r="AI25" s="3" t="s">
        <v>130</v>
      </c>
      <c r="AJ25" s="3" t="s">
        <v>88</v>
      </c>
      <c r="AK25" s="3" t="s">
        <v>294</v>
      </c>
      <c r="AL25" s="3" t="s">
        <v>88</v>
      </c>
      <c r="AM25" s="3" t="s">
        <v>88</v>
      </c>
      <c r="AN25" s="3" t="s">
        <v>100</v>
      </c>
      <c r="AO25" s="3">
        <v>1002</v>
      </c>
      <c r="AP25" s="3" t="s">
        <v>292</v>
      </c>
      <c r="AQ25" s="3" t="s">
        <v>102</v>
      </c>
      <c r="AR25" s="3" t="s">
        <v>274</v>
      </c>
      <c r="AS25" s="3" t="s">
        <v>275</v>
      </c>
      <c r="AT25" s="3" t="s">
        <v>135</v>
      </c>
      <c r="AU25" s="3" t="s">
        <v>135</v>
      </c>
      <c r="AX25" s="3" t="s">
        <v>136</v>
      </c>
      <c r="AY25" s="3" t="s">
        <v>276</v>
      </c>
      <c r="AZ25" s="3" t="s">
        <v>102</v>
      </c>
      <c r="BA25" s="3" t="s">
        <v>274</v>
      </c>
      <c r="BB25" s="3" t="s">
        <v>275</v>
      </c>
      <c r="BC25" s="3" t="s">
        <v>135</v>
      </c>
      <c r="BD25" s="3" t="s">
        <v>140</v>
      </c>
      <c r="BE25" s="3" t="s">
        <v>141</v>
      </c>
      <c r="BF25" s="3" t="s">
        <v>142</v>
      </c>
      <c r="BG25" s="3">
        <v>212238</v>
      </c>
      <c r="BH25" s="3" t="s">
        <v>277</v>
      </c>
      <c r="BO25" s="3">
        <v>0</v>
      </c>
      <c r="BR25" s="3" t="s">
        <v>102</v>
      </c>
      <c r="BS25" s="3" t="s">
        <v>278</v>
      </c>
      <c r="BT25" s="3" t="s">
        <v>275</v>
      </c>
      <c r="BU25" s="6" t="s">
        <v>135</v>
      </c>
      <c r="BW25" s="3" t="s">
        <v>146</v>
      </c>
    </row>
    <row r="26" spans="1:75" s="3" customFormat="1" x14ac:dyDescent="0.35">
      <c r="A26" s="3" t="s">
        <v>295</v>
      </c>
      <c r="B26" s="4">
        <v>45991</v>
      </c>
      <c r="C26" s="5">
        <v>0.60934027777777777</v>
      </c>
      <c r="D26" s="3" t="s">
        <v>116</v>
      </c>
      <c r="E26" s="3" t="s">
        <v>117</v>
      </c>
      <c r="F26" s="3" t="s">
        <v>264</v>
      </c>
      <c r="G26" s="3">
        <f>COUNTIF($F$2:$F$104,F26)</f>
        <v>10</v>
      </c>
      <c r="H26" s="3" t="s">
        <v>265</v>
      </c>
      <c r="I26" s="3" t="s">
        <v>266</v>
      </c>
      <c r="J26" s="3" t="s">
        <v>83</v>
      </c>
      <c r="K26" s="3" t="s">
        <v>84</v>
      </c>
      <c r="M26" s="3" t="s">
        <v>85</v>
      </c>
      <c r="N26" s="3" t="s">
        <v>121</v>
      </c>
      <c r="O26" s="3" t="s">
        <v>87</v>
      </c>
      <c r="P26" s="3" t="s">
        <v>88</v>
      </c>
      <c r="Q26" s="3" t="s">
        <v>171</v>
      </c>
      <c r="R26" s="3" t="s">
        <v>172</v>
      </c>
      <c r="S26" s="3" t="s">
        <v>171</v>
      </c>
      <c r="T26" s="3" t="s">
        <v>172</v>
      </c>
      <c r="U26" s="3" t="s">
        <v>93</v>
      </c>
      <c r="V26" s="3" t="s">
        <v>22</v>
      </c>
      <c r="X26" s="3" t="s">
        <v>127</v>
      </c>
      <c r="Y26" s="3" t="s">
        <v>95</v>
      </c>
      <c r="Z26" s="3" t="s">
        <v>128</v>
      </c>
      <c r="AA26" s="3" t="b">
        <v>0</v>
      </c>
      <c r="AB26" s="3" t="b">
        <v>0</v>
      </c>
      <c r="AD26" s="3">
        <v>111</v>
      </c>
      <c r="AI26" s="3" t="s">
        <v>130</v>
      </c>
      <c r="AJ26" s="3" t="s">
        <v>88</v>
      </c>
      <c r="AK26" s="3" t="s">
        <v>296</v>
      </c>
      <c r="AL26" s="3" t="s">
        <v>88</v>
      </c>
      <c r="AM26" s="3" t="s">
        <v>88</v>
      </c>
      <c r="AN26" s="3" t="s">
        <v>100</v>
      </c>
      <c r="AO26" s="3">
        <v>1002</v>
      </c>
      <c r="AP26" s="3" t="s">
        <v>297</v>
      </c>
      <c r="AQ26" s="3" t="s">
        <v>102</v>
      </c>
      <c r="AR26" s="3" t="s">
        <v>274</v>
      </c>
      <c r="AS26" s="3" t="s">
        <v>275</v>
      </c>
      <c r="AT26" s="3" t="s">
        <v>135</v>
      </c>
      <c r="AU26" s="3" t="s">
        <v>135</v>
      </c>
      <c r="AX26" s="3" t="s">
        <v>136</v>
      </c>
      <c r="AY26" s="3" t="s">
        <v>276</v>
      </c>
      <c r="AZ26" s="3" t="s">
        <v>102</v>
      </c>
      <c r="BA26" s="3" t="s">
        <v>274</v>
      </c>
      <c r="BB26" s="3" t="s">
        <v>275</v>
      </c>
      <c r="BC26" s="3" t="s">
        <v>135</v>
      </c>
      <c r="BD26" s="3" t="s">
        <v>140</v>
      </c>
      <c r="BE26" s="3" t="s">
        <v>141</v>
      </c>
      <c r="BF26" s="3" t="s">
        <v>142</v>
      </c>
      <c r="BG26" s="3">
        <v>212238</v>
      </c>
      <c r="BH26" s="3" t="s">
        <v>277</v>
      </c>
      <c r="BO26" s="3">
        <v>0</v>
      </c>
      <c r="BR26" s="3" t="s">
        <v>102</v>
      </c>
      <c r="BS26" s="3" t="s">
        <v>278</v>
      </c>
      <c r="BT26" s="3" t="s">
        <v>275</v>
      </c>
      <c r="BU26" s="6" t="s">
        <v>135</v>
      </c>
      <c r="BW26" s="3" t="s">
        <v>146</v>
      </c>
    </row>
    <row r="27" spans="1:75" s="3" customFormat="1" x14ac:dyDescent="0.35">
      <c r="A27" s="3" t="s">
        <v>298</v>
      </c>
      <c r="B27" s="4">
        <v>45991</v>
      </c>
      <c r="C27" s="5">
        <v>0.60924768518518524</v>
      </c>
      <c r="D27" s="3" t="s">
        <v>116</v>
      </c>
      <c r="E27" s="3" t="s">
        <v>117</v>
      </c>
      <c r="F27" s="3" t="s">
        <v>264</v>
      </c>
      <c r="G27" s="3">
        <f>COUNTIF($F$2:$F$104,F27)</f>
        <v>10</v>
      </c>
      <c r="H27" s="3" t="s">
        <v>265</v>
      </c>
      <c r="I27" s="3" t="s">
        <v>266</v>
      </c>
      <c r="J27" s="3" t="s">
        <v>83</v>
      </c>
      <c r="K27" s="3" t="s">
        <v>84</v>
      </c>
      <c r="M27" s="3" t="s">
        <v>85</v>
      </c>
      <c r="N27" s="3" t="s">
        <v>121</v>
      </c>
      <c r="O27" s="3" t="s">
        <v>87</v>
      </c>
      <c r="P27" s="3" t="s">
        <v>88</v>
      </c>
      <c r="Q27" s="3" t="s">
        <v>171</v>
      </c>
      <c r="R27" s="3" t="s">
        <v>172</v>
      </c>
      <c r="S27" s="3" t="s">
        <v>171</v>
      </c>
      <c r="T27" s="3" t="s">
        <v>172</v>
      </c>
      <c r="U27" s="3" t="s">
        <v>93</v>
      </c>
      <c r="V27" s="3" t="s">
        <v>22</v>
      </c>
      <c r="X27" s="3" t="s">
        <v>127</v>
      </c>
      <c r="Y27" s="3" t="s">
        <v>95</v>
      </c>
      <c r="Z27" s="3" t="s">
        <v>128</v>
      </c>
      <c r="AA27" s="3" t="b">
        <v>0</v>
      </c>
      <c r="AB27" s="3" t="b">
        <v>0</v>
      </c>
      <c r="AD27" s="3">
        <v>82</v>
      </c>
      <c r="AI27" s="3" t="s">
        <v>130</v>
      </c>
      <c r="AJ27" s="3" t="s">
        <v>88</v>
      </c>
      <c r="AK27" s="3" t="s">
        <v>299</v>
      </c>
      <c r="AL27" s="3" t="s">
        <v>88</v>
      </c>
      <c r="AM27" s="3" t="s">
        <v>88</v>
      </c>
      <c r="AN27" s="3" t="s">
        <v>100</v>
      </c>
      <c r="AO27" s="3">
        <v>1002</v>
      </c>
      <c r="AP27" s="3" t="s">
        <v>300</v>
      </c>
      <c r="AQ27" s="3" t="s">
        <v>102</v>
      </c>
      <c r="AR27" s="3" t="s">
        <v>274</v>
      </c>
      <c r="AS27" s="3" t="s">
        <v>275</v>
      </c>
      <c r="AT27" s="3" t="s">
        <v>135</v>
      </c>
      <c r="AU27" s="3" t="s">
        <v>135</v>
      </c>
      <c r="AX27" s="3" t="s">
        <v>136</v>
      </c>
      <c r="AY27" s="3" t="s">
        <v>276</v>
      </c>
      <c r="AZ27" s="3" t="s">
        <v>102</v>
      </c>
      <c r="BA27" s="3" t="s">
        <v>274</v>
      </c>
      <c r="BB27" s="3" t="s">
        <v>275</v>
      </c>
      <c r="BC27" s="3" t="s">
        <v>135</v>
      </c>
      <c r="BD27" s="3" t="s">
        <v>140</v>
      </c>
      <c r="BE27" s="3" t="s">
        <v>141</v>
      </c>
      <c r="BF27" s="3" t="s">
        <v>142</v>
      </c>
      <c r="BG27" s="3">
        <v>212238</v>
      </c>
      <c r="BH27" s="3" t="s">
        <v>277</v>
      </c>
      <c r="BO27" s="3">
        <v>0</v>
      </c>
      <c r="BR27" s="3" t="s">
        <v>102</v>
      </c>
      <c r="BS27" s="3" t="s">
        <v>278</v>
      </c>
      <c r="BT27" s="3" t="s">
        <v>275</v>
      </c>
      <c r="BU27" s="6" t="s">
        <v>135</v>
      </c>
      <c r="BW27" s="3" t="s">
        <v>146</v>
      </c>
    </row>
    <row r="28" spans="1:75" s="3" customFormat="1" x14ac:dyDescent="0.35">
      <c r="A28" s="3" t="s">
        <v>301</v>
      </c>
      <c r="B28" s="4">
        <v>45991</v>
      </c>
      <c r="C28" s="5">
        <v>0.6092129629629629</v>
      </c>
      <c r="D28" s="3" t="s">
        <v>116</v>
      </c>
      <c r="E28" s="3" t="s">
        <v>117</v>
      </c>
      <c r="F28" s="3" t="s">
        <v>264</v>
      </c>
      <c r="G28" s="3">
        <f>COUNTIF($F$2:$F$104,F28)</f>
        <v>10</v>
      </c>
      <c r="H28" s="3" t="s">
        <v>265</v>
      </c>
      <c r="I28" s="3" t="s">
        <v>266</v>
      </c>
      <c r="J28" s="3" t="s">
        <v>83</v>
      </c>
      <c r="K28" s="3" t="s">
        <v>84</v>
      </c>
      <c r="M28" s="3" t="s">
        <v>85</v>
      </c>
      <c r="N28" s="3" t="s">
        <v>121</v>
      </c>
      <c r="O28" s="3" t="s">
        <v>87</v>
      </c>
      <c r="P28" s="3" t="s">
        <v>88</v>
      </c>
      <c r="Q28" s="3" t="s">
        <v>171</v>
      </c>
      <c r="R28" s="3" t="s">
        <v>172</v>
      </c>
      <c r="S28" s="3" t="s">
        <v>171</v>
      </c>
      <c r="T28" s="3" t="s">
        <v>172</v>
      </c>
      <c r="U28" s="3" t="s">
        <v>93</v>
      </c>
      <c r="V28" s="3" t="s">
        <v>22</v>
      </c>
      <c r="X28" s="3" t="s">
        <v>127</v>
      </c>
      <c r="Y28" s="3" t="s">
        <v>95</v>
      </c>
      <c r="Z28" s="3" t="s">
        <v>128</v>
      </c>
      <c r="AA28" s="3" t="b">
        <v>0</v>
      </c>
      <c r="AB28" s="3" t="b">
        <v>0</v>
      </c>
      <c r="AD28" s="3">
        <v>85</v>
      </c>
      <c r="AH28" s="3" t="s">
        <v>117</v>
      </c>
      <c r="AI28" s="3" t="s">
        <v>130</v>
      </c>
      <c r="AJ28" s="3" t="s">
        <v>88</v>
      </c>
      <c r="AK28" s="3" t="s">
        <v>302</v>
      </c>
      <c r="AL28" s="3" t="s">
        <v>88</v>
      </c>
      <c r="AM28" s="3" t="s">
        <v>88</v>
      </c>
      <c r="AN28" s="3" t="s">
        <v>100</v>
      </c>
      <c r="AO28" s="3">
        <v>1002</v>
      </c>
      <c r="AP28" s="3" t="s">
        <v>300</v>
      </c>
      <c r="AQ28" s="3" t="s">
        <v>102</v>
      </c>
      <c r="AR28" s="3" t="s">
        <v>274</v>
      </c>
      <c r="AS28" s="3" t="s">
        <v>275</v>
      </c>
      <c r="AT28" s="3" t="s">
        <v>135</v>
      </c>
      <c r="AU28" s="3" t="s">
        <v>135</v>
      </c>
      <c r="AX28" s="3" t="s">
        <v>136</v>
      </c>
      <c r="AY28" s="3" t="s">
        <v>276</v>
      </c>
      <c r="AZ28" s="3" t="s">
        <v>102</v>
      </c>
      <c r="BA28" s="3" t="s">
        <v>274</v>
      </c>
      <c r="BB28" s="3" t="s">
        <v>275</v>
      </c>
      <c r="BC28" s="3" t="s">
        <v>135</v>
      </c>
      <c r="BD28" s="3" t="s">
        <v>140</v>
      </c>
      <c r="BE28" s="3" t="s">
        <v>141</v>
      </c>
      <c r="BF28" s="3" t="s">
        <v>142</v>
      </c>
      <c r="BG28" s="3">
        <v>212238</v>
      </c>
      <c r="BH28" s="3" t="s">
        <v>277</v>
      </c>
      <c r="BO28" s="3">
        <v>0</v>
      </c>
      <c r="BR28" s="3" t="s">
        <v>102</v>
      </c>
      <c r="BS28" s="3" t="s">
        <v>278</v>
      </c>
      <c r="BT28" s="3" t="s">
        <v>275</v>
      </c>
      <c r="BU28" s="6" t="s">
        <v>135</v>
      </c>
      <c r="BW28" s="3" t="s">
        <v>146</v>
      </c>
    </row>
    <row r="29" spans="1:75" s="3" customFormat="1" x14ac:dyDescent="0.35">
      <c r="A29" s="3" t="s">
        <v>303</v>
      </c>
      <c r="B29" s="4">
        <v>45991</v>
      </c>
      <c r="C29" s="5">
        <v>0.60916666666666663</v>
      </c>
      <c r="D29" s="3" t="s">
        <v>116</v>
      </c>
      <c r="E29" s="3" t="s">
        <v>117</v>
      </c>
      <c r="F29" s="3" t="s">
        <v>264</v>
      </c>
      <c r="G29" s="3">
        <f>COUNTIF($F$2:$F$104,F29)</f>
        <v>10</v>
      </c>
      <c r="H29" s="3" t="s">
        <v>265</v>
      </c>
      <c r="I29" s="3" t="s">
        <v>266</v>
      </c>
      <c r="J29" s="3" t="s">
        <v>83</v>
      </c>
      <c r="K29" s="3" t="s">
        <v>178</v>
      </c>
      <c r="L29" s="3">
        <v>50140</v>
      </c>
      <c r="M29" s="3" t="s">
        <v>85</v>
      </c>
      <c r="N29" s="3" t="s">
        <v>121</v>
      </c>
      <c r="O29" s="3" t="s">
        <v>87</v>
      </c>
      <c r="P29" s="3" t="s">
        <v>88</v>
      </c>
      <c r="Q29" s="3" t="s">
        <v>171</v>
      </c>
      <c r="R29" s="3" t="s">
        <v>172</v>
      </c>
      <c r="S29" s="3" t="s">
        <v>171</v>
      </c>
      <c r="T29" s="3" t="s">
        <v>172</v>
      </c>
      <c r="U29" s="3" t="s">
        <v>179</v>
      </c>
      <c r="V29" s="3" t="s">
        <v>22</v>
      </c>
      <c r="X29" s="3" t="s">
        <v>127</v>
      </c>
      <c r="Y29" s="3" t="s">
        <v>95</v>
      </c>
      <c r="Z29" s="3" t="s">
        <v>128</v>
      </c>
      <c r="AA29" s="3" t="b">
        <v>0</v>
      </c>
      <c r="AB29" s="3" t="b">
        <v>0</v>
      </c>
      <c r="AD29" s="3">
        <v>373</v>
      </c>
      <c r="AE29" s="3" t="s">
        <v>180</v>
      </c>
      <c r="AH29" s="3" t="s">
        <v>117</v>
      </c>
      <c r="AI29" s="3" t="s">
        <v>130</v>
      </c>
      <c r="AJ29" s="3" t="s">
        <v>88</v>
      </c>
      <c r="AK29" s="3" t="s">
        <v>304</v>
      </c>
      <c r="AL29" s="3" t="s">
        <v>88</v>
      </c>
      <c r="AM29" s="3" t="s">
        <v>88</v>
      </c>
      <c r="AN29" s="3" t="s">
        <v>100</v>
      </c>
      <c r="AO29" s="3">
        <v>1002</v>
      </c>
      <c r="AP29" s="3" t="s">
        <v>300</v>
      </c>
      <c r="AQ29" s="3" t="s">
        <v>102</v>
      </c>
      <c r="AR29" s="3" t="s">
        <v>274</v>
      </c>
      <c r="AS29" s="3" t="s">
        <v>275</v>
      </c>
      <c r="AT29" s="3" t="s">
        <v>135</v>
      </c>
      <c r="AU29" s="3" t="s">
        <v>135</v>
      </c>
      <c r="AX29" s="3" t="s">
        <v>136</v>
      </c>
      <c r="AY29" s="3" t="s">
        <v>276</v>
      </c>
      <c r="AZ29" s="3" t="s">
        <v>102</v>
      </c>
      <c r="BA29" s="3" t="s">
        <v>274</v>
      </c>
      <c r="BB29" s="3" t="s">
        <v>275</v>
      </c>
      <c r="BC29" s="3" t="s">
        <v>135</v>
      </c>
      <c r="BD29" s="3" t="s">
        <v>140</v>
      </c>
      <c r="BE29" s="3" t="s">
        <v>141</v>
      </c>
      <c r="BF29" s="3" t="s">
        <v>142</v>
      </c>
      <c r="BG29" s="3">
        <v>212238</v>
      </c>
      <c r="BH29" s="3" t="s">
        <v>277</v>
      </c>
      <c r="BO29" s="3">
        <v>0</v>
      </c>
      <c r="BR29" s="3" t="s">
        <v>102</v>
      </c>
      <c r="BS29" s="3" t="s">
        <v>278</v>
      </c>
      <c r="BT29" s="3" t="s">
        <v>275</v>
      </c>
      <c r="BU29" s="6" t="s">
        <v>135</v>
      </c>
      <c r="BW29" s="3" t="s">
        <v>146</v>
      </c>
    </row>
    <row r="30" spans="1:75" x14ac:dyDescent="0.35">
      <c r="A30" t="s">
        <v>305</v>
      </c>
      <c r="B30" s="1">
        <v>45991</v>
      </c>
      <c r="C30" s="2">
        <v>0.4481944444444444</v>
      </c>
      <c r="D30" t="s">
        <v>306</v>
      </c>
      <c r="E30" t="s">
        <v>307</v>
      </c>
      <c r="F30" t="s">
        <v>308</v>
      </c>
      <c r="G30">
        <f>COUNTIF($F$2:$F$104,F30)</f>
        <v>1</v>
      </c>
      <c r="H30" t="s">
        <v>309</v>
      </c>
      <c r="I30" t="s">
        <v>310</v>
      </c>
      <c r="J30" t="s">
        <v>311</v>
      </c>
      <c r="K30" t="s">
        <v>120</v>
      </c>
      <c r="L30">
        <v>50053</v>
      </c>
      <c r="M30" t="s">
        <v>85</v>
      </c>
      <c r="N30" t="s">
        <v>121</v>
      </c>
      <c r="O30" t="s">
        <v>87</v>
      </c>
      <c r="P30" t="s">
        <v>88</v>
      </c>
      <c r="Q30" t="s">
        <v>171</v>
      </c>
      <c r="R30" t="s">
        <v>172</v>
      </c>
      <c r="S30" t="s">
        <v>171</v>
      </c>
      <c r="T30" t="s">
        <v>172</v>
      </c>
      <c r="U30" t="s">
        <v>312</v>
      </c>
      <c r="V30" t="s">
        <v>22</v>
      </c>
      <c r="X30" t="s">
        <v>251</v>
      </c>
      <c r="Y30" t="s">
        <v>95</v>
      </c>
      <c r="Z30" t="s">
        <v>252</v>
      </c>
      <c r="AA30" t="b">
        <v>0</v>
      </c>
      <c r="AB30" t="b">
        <v>0</v>
      </c>
      <c r="AD30">
        <v>219</v>
      </c>
      <c r="AE30" t="s">
        <v>313</v>
      </c>
      <c r="AH30" t="s">
        <v>307</v>
      </c>
      <c r="AJ30" t="s">
        <v>88</v>
      </c>
      <c r="AK30" t="s">
        <v>314</v>
      </c>
      <c r="AL30" t="s">
        <v>88</v>
      </c>
      <c r="AM30" t="s">
        <v>88</v>
      </c>
      <c r="AN30" t="s">
        <v>100</v>
      </c>
      <c r="AP30" t="s">
        <v>315</v>
      </c>
      <c r="AQ30" t="s">
        <v>316</v>
      </c>
      <c r="AR30" t="s">
        <v>317</v>
      </c>
      <c r="AS30" t="s">
        <v>318</v>
      </c>
      <c r="AT30" t="s">
        <v>319</v>
      </c>
      <c r="AU30" t="s">
        <v>319</v>
      </c>
      <c r="AX30" t="s">
        <v>320</v>
      </c>
      <c r="AY30" t="s">
        <v>321</v>
      </c>
      <c r="AZ30" t="s">
        <v>316</v>
      </c>
      <c r="BA30" t="s">
        <v>322</v>
      </c>
      <c r="BB30" t="s">
        <v>323</v>
      </c>
      <c r="BC30" t="s">
        <v>319</v>
      </c>
      <c r="BD30" t="s">
        <v>319</v>
      </c>
      <c r="BF30" t="s">
        <v>324</v>
      </c>
      <c r="BG30">
        <v>263675</v>
      </c>
      <c r="BH30" t="s">
        <v>325</v>
      </c>
      <c r="BO30">
        <v>0</v>
      </c>
      <c r="BR30" t="s">
        <v>316</v>
      </c>
      <c r="BS30" t="s">
        <v>326</v>
      </c>
      <c r="BT30" t="s">
        <v>323</v>
      </c>
      <c r="BU30" t="s">
        <v>327</v>
      </c>
      <c r="BV30" t="s">
        <v>328</v>
      </c>
      <c r="BW30" t="s">
        <v>114</v>
      </c>
    </row>
    <row r="31" spans="1:75" x14ac:dyDescent="0.35">
      <c r="A31" t="s">
        <v>329</v>
      </c>
      <c r="B31" s="1">
        <v>45991</v>
      </c>
      <c r="C31" s="2">
        <v>0.39828703703703705</v>
      </c>
      <c r="D31" t="s">
        <v>246</v>
      </c>
      <c r="E31" t="s">
        <v>247</v>
      </c>
      <c r="F31" t="s">
        <v>330</v>
      </c>
      <c r="G31">
        <f>COUNTIF($F$2:$F$104,F31)</f>
        <v>1</v>
      </c>
      <c r="H31" t="s">
        <v>331</v>
      </c>
      <c r="I31" t="s">
        <v>332</v>
      </c>
      <c r="J31" t="s">
        <v>333</v>
      </c>
      <c r="K31" t="s">
        <v>120</v>
      </c>
      <c r="L31">
        <v>50053</v>
      </c>
      <c r="M31" t="s">
        <v>85</v>
      </c>
      <c r="N31" t="s">
        <v>121</v>
      </c>
      <c r="O31" t="s">
        <v>87</v>
      </c>
      <c r="P31" t="s">
        <v>88</v>
      </c>
      <c r="Q31" t="s">
        <v>171</v>
      </c>
      <c r="R31" t="s">
        <v>172</v>
      </c>
      <c r="S31" t="s">
        <v>171</v>
      </c>
      <c r="T31" t="s">
        <v>172</v>
      </c>
      <c r="U31" t="s">
        <v>334</v>
      </c>
      <c r="V31" t="s">
        <v>22</v>
      </c>
      <c r="X31" t="s">
        <v>251</v>
      </c>
      <c r="Y31" t="s">
        <v>95</v>
      </c>
      <c r="Z31" t="s">
        <v>252</v>
      </c>
      <c r="AA31" t="b">
        <v>0</v>
      </c>
      <c r="AB31" t="b">
        <v>0</v>
      </c>
      <c r="AD31">
        <v>218</v>
      </c>
      <c r="AH31" t="s">
        <v>247</v>
      </c>
      <c r="AJ31" t="s">
        <v>88</v>
      </c>
      <c r="AK31" t="s">
        <v>335</v>
      </c>
      <c r="AL31" t="s">
        <v>88</v>
      </c>
      <c r="AM31" t="s">
        <v>88</v>
      </c>
      <c r="AN31" t="s">
        <v>100</v>
      </c>
      <c r="AP31" t="s">
        <v>336</v>
      </c>
      <c r="AQ31" t="s">
        <v>337</v>
      </c>
      <c r="AR31" t="s">
        <v>338</v>
      </c>
      <c r="AS31" t="s">
        <v>339</v>
      </c>
      <c r="AT31" t="s">
        <v>340</v>
      </c>
      <c r="AU31" t="s">
        <v>340</v>
      </c>
      <c r="AX31" t="s">
        <v>341</v>
      </c>
      <c r="AY31" t="s">
        <v>342</v>
      </c>
      <c r="AZ31" t="s">
        <v>337</v>
      </c>
      <c r="BA31" t="s">
        <v>343</v>
      </c>
      <c r="BB31" t="s">
        <v>344</v>
      </c>
      <c r="BC31" t="s">
        <v>340</v>
      </c>
      <c r="BD31" t="s">
        <v>345</v>
      </c>
      <c r="BF31" t="s">
        <v>346</v>
      </c>
      <c r="BG31">
        <v>18403</v>
      </c>
      <c r="BH31" t="s">
        <v>347</v>
      </c>
      <c r="BO31">
        <v>1</v>
      </c>
      <c r="BR31" t="s">
        <v>337</v>
      </c>
      <c r="BS31" t="s">
        <v>348</v>
      </c>
      <c r="BT31" t="s">
        <v>349</v>
      </c>
      <c r="BU31" t="s">
        <v>350</v>
      </c>
      <c r="BW31" t="s">
        <v>114</v>
      </c>
    </row>
    <row r="32" spans="1:75" x14ac:dyDescent="0.35">
      <c r="A32" t="s">
        <v>351</v>
      </c>
      <c r="B32" s="1">
        <v>45991</v>
      </c>
      <c r="C32" s="2">
        <v>0.36538194444444444</v>
      </c>
      <c r="D32" t="s">
        <v>352</v>
      </c>
      <c r="E32" t="s">
        <v>353</v>
      </c>
      <c r="F32" t="s">
        <v>354</v>
      </c>
      <c r="G32">
        <f>COUNTIF($F$2:$F$104,F32)</f>
        <v>1</v>
      </c>
      <c r="H32" t="s">
        <v>355</v>
      </c>
      <c r="I32" t="s">
        <v>356</v>
      </c>
      <c r="J32" t="s">
        <v>357</v>
      </c>
      <c r="K32" t="s">
        <v>120</v>
      </c>
      <c r="L32">
        <v>50126</v>
      </c>
      <c r="M32" t="s">
        <v>85</v>
      </c>
      <c r="N32" t="s">
        <v>121</v>
      </c>
      <c r="O32" t="s">
        <v>87</v>
      </c>
      <c r="P32" t="s">
        <v>88</v>
      </c>
      <c r="Q32" t="s">
        <v>171</v>
      </c>
      <c r="R32" t="s">
        <v>172</v>
      </c>
      <c r="S32" t="s">
        <v>171</v>
      </c>
      <c r="T32" t="s">
        <v>172</v>
      </c>
      <c r="U32" t="s">
        <v>211</v>
      </c>
      <c r="V32" t="s">
        <v>22</v>
      </c>
      <c r="X32" t="s">
        <v>251</v>
      </c>
      <c r="Y32" t="s">
        <v>95</v>
      </c>
      <c r="Z32" t="s">
        <v>252</v>
      </c>
      <c r="AA32" t="b">
        <v>0</v>
      </c>
      <c r="AB32" t="b">
        <v>0</v>
      </c>
      <c r="AD32">
        <v>368</v>
      </c>
      <c r="AE32" t="s">
        <v>213</v>
      </c>
      <c r="AH32" t="s">
        <v>353</v>
      </c>
      <c r="AJ32" t="s">
        <v>88</v>
      </c>
      <c r="AK32" t="s">
        <v>358</v>
      </c>
      <c r="AL32" t="s">
        <v>88</v>
      </c>
      <c r="AM32" t="s">
        <v>88</v>
      </c>
      <c r="AN32" t="s">
        <v>100</v>
      </c>
      <c r="AP32" t="s">
        <v>359</v>
      </c>
      <c r="AQ32" t="s">
        <v>360</v>
      </c>
      <c r="AT32" t="s">
        <v>361</v>
      </c>
      <c r="AU32" t="s">
        <v>361</v>
      </c>
      <c r="AX32" t="s">
        <v>362</v>
      </c>
      <c r="AY32" t="s">
        <v>363</v>
      </c>
      <c r="AZ32" t="s">
        <v>364</v>
      </c>
      <c r="BA32" t="s">
        <v>365</v>
      </c>
      <c r="BB32" t="s">
        <v>366</v>
      </c>
      <c r="BC32" t="s">
        <v>367</v>
      </c>
      <c r="BD32" t="s">
        <v>368</v>
      </c>
      <c r="BE32" t="s">
        <v>141</v>
      </c>
      <c r="BF32" t="s">
        <v>369</v>
      </c>
      <c r="BG32">
        <v>205489</v>
      </c>
      <c r="BH32" t="s">
        <v>370</v>
      </c>
      <c r="BO32">
        <v>0</v>
      </c>
      <c r="BR32" t="s">
        <v>364</v>
      </c>
      <c r="BS32" t="s">
        <v>371</v>
      </c>
      <c r="BT32" t="s">
        <v>372</v>
      </c>
      <c r="BU32" t="s">
        <v>373</v>
      </c>
      <c r="BV32" t="s">
        <v>368</v>
      </c>
      <c r="BW32" t="s">
        <v>146</v>
      </c>
    </row>
    <row r="33" spans="1:75" x14ac:dyDescent="0.35">
      <c r="A33" t="s">
        <v>374</v>
      </c>
      <c r="B33" s="1">
        <v>45991</v>
      </c>
      <c r="C33" s="2">
        <v>9.1203703703703707E-3</v>
      </c>
      <c r="D33" t="s">
        <v>306</v>
      </c>
      <c r="E33" t="s">
        <v>307</v>
      </c>
      <c r="F33" t="s">
        <v>375</v>
      </c>
      <c r="G33">
        <f>COUNTIF($F$2:$F$104,F33)</f>
        <v>1</v>
      </c>
      <c r="H33" t="s">
        <v>376</v>
      </c>
      <c r="I33" t="s">
        <v>377</v>
      </c>
      <c r="J33" t="s">
        <v>378</v>
      </c>
      <c r="K33" t="s">
        <v>120</v>
      </c>
      <c r="L33">
        <v>50053</v>
      </c>
      <c r="M33" t="s">
        <v>85</v>
      </c>
      <c r="N33" t="s">
        <v>121</v>
      </c>
      <c r="O33" t="s">
        <v>87</v>
      </c>
      <c r="P33" t="s">
        <v>88</v>
      </c>
      <c r="Q33" t="s">
        <v>171</v>
      </c>
      <c r="R33" t="s">
        <v>172</v>
      </c>
      <c r="S33" t="s">
        <v>171</v>
      </c>
      <c r="T33" t="s">
        <v>172</v>
      </c>
      <c r="U33" t="s">
        <v>312</v>
      </c>
      <c r="V33" t="s">
        <v>22</v>
      </c>
      <c r="X33" t="s">
        <v>251</v>
      </c>
      <c r="Y33" t="s">
        <v>95</v>
      </c>
      <c r="Z33" t="s">
        <v>252</v>
      </c>
      <c r="AA33" t="b">
        <v>0</v>
      </c>
      <c r="AB33" t="b">
        <v>0</v>
      </c>
      <c r="AD33">
        <v>229</v>
      </c>
      <c r="AE33" t="s">
        <v>313</v>
      </c>
      <c r="AH33" t="s">
        <v>307</v>
      </c>
      <c r="AJ33" t="s">
        <v>88</v>
      </c>
      <c r="AK33" t="s">
        <v>379</v>
      </c>
      <c r="AL33" t="s">
        <v>88</v>
      </c>
      <c r="AM33" t="s">
        <v>88</v>
      </c>
      <c r="AN33" t="s">
        <v>100</v>
      </c>
      <c r="AP33" t="s">
        <v>380</v>
      </c>
      <c r="AQ33" t="s">
        <v>381</v>
      </c>
      <c r="AT33" t="s">
        <v>382</v>
      </c>
      <c r="AU33" t="s">
        <v>382</v>
      </c>
      <c r="AX33" t="s">
        <v>383</v>
      </c>
      <c r="AY33" t="s">
        <v>384</v>
      </c>
      <c r="AZ33" t="s">
        <v>381</v>
      </c>
      <c r="BA33" t="s">
        <v>385</v>
      </c>
      <c r="BB33" t="s">
        <v>386</v>
      </c>
      <c r="BC33" t="s">
        <v>382</v>
      </c>
      <c r="BD33" t="s">
        <v>382</v>
      </c>
      <c r="BF33" t="s">
        <v>387</v>
      </c>
      <c r="BG33">
        <v>138089</v>
      </c>
      <c r="BH33" t="s">
        <v>388</v>
      </c>
      <c r="BO33">
        <v>0</v>
      </c>
      <c r="BR33" t="s">
        <v>381</v>
      </c>
      <c r="BS33" t="s">
        <v>389</v>
      </c>
      <c r="BT33" t="s">
        <v>390</v>
      </c>
      <c r="BU33" t="s">
        <v>391</v>
      </c>
      <c r="BW33" t="s">
        <v>114</v>
      </c>
    </row>
    <row r="34" spans="1:75" x14ac:dyDescent="0.35">
      <c r="A34" t="s">
        <v>392</v>
      </c>
      <c r="B34" s="1">
        <v>45991</v>
      </c>
      <c r="C34" s="2">
        <v>9.0393518518518522E-3</v>
      </c>
      <c r="D34" t="s">
        <v>306</v>
      </c>
      <c r="E34" t="s">
        <v>307</v>
      </c>
      <c r="F34" t="s">
        <v>393</v>
      </c>
      <c r="G34">
        <f>COUNTIF($F$2:$F$104,F34)</f>
        <v>1</v>
      </c>
      <c r="H34" t="s">
        <v>394</v>
      </c>
      <c r="I34" t="s">
        <v>395</v>
      </c>
      <c r="J34" t="s">
        <v>396</v>
      </c>
      <c r="K34" t="s">
        <v>120</v>
      </c>
      <c r="L34">
        <v>50126</v>
      </c>
      <c r="M34" t="s">
        <v>85</v>
      </c>
      <c r="N34" t="s">
        <v>121</v>
      </c>
      <c r="O34" t="s">
        <v>87</v>
      </c>
      <c r="P34" t="s">
        <v>88</v>
      </c>
      <c r="Q34" t="s">
        <v>171</v>
      </c>
      <c r="R34" t="s">
        <v>172</v>
      </c>
      <c r="S34" t="s">
        <v>171</v>
      </c>
      <c r="T34" t="s">
        <v>172</v>
      </c>
      <c r="U34" t="s">
        <v>211</v>
      </c>
      <c r="V34" t="s">
        <v>22</v>
      </c>
      <c r="X34" t="s">
        <v>251</v>
      </c>
      <c r="Y34" t="s">
        <v>95</v>
      </c>
      <c r="Z34" t="s">
        <v>252</v>
      </c>
      <c r="AA34" t="b">
        <v>0</v>
      </c>
      <c r="AB34" t="b">
        <v>0</v>
      </c>
      <c r="AD34">
        <v>667</v>
      </c>
      <c r="AE34" t="s">
        <v>213</v>
      </c>
      <c r="AH34" t="s">
        <v>307</v>
      </c>
      <c r="AJ34" t="s">
        <v>88</v>
      </c>
      <c r="AK34" t="s">
        <v>397</v>
      </c>
      <c r="AL34" t="s">
        <v>88</v>
      </c>
      <c r="AM34" t="s">
        <v>88</v>
      </c>
      <c r="AN34" t="s">
        <v>100</v>
      </c>
      <c r="AP34" t="s">
        <v>398</v>
      </c>
      <c r="AQ34" t="s">
        <v>399</v>
      </c>
      <c r="AR34" t="s">
        <v>400</v>
      </c>
      <c r="AS34" t="s">
        <v>401</v>
      </c>
      <c r="AT34" t="s">
        <v>402</v>
      </c>
      <c r="AU34" t="s">
        <v>402</v>
      </c>
      <c r="AX34" t="s">
        <v>403</v>
      </c>
      <c r="AY34" t="s">
        <v>404</v>
      </c>
      <c r="AZ34" t="s">
        <v>399</v>
      </c>
      <c r="BA34" t="s">
        <v>400</v>
      </c>
      <c r="BB34" t="s">
        <v>401</v>
      </c>
      <c r="BC34" t="s">
        <v>405</v>
      </c>
      <c r="BD34" t="s">
        <v>406</v>
      </c>
      <c r="BE34" t="s">
        <v>407</v>
      </c>
      <c r="BF34" t="s">
        <v>408</v>
      </c>
      <c r="BG34">
        <v>17501</v>
      </c>
      <c r="BH34" t="s">
        <v>409</v>
      </c>
      <c r="BO34">
        <v>2</v>
      </c>
      <c r="BR34" t="s">
        <v>399</v>
      </c>
      <c r="BS34" t="s">
        <v>410</v>
      </c>
      <c r="BT34" t="s">
        <v>401</v>
      </c>
      <c r="BU34" t="s">
        <v>405</v>
      </c>
      <c r="BW34" t="s">
        <v>411</v>
      </c>
    </row>
    <row r="35" spans="1:75" x14ac:dyDescent="0.35">
      <c r="A35" t="s">
        <v>412</v>
      </c>
      <c r="B35" s="1">
        <v>45990</v>
      </c>
      <c r="C35" s="2">
        <v>0.79460648148148139</v>
      </c>
      <c r="D35" t="s">
        <v>206</v>
      </c>
      <c r="E35" t="s">
        <v>207</v>
      </c>
      <c r="F35" t="s">
        <v>413</v>
      </c>
      <c r="G35">
        <f>COUNTIF($F$2:$F$104,F35)</f>
        <v>2</v>
      </c>
      <c r="H35" t="s">
        <v>414</v>
      </c>
      <c r="I35" t="s">
        <v>228</v>
      </c>
      <c r="J35" t="s">
        <v>83</v>
      </c>
      <c r="K35" t="s">
        <v>84</v>
      </c>
      <c r="M35" t="s">
        <v>85</v>
      </c>
      <c r="N35" t="s">
        <v>121</v>
      </c>
      <c r="O35" t="s">
        <v>87</v>
      </c>
      <c r="P35" t="s">
        <v>88</v>
      </c>
      <c r="Q35" t="s">
        <v>122</v>
      </c>
      <c r="R35" t="s">
        <v>123</v>
      </c>
      <c r="S35" t="s">
        <v>124</v>
      </c>
      <c r="T35" t="s">
        <v>125</v>
      </c>
      <c r="U35" t="s">
        <v>93</v>
      </c>
      <c r="V35" t="s">
        <v>22</v>
      </c>
      <c r="X35" t="s">
        <v>229</v>
      </c>
      <c r="Y35" t="s">
        <v>230</v>
      </c>
      <c r="Z35" t="s">
        <v>231</v>
      </c>
      <c r="AA35" t="b">
        <v>0</v>
      </c>
      <c r="AB35" t="b">
        <v>0</v>
      </c>
      <c r="AD35">
        <v>167</v>
      </c>
      <c r="AI35" t="s">
        <v>232</v>
      </c>
      <c r="AJ35" t="s">
        <v>88</v>
      </c>
      <c r="AK35" t="s">
        <v>415</v>
      </c>
      <c r="AL35" t="s">
        <v>88</v>
      </c>
      <c r="AM35" t="s">
        <v>88</v>
      </c>
      <c r="AN35" t="s">
        <v>100</v>
      </c>
      <c r="AO35">
        <v>1002</v>
      </c>
      <c r="AP35" t="s">
        <v>416</v>
      </c>
      <c r="AQ35" t="s">
        <v>102</v>
      </c>
      <c r="AR35" t="s">
        <v>235</v>
      </c>
      <c r="AS35" t="s">
        <v>236</v>
      </c>
      <c r="AT35" t="s">
        <v>237</v>
      </c>
      <c r="AU35" t="s">
        <v>237</v>
      </c>
      <c r="AX35" t="s">
        <v>238</v>
      </c>
      <c r="AY35" t="s">
        <v>417</v>
      </c>
      <c r="AZ35" t="s">
        <v>102</v>
      </c>
      <c r="BA35" t="s">
        <v>235</v>
      </c>
      <c r="BB35" t="s">
        <v>236</v>
      </c>
      <c r="BC35" t="s">
        <v>237</v>
      </c>
      <c r="BD35" t="s">
        <v>237</v>
      </c>
      <c r="BE35" t="s">
        <v>240</v>
      </c>
      <c r="BF35" t="s">
        <v>109</v>
      </c>
      <c r="BG35">
        <v>6167</v>
      </c>
      <c r="BH35" t="s">
        <v>418</v>
      </c>
      <c r="BO35">
        <v>4</v>
      </c>
      <c r="BR35" t="s">
        <v>102</v>
      </c>
      <c r="BS35" t="s">
        <v>419</v>
      </c>
      <c r="BT35" t="s">
        <v>420</v>
      </c>
      <c r="BU35" t="s">
        <v>237</v>
      </c>
      <c r="BV35" t="s">
        <v>237</v>
      </c>
      <c r="BW35" t="s">
        <v>244</v>
      </c>
    </row>
    <row r="36" spans="1:75" x14ac:dyDescent="0.35">
      <c r="A36" t="s">
        <v>412</v>
      </c>
      <c r="B36" s="1">
        <v>45990</v>
      </c>
      <c r="C36" s="2">
        <v>0.79460648148148139</v>
      </c>
      <c r="D36" t="s">
        <v>206</v>
      </c>
      <c r="E36" t="s">
        <v>207</v>
      </c>
      <c r="F36" t="s">
        <v>413</v>
      </c>
      <c r="G36">
        <f>COUNTIF($F$2:$F$104,F36)</f>
        <v>2</v>
      </c>
      <c r="H36" t="s">
        <v>414</v>
      </c>
      <c r="I36" t="s">
        <v>228</v>
      </c>
      <c r="J36" t="s">
        <v>83</v>
      </c>
      <c r="K36" t="s">
        <v>84</v>
      </c>
      <c r="M36" t="s">
        <v>85</v>
      </c>
      <c r="N36" t="s">
        <v>121</v>
      </c>
      <c r="O36" t="s">
        <v>87</v>
      </c>
      <c r="P36" t="s">
        <v>88</v>
      </c>
      <c r="Q36" t="s">
        <v>122</v>
      </c>
      <c r="R36" t="s">
        <v>123</v>
      </c>
      <c r="S36" t="s">
        <v>124</v>
      </c>
      <c r="T36" t="s">
        <v>125</v>
      </c>
      <c r="U36" t="s">
        <v>93</v>
      </c>
      <c r="V36" t="s">
        <v>22</v>
      </c>
      <c r="X36" t="s">
        <v>229</v>
      </c>
      <c r="Y36" t="s">
        <v>230</v>
      </c>
      <c r="Z36" t="s">
        <v>231</v>
      </c>
      <c r="AA36" t="b">
        <v>0</v>
      </c>
      <c r="AB36" t="b">
        <v>0</v>
      </c>
      <c r="AD36">
        <v>89</v>
      </c>
      <c r="AI36" t="s">
        <v>232</v>
      </c>
      <c r="AJ36" t="s">
        <v>88</v>
      </c>
      <c r="AK36" t="s">
        <v>421</v>
      </c>
      <c r="AL36" t="s">
        <v>88</v>
      </c>
      <c r="AM36" t="s">
        <v>88</v>
      </c>
      <c r="AN36" t="s">
        <v>100</v>
      </c>
      <c r="AO36">
        <v>1002</v>
      </c>
      <c r="AP36" t="s">
        <v>416</v>
      </c>
      <c r="AQ36" t="s">
        <v>102</v>
      </c>
      <c r="AR36" t="s">
        <v>235</v>
      </c>
      <c r="AS36" t="s">
        <v>236</v>
      </c>
      <c r="AT36" t="s">
        <v>237</v>
      </c>
      <c r="AU36" t="s">
        <v>237</v>
      </c>
      <c r="AX36" t="s">
        <v>238</v>
      </c>
      <c r="AY36" t="s">
        <v>417</v>
      </c>
      <c r="AZ36" t="s">
        <v>102</v>
      </c>
      <c r="BA36" t="s">
        <v>235</v>
      </c>
      <c r="BB36" t="s">
        <v>236</v>
      </c>
      <c r="BC36" t="s">
        <v>237</v>
      </c>
      <c r="BD36" t="s">
        <v>237</v>
      </c>
      <c r="BE36" t="s">
        <v>240</v>
      </c>
      <c r="BF36" t="s">
        <v>109</v>
      </c>
      <c r="BG36">
        <v>6167</v>
      </c>
      <c r="BH36" t="s">
        <v>418</v>
      </c>
      <c r="BO36">
        <v>4</v>
      </c>
      <c r="BR36" t="s">
        <v>102</v>
      </c>
      <c r="BS36" t="s">
        <v>419</v>
      </c>
      <c r="BT36" t="s">
        <v>420</v>
      </c>
      <c r="BU36" t="s">
        <v>237</v>
      </c>
      <c r="BV36" t="s">
        <v>237</v>
      </c>
      <c r="BW36" t="s">
        <v>244</v>
      </c>
    </row>
    <row r="37" spans="1:75" x14ac:dyDescent="0.35">
      <c r="A37" t="s">
        <v>422</v>
      </c>
      <c r="B37" s="1">
        <v>45990</v>
      </c>
      <c r="C37" s="2">
        <v>0.61576388888888889</v>
      </c>
      <c r="D37" t="s">
        <v>206</v>
      </c>
      <c r="E37" t="s">
        <v>207</v>
      </c>
      <c r="F37" t="s">
        <v>423</v>
      </c>
      <c r="G37">
        <f>COUNTIF($F$2:$F$104,F37)</f>
        <v>1</v>
      </c>
      <c r="H37" t="s">
        <v>424</v>
      </c>
      <c r="I37" t="s">
        <v>228</v>
      </c>
      <c r="J37" t="s">
        <v>83</v>
      </c>
      <c r="K37" t="s">
        <v>84</v>
      </c>
      <c r="M37" t="s">
        <v>85</v>
      </c>
      <c r="N37" t="s">
        <v>121</v>
      </c>
      <c r="O37" t="s">
        <v>87</v>
      </c>
      <c r="P37" t="s">
        <v>88</v>
      </c>
      <c r="Q37" t="s">
        <v>122</v>
      </c>
      <c r="R37" t="s">
        <v>123</v>
      </c>
      <c r="S37" t="s">
        <v>124</v>
      </c>
      <c r="T37" t="s">
        <v>125</v>
      </c>
      <c r="U37" t="s">
        <v>93</v>
      </c>
      <c r="V37" t="s">
        <v>22</v>
      </c>
      <c r="X37" t="s">
        <v>229</v>
      </c>
      <c r="Y37" t="s">
        <v>230</v>
      </c>
      <c r="Z37" t="s">
        <v>231</v>
      </c>
      <c r="AA37" t="b">
        <v>0</v>
      </c>
      <c r="AB37" t="b">
        <v>0</v>
      </c>
      <c r="AD37">
        <v>62</v>
      </c>
      <c r="AI37" t="s">
        <v>232</v>
      </c>
      <c r="AJ37" t="s">
        <v>88</v>
      </c>
      <c r="AK37" t="s">
        <v>425</v>
      </c>
      <c r="AL37" t="s">
        <v>88</v>
      </c>
      <c r="AM37" t="s">
        <v>88</v>
      </c>
      <c r="AN37" t="s">
        <v>100</v>
      </c>
      <c r="AO37">
        <v>1002</v>
      </c>
      <c r="AP37" t="s">
        <v>426</v>
      </c>
      <c r="AQ37" t="s">
        <v>102</v>
      </c>
      <c r="AR37" t="s">
        <v>427</v>
      </c>
      <c r="AS37" t="s">
        <v>428</v>
      </c>
      <c r="AT37" t="s">
        <v>237</v>
      </c>
      <c r="AU37" t="s">
        <v>237</v>
      </c>
      <c r="AX37" t="s">
        <v>238</v>
      </c>
      <c r="AY37" t="s">
        <v>417</v>
      </c>
      <c r="AZ37" t="s">
        <v>102</v>
      </c>
      <c r="BA37" t="s">
        <v>235</v>
      </c>
      <c r="BB37" t="s">
        <v>236</v>
      </c>
      <c r="BC37" t="s">
        <v>237</v>
      </c>
      <c r="BD37" t="s">
        <v>237</v>
      </c>
      <c r="BE37" t="s">
        <v>240</v>
      </c>
      <c r="BF37" t="s">
        <v>109</v>
      </c>
      <c r="BG37">
        <v>6167</v>
      </c>
      <c r="BH37" t="s">
        <v>429</v>
      </c>
      <c r="BO37">
        <v>4</v>
      </c>
      <c r="BR37" t="s">
        <v>102</v>
      </c>
      <c r="BS37" t="s">
        <v>430</v>
      </c>
      <c r="BT37" t="s">
        <v>431</v>
      </c>
      <c r="BU37" t="s">
        <v>237</v>
      </c>
      <c r="BV37" t="s">
        <v>237</v>
      </c>
      <c r="BW37" t="s">
        <v>244</v>
      </c>
    </row>
    <row r="38" spans="1:75" x14ac:dyDescent="0.35">
      <c r="A38" t="s">
        <v>432</v>
      </c>
      <c r="B38" s="1">
        <v>45990</v>
      </c>
      <c r="C38" s="2">
        <v>0.56482638888888892</v>
      </c>
      <c r="D38" t="s">
        <v>306</v>
      </c>
      <c r="E38" t="s">
        <v>307</v>
      </c>
      <c r="F38" t="s">
        <v>433</v>
      </c>
      <c r="G38">
        <f>COUNTIF($F$2:$F$104,F38)</f>
        <v>1</v>
      </c>
      <c r="H38" t="s">
        <v>434</v>
      </c>
      <c r="I38" t="s">
        <v>435</v>
      </c>
      <c r="J38" t="s">
        <v>83</v>
      </c>
      <c r="K38" t="s">
        <v>120</v>
      </c>
      <c r="L38">
        <v>50126</v>
      </c>
      <c r="M38" t="s">
        <v>85</v>
      </c>
      <c r="N38" t="s">
        <v>121</v>
      </c>
      <c r="O38" t="s">
        <v>87</v>
      </c>
      <c r="P38" t="s">
        <v>88</v>
      </c>
      <c r="Q38" t="s">
        <v>171</v>
      </c>
      <c r="R38" t="s">
        <v>172</v>
      </c>
      <c r="S38" t="s">
        <v>171</v>
      </c>
      <c r="T38" t="s">
        <v>172</v>
      </c>
      <c r="U38" t="s">
        <v>211</v>
      </c>
      <c r="V38" t="s">
        <v>22</v>
      </c>
      <c r="X38" t="s">
        <v>251</v>
      </c>
      <c r="Y38" t="s">
        <v>95</v>
      </c>
      <c r="Z38" t="s">
        <v>252</v>
      </c>
      <c r="AA38" t="b">
        <v>0</v>
      </c>
      <c r="AB38" t="b">
        <v>0</v>
      </c>
      <c r="AD38">
        <v>225</v>
      </c>
      <c r="AE38" t="s">
        <v>213</v>
      </c>
      <c r="AH38" t="s">
        <v>307</v>
      </c>
      <c r="AJ38" t="s">
        <v>88</v>
      </c>
      <c r="AK38" t="s">
        <v>436</v>
      </c>
      <c r="AL38" t="s">
        <v>88</v>
      </c>
      <c r="AM38" t="s">
        <v>88</v>
      </c>
      <c r="AN38" t="s">
        <v>100</v>
      </c>
      <c r="AP38" t="s">
        <v>437</v>
      </c>
      <c r="AQ38" t="s">
        <v>102</v>
      </c>
      <c r="AR38" t="s">
        <v>438</v>
      </c>
      <c r="AS38" t="s">
        <v>439</v>
      </c>
      <c r="AT38" t="s">
        <v>440</v>
      </c>
      <c r="AU38" t="s">
        <v>440</v>
      </c>
      <c r="AX38" t="s">
        <v>441</v>
      </c>
      <c r="AY38" t="s">
        <v>442</v>
      </c>
      <c r="AZ38" t="s">
        <v>102</v>
      </c>
      <c r="BA38" t="s">
        <v>438</v>
      </c>
      <c r="BB38" t="s">
        <v>439</v>
      </c>
      <c r="BC38" t="s">
        <v>443</v>
      </c>
      <c r="BD38" t="s">
        <v>443</v>
      </c>
      <c r="BE38" t="s">
        <v>141</v>
      </c>
      <c r="BF38" t="s">
        <v>444</v>
      </c>
      <c r="BG38">
        <v>14061</v>
      </c>
      <c r="BH38" t="s">
        <v>445</v>
      </c>
      <c r="BO38">
        <v>55</v>
      </c>
      <c r="BR38" t="s">
        <v>102</v>
      </c>
      <c r="BS38" t="s">
        <v>446</v>
      </c>
      <c r="BT38" t="s">
        <v>439</v>
      </c>
      <c r="BU38" t="s">
        <v>443</v>
      </c>
      <c r="BV38" t="s">
        <v>443</v>
      </c>
      <c r="BW38" t="s">
        <v>146</v>
      </c>
    </row>
    <row r="39" spans="1:75" x14ac:dyDescent="0.35">
      <c r="A39" t="s">
        <v>447</v>
      </c>
      <c r="B39" s="1">
        <v>45990</v>
      </c>
      <c r="C39" s="2">
        <v>0.55923611111111116</v>
      </c>
      <c r="D39" t="s">
        <v>352</v>
      </c>
      <c r="E39" t="s">
        <v>353</v>
      </c>
      <c r="F39" t="s">
        <v>448</v>
      </c>
      <c r="G39">
        <f>COUNTIF($F$2:$F$104,F39)</f>
        <v>1</v>
      </c>
      <c r="H39" t="s">
        <v>449</v>
      </c>
      <c r="I39" t="s">
        <v>450</v>
      </c>
      <c r="J39" t="s">
        <v>451</v>
      </c>
      <c r="K39" t="s">
        <v>120</v>
      </c>
      <c r="L39">
        <v>50053</v>
      </c>
      <c r="M39" t="s">
        <v>85</v>
      </c>
      <c r="N39" t="s">
        <v>121</v>
      </c>
      <c r="O39" t="s">
        <v>87</v>
      </c>
      <c r="P39" t="s">
        <v>88</v>
      </c>
      <c r="Q39" t="s">
        <v>171</v>
      </c>
      <c r="R39" t="s">
        <v>172</v>
      </c>
      <c r="S39" t="s">
        <v>171</v>
      </c>
      <c r="T39" t="s">
        <v>172</v>
      </c>
      <c r="U39" t="s">
        <v>312</v>
      </c>
      <c r="V39" t="s">
        <v>22</v>
      </c>
      <c r="X39" t="s">
        <v>251</v>
      </c>
      <c r="Y39" t="s">
        <v>95</v>
      </c>
      <c r="Z39" t="s">
        <v>252</v>
      </c>
      <c r="AA39" t="b">
        <v>0</v>
      </c>
      <c r="AB39" t="b">
        <v>0</v>
      </c>
      <c r="AD39">
        <v>251</v>
      </c>
      <c r="AE39" t="s">
        <v>313</v>
      </c>
      <c r="AH39" t="s">
        <v>353</v>
      </c>
      <c r="AJ39" t="s">
        <v>88</v>
      </c>
      <c r="AK39" t="s">
        <v>452</v>
      </c>
      <c r="AL39" t="s">
        <v>88</v>
      </c>
      <c r="AM39" t="s">
        <v>88</v>
      </c>
      <c r="AN39" t="s">
        <v>100</v>
      </c>
      <c r="AP39" t="s">
        <v>453</v>
      </c>
      <c r="AQ39" t="s">
        <v>454</v>
      </c>
      <c r="AR39" t="s">
        <v>455</v>
      </c>
      <c r="AS39" t="s">
        <v>456</v>
      </c>
      <c r="AT39" t="s">
        <v>457</v>
      </c>
      <c r="AU39" t="s">
        <v>457</v>
      </c>
      <c r="AX39" t="s">
        <v>458</v>
      </c>
      <c r="AY39" t="s">
        <v>459</v>
      </c>
      <c r="AZ39" t="s">
        <v>454</v>
      </c>
      <c r="BA39" t="s">
        <v>460</v>
      </c>
      <c r="BB39" t="s">
        <v>461</v>
      </c>
      <c r="BC39" t="s">
        <v>457</v>
      </c>
      <c r="BD39" t="s">
        <v>457</v>
      </c>
      <c r="BF39" t="s">
        <v>462</v>
      </c>
      <c r="BG39">
        <v>196815</v>
      </c>
      <c r="BH39" t="s">
        <v>463</v>
      </c>
      <c r="BO39">
        <v>0</v>
      </c>
      <c r="BR39" t="s">
        <v>454</v>
      </c>
      <c r="BS39" t="s">
        <v>464</v>
      </c>
      <c r="BT39" t="s">
        <v>465</v>
      </c>
      <c r="BU39" t="s">
        <v>466</v>
      </c>
      <c r="BV39" t="s">
        <v>467</v>
      </c>
      <c r="BW39" t="s">
        <v>114</v>
      </c>
    </row>
    <row r="40" spans="1:75" x14ac:dyDescent="0.35">
      <c r="A40" t="s">
        <v>468</v>
      </c>
      <c r="B40" s="1">
        <v>45990</v>
      </c>
      <c r="C40" s="2">
        <v>0.46449074074074076</v>
      </c>
      <c r="D40" t="s">
        <v>469</v>
      </c>
      <c r="E40" t="s">
        <v>470</v>
      </c>
      <c r="F40" t="s">
        <v>471</v>
      </c>
      <c r="G40">
        <f>COUNTIF($F$2:$F$104,F40)</f>
        <v>5</v>
      </c>
      <c r="H40" t="s">
        <v>472</v>
      </c>
      <c r="I40" t="s">
        <v>473</v>
      </c>
      <c r="J40" t="s">
        <v>83</v>
      </c>
      <c r="K40" t="s">
        <v>84</v>
      </c>
      <c r="M40" t="s">
        <v>85</v>
      </c>
      <c r="N40" t="s">
        <v>121</v>
      </c>
      <c r="O40" t="s">
        <v>87</v>
      </c>
      <c r="P40" t="s">
        <v>88</v>
      </c>
      <c r="Q40" t="s">
        <v>124</v>
      </c>
      <c r="R40" t="s">
        <v>125</v>
      </c>
      <c r="S40" t="s">
        <v>124</v>
      </c>
      <c r="T40" t="s">
        <v>125</v>
      </c>
      <c r="U40" t="s">
        <v>93</v>
      </c>
      <c r="V40" t="s">
        <v>474</v>
      </c>
      <c r="Z40" t="s">
        <v>475</v>
      </c>
      <c r="AA40" t="b">
        <v>0</v>
      </c>
      <c r="AB40" t="b">
        <v>0</v>
      </c>
      <c r="AD40">
        <v>137</v>
      </c>
      <c r="AH40" t="s">
        <v>470</v>
      </c>
      <c r="AI40" t="s">
        <v>476</v>
      </c>
      <c r="AJ40" t="s">
        <v>477</v>
      </c>
      <c r="AK40" t="s">
        <v>478</v>
      </c>
      <c r="AL40" t="s">
        <v>88</v>
      </c>
      <c r="AM40" t="s">
        <v>479</v>
      </c>
      <c r="AN40" t="s">
        <v>100</v>
      </c>
      <c r="AO40">
        <v>1002</v>
      </c>
      <c r="AP40" t="s">
        <v>480</v>
      </c>
      <c r="AQ40" t="s">
        <v>102</v>
      </c>
      <c r="AR40" t="s">
        <v>103</v>
      </c>
      <c r="AS40" t="s">
        <v>481</v>
      </c>
      <c r="AT40" t="s">
        <v>105</v>
      </c>
      <c r="AU40" t="s">
        <v>105</v>
      </c>
      <c r="AX40" t="s">
        <v>106</v>
      </c>
      <c r="AY40" t="s">
        <v>482</v>
      </c>
      <c r="AZ40" t="s">
        <v>102</v>
      </c>
      <c r="BA40" t="s">
        <v>483</v>
      </c>
      <c r="BB40" t="s">
        <v>484</v>
      </c>
      <c r="BC40" t="s">
        <v>108</v>
      </c>
      <c r="BD40" t="s">
        <v>485</v>
      </c>
      <c r="BF40" t="s">
        <v>109</v>
      </c>
      <c r="BG40">
        <v>7018</v>
      </c>
      <c r="BH40" t="s">
        <v>486</v>
      </c>
      <c r="BO40">
        <v>3</v>
      </c>
      <c r="BR40" t="s">
        <v>102</v>
      </c>
      <c r="BS40" t="s">
        <v>220</v>
      </c>
      <c r="BT40" t="s">
        <v>220</v>
      </c>
      <c r="BU40" t="s">
        <v>108</v>
      </c>
      <c r="BV40" t="s">
        <v>487</v>
      </c>
      <c r="BW40" t="s">
        <v>114</v>
      </c>
    </row>
    <row r="41" spans="1:75" s="7" customFormat="1" x14ac:dyDescent="0.35">
      <c r="A41" s="7" t="s">
        <v>488</v>
      </c>
      <c r="B41" s="8">
        <v>45990</v>
      </c>
      <c r="C41" s="9">
        <v>1.7037037037037038E-2</v>
      </c>
      <c r="D41" s="7" t="s">
        <v>489</v>
      </c>
      <c r="E41" s="7" t="s">
        <v>490</v>
      </c>
      <c r="F41" s="7" t="s">
        <v>491</v>
      </c>
      <c r="G41" s="7">
        <f>COUNTIF($F$2:$F$104,F41)</f>
        <v>1</v>
      </c>
      <c r="H41" s="7" t="s">
        <v>492</v>
      </c>
      <c r="I41" s="7" t="s">
        <v>493</v>
      </c>
      <c r="J41" s="7" t="s">
        <v>83</v>
      </c>
      <c r="K41" s="7" t="s">
        <v>84</v>
      </c>
      <c r="M41" s="7" t="s">
        <v>85</v>
      </c>
      <c r="N41" s="7" t="s">
        <v>121</v>
      </c>
      <c r="O41" s="7" t="s">
        <v>87</v>
      </c>
      <c r="P41" s="7" t="s">
        <v>494</v>
      </c>
      <c r="Q41" s="7" t="s">
        <v>122</v>
      </c>
      <c r="R41" s="7" t="s">
        <v>123</v>
      </c>
      <c r="S41" s="7" t="s">
        <v>124</v>
      </c>
      <c r="T41" s="7" t="s">
        <v>125</v>
      </c>
      <c r="U41" s="7" t="s">
        <v>93</v>
      </c>
      <c r="V41" s="7" t="s">
        <v>22</v>
      </c>
      <c r="W41" s="7" t="s">
        <v>495</v>
      </c>
      <c r="X41" s="7" t="s">
        <v>94</v>
      </c>
      <c r="Y41" s="7" t="s">
        <v>95</v>
      </c>
      <c r="Z41" s="7" t="s">
        <v>96</v>
      </c>
      <c r="AA41" s="7" t="b">
        <v>0</v>
      </c>
      <c r="AB41" s="7" t="b">
        <v>0</v>
      </c>
      <c r="AC41" s="10" t="s">
        <v>496</v>
      </c>
      <c r="AD41" s="7">
        <v>594</v>
      </c>
      <c r="AI41" s="7" t="s">
        <v>497</v>
      </c>
      <c r="AJ41" s="7" t="s">
        <v>88</v>
      </c>
      <c r="AK41" s="7" t="s">
        <v>498</v>
      </c>
      <c r="AL41" s="7" t="s">
        <v>88</v>
      </c>
      <c r="AM41" s="7" t="s">
        <v>88</v>
      </c>
      <c r="AN41" s="7" t="s">
        <v>499</v>
      </c>
      <c r="AP41" s="7" t="s">
        <v>500</v>
      </c>
      <c r="AQ41" s="7" t="s">
        <v>102</v>
      </c>
      <c r="AR41" s="7" t="s">
        <v>427</v>
      </c>
      <c r="AS41" s="7" t="s">
        <v>501</v>
      </c>
      <c r="AT41" s="7" t="s">
        <v>502</v>
      </c>
      <c r="AU41" s="7" t="s">
        <v>502</v>
      </c>
      <c r="AX41" s="7" t="s">
        <v>503</v>
      </c>
      <c r="AY41" s="7" t="s">
        <v>504</v>
      </c>
      <c r="AZ41" s="7" t="s">
        <v>102</v>
      </c>
      <c r="BA41" s="7" t="s">
        <v>427</v>
      </c>
      <c r="BB41" s="7" t="s">
        <v>505</v>
      </c>
      <c r="BC41" s="7" t="s">
        <v>506</v>
      </c>
      <c r="BD41" s="7" t="s">
        <v>506</v>
      </c>
      <c r="BF41" s="7" t="s">
        <v>507</v>
      </c>
      <c r="BG41" s="7">
        <v>7922</v>
      </c>
      <c r="BH41" s="7" t="s">
        <v>508</v>
      </c>
      <c r="BO41" s="7">
        <v>5</v>
      </c>
      <c r="BR41" s="7" t="s">
        <v>102</v>
      </c>
      <c r="BS41" s="7" t="s">
        <v>509</v>
      </c>
      <c r="BT41" s="7" t="s">
        <v>505</v>
      </c>
      <c r="BU41" s="7" t="s">
        <v>506</v>
      </c>
      <c r="BV41" s="7" t="s">
        <v>506</v>
      </c>
      <c r="BW41" s="7" t="s">
        <v>411</v>
      </c>
    </row>
    <row r="42" spans="1:75" x14ac:dyDescent="0.35">
      <c r="A42" t="s">
        <v>510</v>
      </c>
      <c r="B42" s="1">
        <v>45989</v>
      </c>
      <c r="C42" s="2">
        <v>0.93953703703703706</v>
      </c>
      <c r="D42" t="s">
        <v>511</v>
      </c>
      <c r="E42" t="s">
        <v>512</v>
      </c>
      <c r="F42" t="s">
        <v>513</v>
      </c>
      <c r="G42">
        <f>COUNTIF($F$2:$F$104,F42)</f>
        <v>1</v>
      </c>
      <c r="H42" t="s">
        <v>514</v>
      </c>
      <c r="I42" t="s">
        <v>515</v>
      </c>
      <c r="J42" t="s">
        <v>83</v>
      </c>
      <c r="K42" t="s">
        <v>120</v>
      </c>
      <c r="L42">
        <v>50053</v>
      </c>
      <c r="M42" t="s">
        <v>85</v>
      </c>
      <c r="N42" t="s">
        <v>121</v>
      </c>
      <c r="O42" t="s">
        <v>87</v>
      </c>
      <c r="P42" t="s">
        <v>88</v>
      </c>
      <c r="Q42" t="s">
        <v>124</v>
      </c>
      <c r="R42" t="s">
        <v>125</v>
      </c>
      <c r="S42" t="s">
        <v>124</v>
      </c>
      <c r="T42" t="s">
        <v>125</v>
      </c>
      <c r="U42" t="s">
        <v>334</v>
      </c>
      <c r="V42" t="s">
        <v>474</v>
      </c>
      <c r="Z42" t="s">
        <v>475</v>
      </c>
      <c r="AA42" t="b">
        <v>0</v>
      </c>
      <c r="AB42" t="b">
        <v>0</v>
      </c>
      <c r="AD42">
        <v>99</v>
      </c>
      <c r="AH42" t="s">
        <v>512</v>
      </c>
      <c r="AJ42" t="s">
        <v>88</v>
      </c>
      <c r="AK42" t="s">
        <v>516</v>
      </c>
      <c r="AL42" t="s">
        <v>88</v>
      </c>
      <c r="AM42" t="s">
        <v>479</v>
      </c>
      <c r="AN42" t="s">
        <v>100</v>
      </c>
      <c r="AP42" t="s">
        <v>517</v>
      </c>
      <c r="AQ42" t="s">
        <v>102</v>
      </c>
      <c r="AR42" t="s">
        <v>518</v>
      </c>
      <c r="AS42" t="s">
        <v>519</v>
      </c>
      <c r="AT42" t="s">
        <v>502</v>
      </c>
      <c r="AU42" t="s">
        <v>502</v>
      </c>
      <c r="AX42" t="s">
        <v>503</v>
      </c>
      <c r="AY42" t="s">
        <v>520</v>
      </c>
      <c r="AZ42" t="s">
        <v>102</v>
      </c>
      <c r="BA42" t="s">
        <v>521</v>
      </c>
      <c r="BB42" t="s">
        <v>522</v>
      </c>
      <c r="BC42" t="s">
        <v>506</v>
      </c>
      <c r="BD42" t="s">
        <v>523</v>
      </c>
      <c r="BF42" t="s">
        <v>507</v>
      </c>
      <c r="BG42">
        <v>7922</v>
      </c>
      <c r="BH42" t="s">
        <v>524</v>
      </c>
      <c r="BO42">
        <v>16</v>
      </c>
      <c r="BR42" t="s">
        <v>102</v>
      </c>
      <c r="BS42" t="s">
        <v>525</v>
      </c>
      <c r="BT42" t="s">
        <v>522</v>
      </c>
      <c r="BU42" t="s">
        <v>526</v>
      </c>
      <c r="BV42" t="s">
        <v>523</v>
      </c>
      <c r="BW42" t="s">
        <v>411</v>
      </c>
    </row>
    <row r="43" spans="1:75" x14ac:dyDescent="0.35">
      <c r="A43" t="s">
        <v>527</v>
      </c>
      <c r="B43" s="1">
        <v>45989</v>
      </c>
      <c r="C43" s="2">
        <v>0.84456018518518527</v>
      </c>
      <c r="D43" t="s">
        <v>511</v>
      </c>
      <c r="E43" t="s">
        <v>512</v>
      </c>
      <c r="F43" t="s">
        <v>528</v>
      </c>
      <c r="G43">
        <f>COUNTIF($F$2:$F$104,F43)</f>
        <v>1</v>
      </c>
      <c r="H43" t="s">
        <v>529</v>
      </c>
      <c r="I43" t="s">
        <v>530</v>
      </c>
      <c r="J43" t="s">
        <v>531</v>
      </c>
      <c r="K43" t="s">
        <v>120</v>
      </c>
      <c r="L43">
        <v>50126</v>
      </c>
      <c r="M43" t="s">
        <v>85</v>
      </c>
      <c r="N43" t="s">
        <v>121</v>
      </c>
      <c r="O43" t="s">
        <v>87</v>
      </c>
      <c r="P43" t="s">
        <v>88</v>
      </c>
      <c r="Q43" t="s">
        <v>124</v>
      </c>
      <c r="R43" t="s">
        <v>125</v>
      </c>
      <c r="S43" t="s">
        <v>124</v>
      </c>
      <c r="T43" t="s">
        <v>125</v>
      </c>
      <c r="U43" t="s">
        <v>211</v>
      </c>
      <c r="V43" t="s">
        <v>474</v>
      </c>
      <c r="Z43" t="s">
        <v>475</v>
      </c>
      <c r="AA43" t="b">
        <v>0</v>
      </c>
      <c r="AB43" t="b">
        <v>0</v>
      </c>
      <c r="AD43">
        <v>59</v>
      </c>
      <c r="AE43" t="s">
        <v>213</v>
      </c>
      <c r="AH43" t="s">
        <v>512</v>
      </c>
      <c r="AJ43" t="s">
        <v>88</v>
      </c>
      <c r="AK43" t="s">
        <v>532</v>
      </c>
      <c r="AL43" t="s">
        <v>88</v>
      </c>
      <c r="AM43" t="s">
        <v>479</v>
      </c>
      <c r="AN43" t="s">
        <v>100</v>
      </c>
      <c r="AP43" t="s">
        <v>533</v>
      </c>
      <c r="AQ43" t="s">
        <v>534</v>
      </c>
      <c r="AT43" t="s">
        <v>535</v>
      </c>
      <c r="AU43" t="s">
        <v>535</v>
      </c>
      <c r="AX43" t="s">
        <v>536</v>
      </c>
      <c r="AY43" t="s">
        <v>537</v>
      </c>
      <c r="AZ43" t="s">
        <v>534</v>
      </c>
      <c r="BA43" t="s">
        <v>538</v>
      </c>
      <c r="BB43" t="s">
        <v>538</v>
      </c>
      <c r="BC43" t="s">
        <v>535</v>
      </c>
      <c r="BD43" t="s">
        <v>539</v>
      </c>
      <c r="BF43" t="s">
        <v>540</v>
      </c>
      <c r="BG43">
        <v>50367</v>
      </c>
      <c r="BH43" t="s">
        <v>541</v>
      </c>
      <c r="BO43">
        <v>0</v>
      </c>
      <c r="BR43" t="s">
        <v>534</v>
      </c>
      <c r="BS43" t="s">
        <v>542</v>
      </c>
      <c r="BT43" t="s">
        <v>538</v>
      </c>
      <c r="BU43" t="s">
        <v>535</v>
      </c>
      <c r="BW43" t="s">
        <v>114</v>
      </c>
    </row>
    <row r="44" spans="1:75" x14ac:dyDescent="0.35">
      <c r="A44" t="s">
        <v>543</v>
      </c>
      <c r="B44" s="1">
        <v>45989</v>
      </c>
      <c r="C44" s="2">
        <v>0.66479166666666667</v>
      </c>
      <c r="D44" t="s">
        <v>469</v>
      </c>
      <c r="E44" t="s">
        <v>470</v>
      </c>
      <c r="F44" t="s">
        <v>544</v>
      </c>
      <c r="G44">
        <f>COUNTIF($F$2:$F$104,F44)</f>
        <v>2</v>
      </c>
      <c r="H44" t="s">
        <v>545</v>
      </c>
      <c r="I44" t="s">
        <v>493</v>
      </c>
      <c r="J44" t="s">
        <v>83</v>
      </c>
      <c r="K44" t="s">
        <v>84</v>
      </c>
      <c r="M44" t="s">
        <v>85</v>
      </c>
      <c r="N44" t="s">
        <v>121</v>
      </c>
      <c r="O44" t="s">
        <v>87</v>
      </c>
      <c r="P44" t="s">
        <v>88</v>
      </c>
      <c r="Q44" t="s">
        <v>124</v>
      </c>
      <c r="R44" t="s">
        <v>125</v>
      </c>
      <c r="S44" t="s">
        <v>124</v>
      </c>
      <c r="T44" t="s">
        <v>125</v>
      </c>
      <c r="U44" t="s">
        <v>93</v>
      </c>
      <c r="V44" t="s">
        <v>474</v>
      </c>
      <c r="Z44" t="s">
        <v>475</v>
      </c>
      <c r="AA44" t="b">
        <v>0</v>
      </c>
      <c r="AB44" t="b">
        <v>0</v>
      </c>
      <c r="AD44">
        <v>103</v>
      </c>
      <c r="AH44" t="s">
        <v>470</v>
      </c>
      <c r="AI44" t="s">
        <v>546</v>
      </c>
      <c r="AJ44" t="s">
        <v>477</v>
      </c>
      <c r="AK44" t="s">
        <v>547</v>
      </c>
      <c r="AL44" t="s">
        <v>88</v>
      </c>
      <c r="AM44" t="s">
        <v>479</v>
      </c>
      <c r="AN44" t="s">
        <v>100</v>
      </c>
      <c r="AO44">
        <v>1002</v>
      </c>
      <c r="AP44" t="s">
        <v>548</v>
      </c>
      <c r="AQ44" t="s">
        <v>102</v>
      </c>
      <c r="AR44" t="s">
        <v>235</v>
      </c>
      <c r="AS44" t="s">
        <v>549</v>
      </c>
      <c r="AT44" t="s">
        <v>550</v>
      </c>
      <c r="AU44" t="s">
        <v>550</v>
      </c>
      <c r="AX44" t="s">
        <v>551</v>
      </c>
      <c r="AY44" t="s">
        <v>552</v>
      </c>
      <c r="AZ44" t="s">
        <v>102</v>
      </c>
      <c r="BA44" t="s">
        <v>235</v>
      </c>
      <c r="BB44" t="s">
        <v>549</v>
      </c>
      <c r="BC44" t="s">
        <v>550</v>
      </c>
      <c r="BD44" t="s">
        <v>550</v>
      </c>
      <c r="BF44" t="s">
        <v>259</v>
      </c>
      <c r="BG44">
        <v>11426</v>
      </c>
      <c r="BH44" t="s">
        <v>553</v>
      </c>
      <c r="BO44">
        <v>0</v>
      </c>
      <c r="BR44" t="s">
        <v>102</v>
      </c>
      <c r="BS44" t="s">
        <v>554</v>
      </c>
      <c r="BT44" t="s">
        <v>549</v>
      </c>
      <c r="BU44" t="s">
        <v>555</v>
      </c>
      <c r="BV44" t="s">
        <v>556</v>
      </c>
      <c r="BW44" t="s">
        <v>114</v>
      </c>
    </row>
    <row r="45" spans="1:75" x14ac:dyDescent="0.35">
      <c r="A45" t="s">
        <v>557</v>
      </c>
      <c r="B45" s="1">
        <v>45989</v>
      </c>
      <c r="C45" s="2">
        <v>0.62173611111111116</v>
      </c>
      <c r="D45" t="s">
        <v>469</v>
      </c>
      <c r="E45" t="s">
        <v>470</v>
      </c>
      <c r="F45" t="s">
        <v>471</v>
      </c>
      <c r="G45">
        <f>COUNTIF($F$2:$F$104,F45)</f>
        <v>5</v>
      </c>
      <c r="H45" t="s">
        <v>472</v>
      </c>
      <c r="I45" t="s">
        <v>473</v>
      </c>
      <c r="J45" t="s">
        <v>83</v>
      </c>
      <c r="K45" t="s">
        <v>84</v>
      </c>
      <c r="M45" t="s">
        <v>85</v>
      </c>
      <c r="N45" t="s">
        <v>121</v>
      </c>
      <c r="O45" t="s">
        <v>87</v>
      </c>
      <c r="P45" t="s">
        <v>88</v>
      </c>
      <c r="Q45" t="s">
        <v>124</v>
      </c>
      <c r="R45" t="s">
        <v>125</v>
      </c>
      <c r="S45" t="s">
        <v>124</v>
      </c>
      <c r="T45" t="s">
        <v>125</v>
      </c>
      <c r="U45" t="s">
        <v>93</v>
      </c>
      <c r="V45" t="s">
        <v>474</v>
      </c>
      <c r="Z45" t="s">
        <v>475</v>
      </c>
      <c r="AA45" t="b">
        <v>0</v>
      </c>
      <c r="AB45" t="b">
        <v>0</v>
      </c>
      <c r="AD45">
        <v>174</v>
      </c>
      <c r="AH45" t="s">
        <v>470</v>
      </c>
      <c r="AI45" t="s">
        <v>558</v>
      </c>
      <c r="AJ45" t="s">
        <v>477</v>
      </c>
      <c r="AK45" t="s">
        <v>559</v>
      </c>
      <c r="AL45" t="s">
        <v>88</v>
      </c>
      <c r="AM45" t="s">
        <v>479</v>
      </c>
      <c r="AN45" t="s">
        <v>100</v>
      </c>
      <c r="AO45">
        <v>1002</v>
      </c>
      <c r="AP45" t="s">
        <v>560</v>
      </c>
      <c r="AQ45" t="s">
        <v>102</v>
      </c>
      <c r="AR45" t="s">
        <v>103</v>
      </c>
      <c r="AS45" t="s">
        <v>481</v>
      </c>
      <c r="AT45" t="s">
        <v>105</v>
      </c>
      <c r="AU45" t="s">
        <v>105</v>
      </c>
      <c r="AX45" t="s">
        <v>106</v>
      </c>
      <c r="AY45" t="s">
        <v>482</v>
      </c>
      <c r="AZ45" t="s">
        <v>102</v>
      </c>
      <c r="BA45" t="s">
        <v>483</v>
      </c>
      <c r="BB45" t="s">
        <v>484</v>
      </c>
      <c r="BC45" t="s">
        <v>108</v>
      </c>
      <c r="BD45" t="s">
        <v>485</v>
      </c>
      <c r="BF45" t="s">
        <v>109</v>
      </c>
      <c r="BG45">
        <v>7018</v>
      </c>
      <c r="BH45" t="s">
        <v>486</v>
      </c>
      <c r="BO45">
        <v>3</v>
      </c>
      <c r="BR45" t="s">
        <v>102</v>
      </c>
      <c r="BS45" t="s">
        <v>220</v>
      </c>
      <c r="BT45" t="s">
        <v>220</v>
      </c>
      <c r="BU45" t="s">
        <v>108</v>
      </c>
      <c r="BV45" t="s">
        <v>487</v>
      </c>
      <c r="BW45" t="s">
        <v>114</v>
      </c>
    </row>
    <row r="46" spans="1:75" x14ac:dyDescent="0.35">
      <c r="A46" t="s">
        <v>561</v>
      </c>
      <c r="B46" s="1">
        <v>45989</v>
      </c>
      <c r="C46" s="2">
        <v>0.53081018518518519</v>
      </c>
      <c r="D46" t="s">
        <v>206</v>
      </c>
      <c r="E46" t="s">
        <v>207</v>
      </c>
      <c r="F46" t="s">
        <v>562</v>
      </c>
      <c r="G46">
        <f>COUNTIF($F$2:$F$104,F46)</f>
        <v>1</v>
      </c>
      <c r="H46" t="s">
        <v>563</v>
      </c>
      <c r="I46" t="s">
        <v>493</v>
      </c>
      <c r="J46" t="s">
        <v>83</v>
      </c>
      <c r="K46" t="s">
        <v>84</v>
      </c>
      <c r="M46" t="s">
        <v>85</v>
      </c>
      <c r="N46" t="s">
        <v>121</v>
      </c>
      <c r="O46" t="s">
        <v>87</v>
      </c>
      <c r="P46" t="s">
        <v>88</v>
      </c>
      <c r="Q46" t="s">
        <v>122</v>
      </c>
      <c r="R46" t="s">
        <v>123</v>
      </c>
      <c r="S46" t="s">
        <v>124</v>
      </c>
      <c r="T46" t="s">
        <v>125</v>
      </c>
      <c r="U46" t="s">
        <v>93</v>
      </c>
      <c r="V46" t="s">
        <v>22</v>
      </c>
      <c r="X46" t="s">
        <v>229</v>
      </c>
      <c r="Y46" t="s">
        <v>230</v>
      </c>
      <c r="Z46" t="s">
        <v>231</v>
      </c>
      <c r="AA46" t="b">
        <v>0</v>
      </c>
      <c r="AB46" t="b">
        <v>0</v>
      </c>
      <c r="AD46">
        <v>125</v>
      </c>
      <c r="AI46" t="s">
        <v>232</v>
      </c>
      <c r="AJ46" t="s">
        <v>88</v>
      </c>
      <c r="AK46" t="s">
        <v>564</v>
      </c>
      <c r="AL46" t="s">
        <v>88</v>
      </c>
      <c r="AM46" t="s">
        <v>88</v>
      </c>
      <c r="AN46" t="s">
        <v>100</v>
      </c>
      <c r="AO46">
        <v>1002</v>
      </c>
      <c r="AP46" t="s">
        <v>565</v>
      </c>
      <c r="AQ46" t="s">
        <v>102</v>
      </c>
      <c r="AR46" t="s">
        <v>427</v>
      </c>
      <c r="AS46" t="s">
        <v>566</v>
      </c>
      <c r="AT46" t="s">
        <v>502</v>
      </c>
      <c r="AU46" t="s">
        <v>502</v>
      </c>
      <c r="AX46" t="s">
        <v>503</v>
      </c>
      <c r="AY46" t="s">
        <v>567</v>
      </c>
      <c r="AZ46" t="s">
        <v>102</v>
      </c>
      <c r="BA46" t="s">
        <v>427</v>
      </c>
      <c r="BB46" t="s">
        <v>568</v>
      </c>
      <c r="BC46" t="s">
        <v>506</v>
      </c>
      <c r="BD46" t="s">
        <v>523</v>
      </c>
      <c r="BF46" t="s">
        <v>507</v>
      </c>
      <c r="BG46">
        <v>7922</v>
      </c>
      <c r="BH46" t="s">
        <v>524</v>
      </c>
      <c r="BO46">
        <v>16</v>
      </c>
      <c r="BR46" t="s">
        <v>102</v>
      </c>
      <c r="BS46" t="s">
        <v>569</v>
      </c>
      <c r="BT46" t="s">
        <v>570</v>
      </c>
      <c r="BU46" t="s">
        <v>526</v>
      </c>
      <c r="BV46" t="s">
        <v>523</v>
      </c>
      <c r="BW46" t="s">
        <v>411</v>
      </c>
    </row>
    <row r="47" spans="1:75" x14ac:dyDescent="0.35">
      <c r="A47" t="s">
        <v>571</v>
      </c>
      <c r="B47" s="1">
        <v>45989</v>
      </c>
      <c r="C47" s="2">
        <v>0.43201388888888892</v>
      </c>
      <c r="D47" t="s">
        <v>511</v>
      </c>
      <c r="E47" t="s">
        <v>512</v>
      </c>
      <c r="F47" t="s">
        <v>572</v>
      </c>
      <c r="G47">
        <f>COUNTIF($F$2:$F$104,F47)</f>
        <v>1</v>
      </c>
      <c r="H47" t="s">
        <v>573</v>
      </c>
      <c r="I47" t="s">
        <v>574</v>
      </c>
      <c r="J47" t="s">
        <v>575</v>
      </c>
      <c r="K47" t="s">
        <v>120</v>
      </c>
      <c r="L47">
        <v>50053</v>
      </c>
      <c r="M47" t="s">
        <v>85</v>
      </c>
      <c r="N47" t="s">
        <v>121</v>
      </c>
      <c r="O47" t="s">
        <v>87</v>
      </c>
      <c r="P47" t="s">
        <v>88</v>
      </c>
      <c r="Q47" t="s">
        <v>124</v>
      </c>
      <c r="R47" t="s">
        <v>125</v>
      </c>
      <c r="S47" t="s">
        <v>124</v>
      </c>
      <c r="T47" t="s">
        <v>125</v>
      </c>
      <c r="U47" t="s">
        <v>334</v>
      </c>
      <c r="V47" t="s">
        <v>474</v>
      </c>
      <c r="Z47" t="s">
        <v>475</v>
      </c>
      <c r="AA47" t="b">
        <v>0</v>
      </c>
      <c r="AB47" t="b">
        <v>0</v>
      </c>
      <c r="AD47">
        <v>95</v>
      </c>
      <c r="AH47" t="s">
        <v>512</v>
      </c>
      <c r="AJ47" t="s">
        <v>88</v>
      </c>
      <c r="AK47" t="s">
        <v>576</v>
      </c>
      <c r="AL47" t="s">
        <v>88</v>
      </c>
      <c r="AM47" t="s">
        <v>479</v>
      </c>
      <c r="AN47" t="s">
        <v>100</v>
      </c>
      <c r="AP47" t="s">
        <v>577</v>
      </c>
      <c r="AQ47" t="s">
        <v>578</v>
      </c>
      <c r="AR47" t="s">
        <v>579</v>
      </c>
      <c r="AS47" t="s">
        <v>579</v>
      </c>
      <c r="AT47" t="s">
        <v>580</v>
      </c>
      <c r="AU47" t="s">
        <v>580</v>
      </c>
      <c r="AX47" t="s">
        <v>581</v>
      </c>
      <c r="AY47" t="s">
        <v>582</v>
      </c>
      <c r="AZ47" t="s">
        <v>578</v>
      </c>
      <c r="BA47" t="s">
        <v>583</v>
      </c>
      <c r="BB47" t="s">
        <v>584</v>
      </c>
      <c r="BC47" t="s">
        <v>580</v>
      </c>
      <c r="BD47" t="s">
        <v>585</v>
      </c>
      <c r="BF47" t="s">
        <v>586</v>
      </c>
      <c r="BG47">
        <v>12353</v>
      </c>
      <c r="BH47" t="s">
        <v>587</v>
      </c>
      <c r="BO47">
        <v>1</v>
      </c>
      <c r="BR47" t="s">
        <v>578</v>
      </c>
      <c r="BS47" t="s">
        <v>588</v>
      </c>
      <c r="BT47" t="s">
        <v>589</v>
      </c>
      <c r="BU47" t="s">
        <v>580</v>
      </c>
      <c r="BV47" t="s">
        <v>590</v>
      </c>
      <c r="BW47" t="s">
        <v>411</v>
      </c>
    </row>
    <row r="48" spans="1:75" x14ac:dyDescent="0.35">
      <c r="A48" t="s">
        <v>591</v>
      </c>
      <c r="B48" s="1">
        <v>45989</v>
      </c>
      <c r="C48" s="2">
        <v>0.43199074074074079</v>
      </c>
      <c r="D48" t="s">
        <v>511</v>
      </c>
      <c r="E48" t="s">
        <v>512</v>
      </c>
      <c r="F48" t="s">
        <v>592</v>
      </c>
      <c r="G48">
        <f>COUNTIF($F$2:$F$104,F48)</f>
        <v>1</v>
      </c>
      <c r="H48" t="s">
        <v>593</v>
      </c>
      <c r="I48" t="s">
        <v>594</v>
      </c>
      <c r="J48" t="s">
        <v>531</v>
      </c>
      <c r="K48" t="s">
        <v>120</v>
      </c>
      <c r="L48">
        <v>50053</v>
      </c>
      <c r="M48" t="s">
        <v>85</v>
      </c>
      <c r="N48" t="s">
        <v>121</v>
      </c>
      <c r="O48" t="s">
        <v>87</v>
      </c>
      <c r="P48" t="s">
        <v>88</v>
      </c>
      <c r="Q48" t="s">
        <v>124</v>
      </c>
      <c r="R48" t="s">
        <v>125</v>
      </c>
      <c r="S48" t="s">
        <v>124</v>
      </c>
      <c r="T48" t="s">
        <v>125</v>
      </c>
      <c r="U48" t="s">
        <v>312</v>
      </c>
      <c r="V48" t="s">
        <v>474</v>
      </c>
      <c r="Z48" t="s">
        <v>475</v>
      </c>
      <c r="AA48" t="b">
        <v>0</v>
      </c>
      <c r="AB48" t="b">
        <v>0</v>
      </c>
      <c r="AD48">
        <v>55</v>
      </c>
      <c r="AE48" t="s">
        <v>313</v>
      </c>
      <c r="AH48" t="s">
        <v>512</v>
      </c>
      <c r="AJ48" t="s">
        <v>88</v>
      </c>
      <c r="AK48" t="s">
        <v>595</v>
      </c>
      <c r="AL48" t="s">
        <v>88</v>
      </c>
      <c r="AM48" t="s">
        <v>479</v>
      </c>
      <c r="AN48" t="s">
        <v>100</v>
      </c>
      <c r="AP48" t="s">
        <v>596</v>
      </c>
      <c r="AQ48" t="s">
        <v>534</v>
      </c>
      <c r="AR48" t="s">
        <v>597</v>
      </c>
      <c r="AS48" t="s">
        <v>598</v>
      </c>
      <c r="AT48" t="s">
        <v>599</v>
      </c>
      <c r="AU48" t="s">
        <v>599</v>
      </c>
      <c r="AX48" t="s">
        <v>600</v>
      </c>
      <c r="AY48" t="s">
        <v>601</v>
      </c>
      <c r="AZ48" t="s">
        <v>534</v>
      </c>
      <c r="BA48" t="s">
        <v>597</v>
      </c>
      <c r="BB48" t="s">
        <v>598</v>
      </c>
      <c r="BC48" t="s">
        <v>602</v>
      </c>
      <c r="BD48" t="s">
        <v>539</v>
      </c>
      <c r="BF48" t="s">
        <v>603</v>
      </c>
      <c r="BG48">
        <v>12389</v>
      </c>
      <c r="BH48" t="s">
        <v>604</v>
      </c>
      <c r="BO48">
        <v>0</v>
      </c>
      <c r="BR48" t="s">
        <v>534</v>
      </c>
      <c r="BS48" t="s">
        <v>605</v>
      </c>
      <c r="BT48" t="s">
        <v>598</v>
      </c>
      <c r="BU48" t="s">
        <v>606</v>
      </c>
      <c r="BV48" t="s">
        <v>607</v>
      </c>
      <c r="BW48" t="s">
        <v>411</v>
      </c>
    </row>
    <row r="49" spans="1:75" x14ac:dyDescent="0.35">
      <c r="A49" t="s">
        <v>608</v>
      </c>
      <c r="B49" s="1">
        <v>45989</v>
      </c>
      <c r="C49" s="2">
        <v>0.40445601851851848</v>
      </c>
      <c r="D49" t="s">
        <v>246</v>
      </c>
      <c r="E49" t="s">
        <v>247</v>
      </c>
      <c r="F49" t="s">
        <v>609</v>
      </c>
      <c r="G49">
        <f>COUNTIF($F$2:$F$104,F49)</f>
        <v>1</v>
      </c>
      <c r="H49" t="s">
        <v>610</v>
      </c>
      <c r="I49" t="s">
        <v>611</v>
      </c>
      <c r="J49" t="s">
        <v>612</v>
      </c>
      <c r="K49" t="s">
        <v>120</v>
      </c>
      <c r="L49">
        <v>50126</v>
      </c>
      <c r="M49" t="s">
        <v>85</v>
      </c>
      <c r="N49" t="s">
        <v>121</v>
      </c>
      <c r="O49" t="s">
        <v>87</v>
      </c>
      <c r="P49" t="s">
        <v>88</v>
      </c>
      <c r="Q49" t="s">
        <v>171</v>
      </c>
      <c r="R49" t="s">
        <v>172</v>
      </c>
      <c r="S49" t="s">
        <v>171</v>
      </c>
      <c r="T49" t="s">
        <v>172</v>
      </c>
      <c r="U49" t="s">
        <v>211</v>
      </c>
      <c r="V49" t="s">
        <v>22</v>
      </c>
      <c r="X49" t="s">
        <v>251</v>
      </c>
      <c r="Y49" t="s">
        <v>95</v>
      </c>
      <c r="Z49" t="s">
        <v>252</v>
      </c>
      <c r="AA49" t="b">
        <v>0</v>
      </c>
      <c r="AB49" t="b">
        <v>0</v>
      </c>
      <c r="AD49">
        <v>204</v>
      </c>
      <c r="AE49" t="s">
        <v>213</v>
      </c>
      <c r="AH49" t="s">
        <v>247</v>
      </c>
      <c r="AJ49" t="s">
        <v>88</v>
      </c>
      <c r="AK49" t="s">
        <v>613</v>
      </c>
      <c r="AL49" t="s">
        <v>88</v>
      </c>
      <c r="AM49" t="s">
        <v>88</v>
      </c>
      <c r="AN49" t="s">
        <v>100</v>
      </c>
      <c r="AP49" t="s">
        <v>614</v>
      </c>
      <c r="AQ49" t="s">
        <v>615</v>
      </c>
      <c r="AR49" t="s">
        <v>616</v>
      </c>
      <c r="AS49" t="s">
        <v>616</v>
      </c>
      <c r="AT49" t="s">
        <v>617</v>
      </c>
      <c r="AU49" t="s">
        <v>617</v>
      </c>
      <c r="AX49" t="s">
        <v>618</v>
      </c>
      <c r="AY49" t="s">
        <v>619</v>
      </c>
      <c r="AZ49" t="s">
        <v>615</v>
      </c>
      <c r="BA49" t="s">
        <v>616</v>
      </c>
      <c r="BB49" t="s">
        <v>616</v>
      </c>
      <c r="BC49" t="s">
        <v>617</v>
      </c>
      <c r="BD49" t="s">
        <v>620</v>
      </c>
      <c r="BF49" t="s">
        <v>621</v>
      </c>
      <c r="BG49">
        <v>24492</v>
      </c>
      <c r="BH49" t="s">
        <v>622</v>
      </c>
      <c r="BO49">
        <v>0</v>
      </c>
      <c r="BR49" t="s">
        <v>615</v>
      </c>
      <c r="BS49" t="s">
        <v>623</v>
      </c>
      <c r="BT49" t="s">
        <v>616</v>
      </c>
      <c r="BU49" t="s">
        <v>624</v>
      </c>
      <c r="BV49" t="s">
        <v>620</v>
      </c>
      <c r="BW49" t="s">
        <v>114</v>
      </c>
    </row>
    <row r="50" spans="1:75" x14ac:dyDescent="0.35">
      <c r="A50" t="s">
        <v>625</v>
      </c>
      <c r="B50" s="1">
        <v>45989</v>
      </c>
      <c r="C50" s="2">
        <v>0.2644097222222222</v>
      </c>
      <c r="D50" t="s">
        <v>511</v>
      </c>
      <c r="E50" t="s">
        <v>512</v>
      </c>
      <c r="F50" t="s">
        <v>626</v>
      </c>
      <c r="G50">
        <f>COUNTIF($F$2:$F$104,F50)</f>
        <v>1</v>
      </c>
      <c r="H50" t="s">
        <v>627</v>
      </c>
      <c r="I50" t="s">
        <v>628</v>
      </c>
      <c r="J50" t="s">
        <v>629</v>
      </c>
      <c r="K50" t="s">
        <v>120</v>
      </c>
      <c r="L50">
        <v>50053</v>
      </c>
      <c r="M50" t="s">
        <v>85</v>
      </c>
      <c r="N50" t="s">
        <v>121</v>
      </c>
      <c r="O50" t="s">
        <v>87</v>
      </c>
      <c r="P50" t="s">
        <v>88</v>
      </c>
      <c r="Q50" t="s">
        <v>124</v>
      </c>
      <c r="R50" t="s">
        <v>125</v>
      </c>
      <c r="S50" t="s">
        <v>124</v>
      </c>
      <c r="T50" t="s">
        <v>125</v>
      </c>
      <c r="U50" t="s">
        <v>312</v>
      </c>
      <c r="V50" t="s">
        <v>474</v>
      </c>
      <c r="Z50" t="s">
        <v>475</v>
      </c>
      <c r="AA50" t="b">
        <v>0</v>
      </c>
      <c r="AB50" t="b">
        <v>0</v>
      </c>
      <c r="AD50">
        <v>54</v>
      </c>
      <c r="AE50" t="s">
        <v>313</v>
      </c>
      <c r="AH50" t="s">
        <v>512</v>
      </c>
      <c r="AJ50" t="s">
        <v>88</v>
      </c>
      <c r="AK50" t="s">
        <v>630</v>
      </c>
      <c r="AL50" t="s">
        <v>88</v>
      </c>
      <c r="AM50" t="s">
        <v>479</v>
      </c>
      <c r="AN50" t="s">
        <v>100</v>
      </c>
      <c r="AP50" t="s">
        <v>631</v>
      </c>
      <c r="AQ50" t="s">
        <v>632</v>
      </c>
      <c r="AT50" t="s">
        <v>633</v>
      </c>
      <c r="AU50" t="s">
        <v>633</v>
      </c>
      <c r="AX50" t="s">
        <v>634</v>
      </c>
      <c r="AY50" t="s">
        <v>635</v>
      </c>
      <c r="AZ50" t="s">
        <v>632</v>
      </c>
      <c r="BA50" t="s">
        <v>636</v>
      </c>
      <c r="BB50" t="s">
        <v>637</v>
      </c>
      <c r="BC50" t="s">
        <v>638</v>
      </c>
      <c r="BD50" t="s">
        <v>639</v>
      </c>
      <c r="BF50" t="s">
        <v>640</v>
      </c>
      <c r="BG50">
        <v>4134</v>
      </c>
      <c r="BH50" t="s">
        <v>641</v>
      </c>
      <c r="BO50">
        <v>0</v>
      </c>
      <c r="BR50" t="s">
        <v>632</v>
      </c>
      <c r="BS50" t="s">
        <v>642</v>
      </c>
      <c r="BT50" t="s">
        <v>643</v>
      </c>
      <c r="BU50" t="s">
        <v>633</v>
      </c>
      <c r="BV50" t="s">
        <v>644</v>
      </c>
      <c r="BW50" t="s">
        <v>114</v>
      </c>
    </row>
    <row r="51" spans="1:75" x14ac:dyDescent="0.35">
      <c r="A51" t="s">
        <v>645</v>
      </c>
      <c r="B51" s="1">
        <v>45989</v>
      </c>
      <c r="C51" s="2">
        <v>0.26422453703703702</v>
      </c>
      <c r="D51" t="s">
        <v>511</v>
      </c>
      <c r="E51" t="s">
        <v>512</v>
      </c>
      <c r="F51" t="s">
        <v>646</v>
      </c>
      <c r="G51">
        <f>COUNTIF($F$2:$F$104,F51)</f>
        <v>1</v>
      </c>
      <c r="H51" t="s">
        <v>647</v>
      </c>
      <c r="I51" t="s">
        <v>648</v>
      </c>
      <c r="J51" t="s">
        <v>629</v>
      </c>
      <c r="K51" t="s">
        <v>120</v>
      </c>
      <c r="L51">
        <v>50053</v>
      </c>
      <c r="M51" t="s">
        <v>85</v>
      </c>
      <c r="N51" t="s">
        <v>121</v>
      </c>
      <c r="O51" t="s">
        <v>87</v>
      </c>
      <c r="P51" t="s">
        <v>88</v>
      </c>
      <c r="Q51" t="s">
        <v>124</v>
      </c>
      <c r="R51" t="s">
        <v>125</v>
      </c>
      <c r="S51" t="s">
        <v>124</v>
      </c>
      <c r="T51" t="s">
        <v>125</v>
      </c>
      <c r="U51" t="s">
        <v>312</v>
      </c>
      <c r="V51" t="s">
        <v>474</v>
      </c>
      <c r="Z51" t="s">
        <v>475</v>
      </c>
      <c r="AA51" t="b">
        <v>0</v>
      </c>
      <c r="AB51" t="b">
        <v>0</v>
      </c>
      <c r="AD51">
        <v>84</v>
      </c>
      <c r="AE51" t="s">
        <v>313</v>
      </c>
      <c r="AH51" t="s">
        <v>512</v>
      </c>
      <c r="AJ51" t="s">
        <v>88</v>
      </c>
      <c r="AK51" t="s">
        <v>649</v>
      </c>
      <c r="AL51" t="s">
        <v>88</v>
      </c>
      <c r="AM51" t="s">
        <v>479</v>
      </c>
      <c r="AN51" t="s">
        <v>100</v>
      </c>
      <c r="AP51" t="s">
        <v>650</v>
      </c>
      <c r="AQ51" t="s">
        <v>632</v>
      </c>
      <c r="AT51" t="s">
        <v>651</v>
      </c>
      <c r="AU51" t="s">
        <v>651</v>
      </c>
      <c r="AX51" t="s">
        <v>652</v>
      </c>
      <c r="AY51" t="s">
        <v>653</v>
      </c>
      <c r="AZ51" t="s">
        <v>632</v>
      </c>
      <c r="BA51" t="s">
        <v>654</v>
      </c>
      <c r="BB51" t="s">
        <v>655</v>
      </c>
      <c r="BC51" t="s">
        <v>651</v>
      </c>
      <c r="BD51" t="s">
        <v>656</v>
      </c>
      <c r="BF51" t="s">
        <v>640</v>
      </c>
      <c r="BG51">
        <v>4837</v>
      </c>
      <c r="BH51" t="s">
        <v>657</v>
      </c>
      <c r="BO51">
        <v>0</v>
      </c>
      <c r="BR51" t="s">
        <v>632</v>
      </c>
      <c r="BS51" t="s">
        <v>658</v>
      </c>
      <c r="BT51" t="s">
        <v>659</v>
      </c>
      <c r="BU51" t="s">
        <v>660</v>
      </c>
      <c r="BW51" t="s">
        <v>114</v>
      </c>
    </row>
    <row r="52" spans="1:75" x14ac:dyDescent="0.35">
      <c r="A52" t="s">
        <v>661</v>
      </c>
      <c r="B52" s="1">
        <v>45989</v>
      </c>
      <c r="C52" s="2">
        <v>0.26395833333333335</v>
      </c>
      <c r="D52" t="s">
        <v>511</v>
      </c>
      <c r="E52" t="s">
        <v>512</v>
      </c>
      <c r="F52" t="s">
        <v>662</v>
      </c>
      <c r="G52">
        <f>COUNTIF($F$2:$F$104,F52)</f>
        <v>1</v>
      </c>
      <c r="H52" t="s">
        <v>663</v>
      </c>
      <c r="I52" t="s">
        <v>664</v>
      </c>
      <c r="J52" t="s">
        <v>665</v>
      </c>
      <c r="K52" t="s">
        <v>120</v>
      </c>
      <c r="L52">
        <v>50126</v>
      </c>
      <c r="M52" t="s">
        <v>85</v>
      </c>
      <c r="N52" t="s">
        <v>121</v>
      </c>
      <c r="O52" t="s">
        <v>87</v>
      </c>
      <c r="P52" t="s">
        <v>88</v>
      </c>
      <c r="Q52" t="s">
        <v>124</v>
      </c>
      <c r="R52" t="s">
        <v>125</v>
      </c>
      <c r="S52" t="s">
        <v>124</v>
      </c>
      <c r="T52" t="s">
        <v>125</v>
      </c>
      <c r="U52" t="s">
        <v>211</v>
      </c>
      <c r="V52" t="s">
        <v>474</v>
      </c>
      <c r="Z52" t="s">
        <v>475</v>
      </c>
      <c r="AA52" t="b">
        <v>0</v>
      </c>
      <c r="AB52" t="b">
        <v>0</v>
      </c>
      <c r="AD52">
        <v>85</v>
      </c>
      <c r="AE52" t="s">
        <v>213</v>
      </c>
      <c r="AH52" t="s">
        <v>512</v>
      </c>
      <c r="AJ52" t="s">
        <v>88</v>
      </c>
      <c r="AK52" t="s">
        <v>666</v>
      </c>
      <c r="AL52" t="s">
        <v>88</v>
      </c>
      <c r="AM52" t="s">
        <v>479</v>
      </c>
      <c r="AN52" t="s">
        <v>100</v>
      </c>
      <c r="AP52" t="s">
        <v>667</v>
      </c>
      <c r="AQ52" t="s">
        <v>668</v>
      </c>
      <c r="AR52" t="s">
        <v>669</v>
      </c>
      <c r="AS52" t="s">
        <v>670</v>
      </c>
      <c r="AT52" t="s">
        <v>671</v>
      </c>
      <c r="AU52" t="s">
        <v>671</v>
      </c>
      <c r="AX52" t="s">
        <v>672</v>
      </c>
      <c r="AY52" t="s">
        <v>673</v>
      </c>
      <c r="AZ52" t="s">
        <v>668</v>
      </c>
      <c r="BA52" t="s">
        <v>669</v>
      </c>
      <c r="BB52" t="s">
        <v>674</v>
      </c>
      <c r="BC52" t="s">
        <v>671</v>
      </c>
      <c r="BD52" t="s">
        <v>671</v>
      </c>
      <c r="BF52" t="s">
        <v>675</v>
      </c>
      <c r="BG52">
        <v>10036</v>
      </c>
      <c r="BH52" t="s">
        <v>676</v>
      </c>
      <c r="BO52">
        <v>0</v>
      </c>
      <c r="BR52" t="s">
        <v>668</v>
      </c>
      <c r="BS52" t="s">
        <v>677</v>
      </c>
      <c r="BT52" t="s">
        <v>678</v>
      </c>
      <c r="BU52" t="s">
        <v>671</v>
      </c>
      <c r="BV52" t="s">
        <v>679</v>
      </c>
      <c r="BW52" t="s">
        <v>411</v>
      </c>
    </row>
    <row r="53" spans="1:75" x14ac:dyDescent="0.35">
      <c r="A53" t="s">
        <v>680</v>
      </c>
      <c r="B53" s="1">
        <v>45989</v>
      </c>
      <c r="C53" s="2">
        <v>0.26354166666666667</v>
      </c>
      <c r="D53" t="s">
        <v>511</v>
      </c>
      <c r="E53" t="s">
        <v>512</v>
      </c>
      <c r="F53" t="s">
        <v>681</v>
      </c>
      <c r="G53">
        <f>COUNTIF($F$2:$F$104,F53)</f>
        <v>1</v>
      </c>
      <c r="H53" t="s">
        <v>682</v>
      </c>
      <c r="I53" t="s">
        <v>473</v>
      </c>
      <c r="J53" t="s">
        <v>83</v>
      </c>
      <c r="K53" t="s">
        <v>120</v>
      </c>
      <c r="L53">
        <v>50126</v>
      </c>
      <c r="M53" t="s">
        <v>85</v>
      </c>
      <c r="N53" t="s">
        <v>121</v>
      </c>
      <c r="O53" t="s">
        <v>87</v>
      </c>
      <c r="P53" t="s">
        <v>88</v>
      </c>
      <c r="Q53" t="s">
        <v>124</v>
      </c>
      <c r="R53" t="s">
        <v>125</v>
      </c>
      <c r="S53" t="s">
        <v>124</v>
      </c>
      <c r="T53" t="s">
        <v>125</v>
      </c>
      <c r="U53" t="s">
        <v>211</v>
      </c>
      <c r="V53" t="s">
        <v>474</v>
      </c>
      <c r="Z53" t="s">
        <v>475</v>
      </c>
      <c r="AA53" t="b">
        <v>0</v>
      </c>
      <c r="AB53" t="b">
        <v>0</v>
      </c>
      <c r="AD53">
        <v>61</v>
      </c>
      <c r="AE53" t="s">
        <v>213</v>
      </c>
      <c r="AH53" t="s">
        <v>512</v>
      </c>
      <c r="AJ53" t="s">
        <v>88</v>
      </c>
      <c r="AK53" t="s">
        <v>683</v>
      </c>
      <c r="AL53" t="s">
        <v>88</v>
      </c>
      <c r="AM53" t="s">
        <v>479</v>
      </c>
      <c r="AN53" t="s">
        <v>100</v>
      </c>
      <c r="AP53" t="s">
        <v>684</v>
      </c>
      <c r="AQ53" t="s">
        <v>102</v>
      </c>
      <c r="AR53" t="s">
        <v>685</v>
      </c>
      <c r="AS53" t="s">
        <v>686</v>
      </c>
      <c r="AT53" t="s">
        <v>502</v>
      </c>
      <c r="AU53" t="s">
        <v>502</v>
      </c>
      <c r="AX53" t="s">
        <v>503</v>
      </c>
      <c r="AY53" t="s">
        <v>687</v>
      </c>
      <c r="AZ53" t="s">
        <v>102</v>
      </c>
      <c r="BA53" t="s">
        <v>685</v>
      </c>
      <c r="BB53" t="s">
        <v>688</v>
      </c>
      <c r="BC53" t="s">
        <v>506</v>
      </c>
      <c r="BD53" t="s">
        <v>506</v>
      </c>
      <c r="BF53" t="s">
        <v>507</v>
      </c>
      <c r="BG53">
        <v>7922</v>
      </c>
      <c r="BH53" t="s">
        <v>689</v>
      </c>
      <c r="BO53">
        <v>5</v>
      </c>
      <c r="BR53" t="s">
        <v>102</v>
      </c>
      <c r="BS53" t="s">
        <v>690</v>
      </c>
      <c r="BT53" t="s">
        <v>691</v>
      </c>
      <c r="BU53" t="s">
        <v>506</v>
      </c>
      <c r="BV53" t="s">
        <v>506</v>
      </c>
      <c r="BW53" t="s">
        <v>411</v>
      </c>
    </row>
    <row r="54" spans="1:75" x14ac:dyDescent="0.35">
      <c r="A54" t="s">
        <v>692</v>
      </c>
      <c r="B54" s="1">
        <v>45989</v>
      </c>
      <c r="C54" s="2">
        <v>0.26317129629629626</v>
      </c>
      <c r="D54" t="s">
        <v>511</v>
      </c>
      <c r="E54" t="s">
        <v>512</v>
      </c>
      <c r="F54" t="s">
        <v>693</v>
      </c>
      <c r="G54">
        <f>COUNTIF($F$2:$F$104,F54)</f>
        <v>1</v>
      </c>
      <c r="H54" t="s">
        <v>694</v>
      </c>
      <c r="I54" t="s">
        <v>695</v>
      </c>
      <c r="J54" t="s">
        <v>696</v>
      </c>
      <c r="K54" t="s">
        <v>120</v>
      </c>
      <c r="L54">
        <v>50053</v>
      </c>
      <c r="M54" t="s">
        <v>85</v>
      </c>
      <c r="N54" t="s">
        <v>121</v>
      </c>
      <c r="O54" t="s">
        <v>87</v>
      </c>
      <c r="P54" t="s">
        <v>88</v>
      </c>
      <c r="Q54" t="s">
        <v>124</v>
      </c>
      <c r="R54" t="s">
        <v>125</v>
      </c>
      <c r="S54" t="s">
        <v>124</v>
      </c>
      <c r="T54" t="s">
        <v>125</v>
      </c>
      <c r="U54" t="s">
        <v>312</v>
      </c>
      <c r="V54" t="s">
        <v>474</v>
      </c>
      <c r="Z54" t="s">
        <v>475</v>
      </c>
      <c r="AA54" t="b">
        <v>0</v>
      </c>
      <c r="AB54" t="b">
        <v>0</v>
      </c>
      <c r="AD54">
        <v>102</v>
      </c>
      <c r="AE54" t="s">
        <v>313</v>
      </c>
      <c r="AH54" t="s">
        <v>512</v>
      </c>
      <c r="AJ54" t="s">
        <v>88</v>
      </c>
      <c r="AK54" t="s">
        <v>697</v>
      </c>
      <c r="AL54" t="s">
        <v>88</v>
      </c>
      <c r="AM54" t="s">
        <v>479</v>
      </c>
      <c r="AN54" t="s">
        <v>100</v>
      </c>
      <c r="AP54" t="s">
        <v>698</v>
      </c>
      <c r="AQ54" t="s">
        <v>699</v>
      </c>
      <c r="AS54" t="s">
        <v>700</v>
      </c>
      <c r="AT54" t="s">
        <v>701</v>
      </c>
      <c r="AU54" t="s">
        <v>701</v>
      </c>
      <c r="AX54" t="s">
        <v>702</v>
      </c>
      <c r="AY54" t="s">
        <v>703</v>
      </c>
      <c r="AZ54" t="s">
        <v>699</v>
      </c>
      <c r="BA54" t="s">
        <v>704</v>
      </c>
      <c r="BB54" t="s">
        <v>705</v>
      </c>
      <c r="BC54" t="s">
        <v>706</v>
      </c>
      <c r="BD54" t="s">
        <v>707</v>
      </c>
      <c r="BF54" t="s">
        <v>708</v>
      </c>
      <c r="BG54">
        <v>4760</v>
      </c>
      <c r="BH54" t="s">
        <v>709</v>
      </c>
      <c r="BO54">
        <v>1</v>
      </c>
      <c r="BR54" t="s">
        <v>699</v>
      </c>
      <c r="BS54" t="s">
        <v>704</v>
      </c>
      <c r="BT54" t="s">
        <v>705</v>
      </c>
      <c r="BU54" t="s">
        <v>706</v>
      </c>
      <c r="BV54" t="s">
        <v>710</v>
      </c>
      <c r="BW54" t="s">
        <v>114</v>
      </c>
    </row>
    <row r="55" spans="1:75" x14ac:dyDescent="0.35">
      <c r="A55" t="s">
        <v>711</v>
      </c>
      <c r="B55" s="1">
        <v>45989</v>
      </c>
      <c r="C55" s="2">
        <v>0.25939814814814816</v>
      </c>
      <c r="D55" t="s">
        <v>712</v>
      </c>
      <c r="E55" t="s">
        <v>713</v>
      </c>
      <c r="F55" t="s">
        <v>714</v>
      </c>
      <c r="G55">
        <f>COUNTIF($F$2:$F$104,F55)</f>
        <v>1</v>
      </c>
      <c r="H55" t="s">
        <v>209</v>
      </c>
      <c r="I55" t="s">
        <v>210</v>
      </c>
      <c r="J55" t="s">
        <v>83</v>
      </c>
      <c r="K55" t="s">
        <v>120</v>
      </c>
      <c r="L55">
        <v>50126</v>
      </c>
      <c r="M55" t="s">
        <v>85</v>
      </c>
      <c r="N55" t="s">
        <v>121</v>
      </c>
      <c r="O55" t="s">
        <v>87</v>
      </c>
      <c r="P55" t="s">
        <v>88</v>
      </c>
      <c r="Q55" t="s">
        <v>122</v>
      </c>
      <c r="R55" t="s">
        <v>123</v>
      </c>
      <c r="S55" t="s">
        <v>124</v>
      </c>
      <c r="T55" t="s">
        <v>125</v>
      </c>
      <c r="U55" t="s">
        <v>211</v>
      </c>
      <c r="V55" t="s">
        <v>22</v>
      </c>
      <c r="Y55" t="s">
        <v>95</v>
      </c>
      <c r="Z55" t="s">
        <v>212</v>
      </c>
      <c r="AA55" t="b">
        <v>0</v>
      </c>
      <c r="AB55" t="b">
        <v>0</v>
      </c>
      <c r="AD55">
        <v>171</v>
      </c>
      <c r="AE55" t="s">
        <v>213</v>
      </c>
      <c r="AH55" t="s">
        <v>713</v>
      </c>
      <c r="AJ55" t="s">
        <v>88</v>
      </c>
      <c r="AK55" t="s">
        <v>715</v>
      </c>
      <c r="AL55" t="s">
        <v>88</v>
      </c>
      <c r="AM55" t="s">
        <v>88</v>
      </c>
      <c r="AN55" t="s">
        <v>100</v>
      </c>
      <c r="AP55" t="s">
        <v>716</v>
      </c>
      <c r="AQ55" t="s">
        <v>216</v>
      </c>
      <c r="AT55" t="s">
        <v>217</v>
      </c>
      <c r="AU55" t="s">
        <v>217</v>
      </c>
      <c r="AX55" t="s">
        <v>218</v>
      </c>
      <c r="AY55" t="s">
        <v>219</v>
      </c>
      <c r="AZ55" t="s">
        <v>102</v>
      </c>
      <c r="BA55" t="s">
        <v>717</v>
      </c>
      <c r="BB55" t="s">
        <v>718</v>
      </c>
      <c r="BC55" t="s">
        <v>217</v>
      </c>
      <c r="BD55" t="s">
        <v>719</v>
      </c>
      <c r="BE55" t="s">
        <v>141</v>
      </c>
      <c r="BF55" t="s">
        <v>223</v>
      </c>
      <c r="BG55">
        <v>200927</v>
      </c>
      <c r="BH55" t="s">
        <v>224</v>
      </c>
      <c r="BO55">
        <v>0</v>
      </c>
      <c r="BR55" t="s">
        <v>102</v>
      </c>
      <c r="BS55" t="s">
        <v>720</v>
      </c>
      <c r="BT55" t="s">
        <v>718</v>
      </c>
      <c r="BU55" t="s">
        <v>217</v>
      </c>
      <c r="BW55" t="s">
        <v>146</v>
      </c>
    </row>
    <row r="56" spans="1:75" x14ac:dyDescent="0.35">
      <c r="A56" t="s">
        <v>721</v>
      </c>
      <c r="B56" s="1">
        <v>45989</v>
      </c>
      <c r="C56" s="2">
        <v>8.4340277777777764E-2</v>
      </c>
      <c r="D56" t="s">
        <v>306</v>
      </c>
      <c r="E56" t="s">
        <v>307</v>
      </c>
      <c r="F56" t="s">
        <v>722</v>
      </c>
      <c r="G56">
        <f>COUNTIF($F$2:$F$104,F56)</f>
        <v>1</v>
      </c>
      <c r="H56" t="s">
        <v>723</v>
      </c>
      <c r="I56" t="s">
        <v>724</v>
      </c>
      <c r="J56" t="s">
        <v>725</v>
      </c>
      <c r="K56" t="s">
        <v>120</v>
      </c>
      <c r="L56">
        <v>50053</v>
      </c>
      <c r="M56" t="s">
        <v>85</v>
      </c>
      <c r="N56" t="s">
        <v>121</v>
      </c>
      <c r="O56" t="s">
        <v>87</v>
      </c>
      <c r="P56" t="s">
        <v>88</v>
      </c>
      <c r="Q56" t="s">
        <v>171</v>
      </c>
      <c r="R56" t="s">
        <v>172</v>
      </c>
      <c r="S56" t="s">
        <v>171</v>
      </c>
      <c r="T56" t="s">
        <v>172</v>
      </c>
      <c r="U56" t="s">
        <v>312</v>
      </c>
      <c r="V56" t="s">
        <v>22</v>
      </c>
      <c r="X56" t="s">
        <v>251</v>
      </c>
      <c r="Y56" t="s">
        <v>95</v>
      </c>
      <c r="Z56" t="s">
        <v>252</v>
      </c>
      <c r="AA56" t="b">
        <v>0</v>
      </c>
      <c r="AB56" t="b">
        <v>0</v>
      </c>
      <c r="AD56">
        <v>315</v>
      </c>
      <c r="AE56" t="s">
        <v>313</v>
      </c>
      <c r="AH56" t="s">
        <v>307</v>
      </c>
      <c r="AJ56" t="s">
        <v>88</v>
      </c>
      <c r="AK56" t="s">
        <v>726</v>
      </c>
      <c r="AL56" t="s">
        <v>88</v>
      </c>
      <c r="AM56" t="s">
        <v>88</v>
      </c>
      <c r="AN56" t="s">
        <v>100</v>
      </c>
      <c r="AP56" t="s">
        <v>727</v>
      </c>
      <c r="AQ56" t="s">
        <v>728</v>
      </c>
      <c r="AR56" t="s">
        <v>729</v>
      </c>
      <c r="AS56" t="s">
        <v>730</v>
      </c>
      <c r="AT56" t="s">
        <v>731</v>
      </c>
      <c r="AU56" t="s">
        <v>731</v>
      </c>
      <c r="AX56" t="s">
        <v>732</v>
      </c>
      <c r="AY56" t="s">
        <v>733</v>
      </c>
      <c r="AZ56" t="s">
        <v>728</v>
      </c>
      <c r="BA56" t="s">
        <v>729</v>
      </c>
      <c r="BB56" t="s">
        <v>730</v>
      </c>
      <c r="BC56" t="s">
        <v>731</v>
      </c>
      <c r="BD56" t="s">
        <v>731</v>
      </c>
      <c r="BE56" t="s">
        <v>141</v>
      </c>
      <c r="BF56" t="s">
        <v>734</v>
      </c>
      <c r="BG56">
        <v>24940</v>
      </c>
      <c r="BH56" t="s">
        <v>735</v>
      </c>
      <c r="BO56">
        <v>6</v>
      </c>
      <c r="BR56" t="s">
        <v>728</v>
      </c>
      <c r="BS56" t="s">
        <v>736</v>
      </c>
      <c r="BT56" t="s">
        <v>730</v>
      </c>
      <c r="BU56" t="s">
        <v>731</v>
      </c>
      <c r="BV56" t="s">
        <v>737</v>
      </c>
      <c r="BW56" t="s">
        <v>146</v>
      </c>
    </row>
    <row r="57" spans="1:75" x14ac:dyDescent="0.35">
      <c r="A57" t="s">
        <v>738</v>
      </c>
      <c r="B57" s="1">
        <v>45989</v>
      </c>
      <c r="C57" s="2">
        <v>8.1828703703703709E-2</v>
      </c>
      <c r="D57" t="s">
        <v>246</v>
      </c>
      <c r="E57" t="s">
        <v>247</v>
      </c>
      <c r="F57" t="s">
        <v>739</v>
      </c>
      <c r="G57">
        <f>COUNTIF($F$2:$F$104,F57)</f>
        <v>1</v>
      </c>
      <c r="H57" t="s">
        <v>740</v>
      </c>
      <c r="I57" t="s">
        <v>741</v>
      </c>
      <c r="J57" t="s">
        <v>742</v>
      </c>
      <c r="K57" t="s">
        <v>120</v>
      </c>
      <c r="L57">
        <v>50126</v>
      </c>
      <c r="M57" t="s">
        <v>85</v>
      </c>
      <c r="N57" t="s">
        <v>121</v>
      </c>
      <c r="O57" t="s">
        <v>87</v>
      </c>
      <c r="P57" t="s">
        <v>88</v>
      </c>
      <c r="Q57" t="s">
        <v>171</v>
      </c>
      <c r="R57" t="s">
        <v>172</v>
      </c>
      <c r="S57" t="s">
        <v>171</v>
      </c>
      <c r="T57" t="s">
        <v>172</v>
      </c>
      <c r="U57" t="s">
        <v>211</v>
      </c>
      <c r="V57" t="s">
        <v>22</v>
      </c>
      <c r="X57" t="s">
        <v>251</v>
      </c>
      <c r="Y57" t="s">
        <v>95</v>
      </c>
      <c r="Z57" t="s">
        <v>252</v>
      </c>
      <c r="AA57" t="b">
        <v>0</v>
      </c>
      <c r="AB57" t="b">
        <v>0</v>
      </c>
      <c r="AD57">
        <v>161</v>
      </c>
      <c r="AE57" t="s">
        <v>213</v>
      </c>
      <c r="AH57" t="s">
        <v>247</v>
      </c>
      <c r="AJ57" t="s">
        <v>88</v>
      </c>
      <c r="AK57" t="s">
        <v>743</v>
      </c>
      <c r="AL57" t="s">
        <v>88</v>
      </c>
      <c r="AM57" t="s">
        <v>88</v>
      </c>
      <c r="AN57" t="s">
        <v>100</v>
      </c>
      <c r="AP57" t="s">
        <v>744</v>
      </c>
      <c r="AQ57" t="s">
        <v>745</v>
      </c>
      <c r="AR57" t="s">
        <v>746</v>
      </c>
      <c r="AS57" t="s">
        <v>747</v>
      </c>
      <c r="AT57" t="s">
        <v>748</v>
      </c>
      <c r="AU57" t="s">
        <v>748</v>
      </c>
      <c r="AX57" t="s">
        <v>749</v>
      </c>
      <c r="AY57" t="s">
        <v>750</v>
      </c>
      <c r="AZ57" t="s">
        <v>745</v>
      </c>
      <c r="BA57" t="s">
        <v>746</v>
      </c>
      <c r="BB57" t="s">
        <v>751</v>
      </c>
      <c r="BC57" t="s">
        <v>748</v>
      </c>
      <c r="BD57" t="s">
        <v>752</v>
      </c>
      <c r="BE57" t="s">
        <v>407</v>
      </c>
      <c r="BF57" t="s">
        <v>753</v>
      </c>
      <c r="BG57">
        <v>135182</v>
      </c>
      <c r="BH57" t="s">
        <v>754</v>
      </c>
      <c r="BO57">
        <v>0</v>
      </c>
      <c r="BR57" t="s">
        <v>745</v>
      </c>
      <c r="BS57" t="s">
        <v>755</v>
      </c>
      <c r="BT57" t="s">
        <v>751</v>
      </c>
      <c r="BU57" t="s">
        <v>756</v>
      </c>
      <c r="BV57" t="s">
        <v>752</v>
      </c>
      <c r="BW57" t="s">
        <v>114</v>
      </c>
    </row>
    <row r="58" spans="1:75" x14ac:dyDescent="0.35">
      <c r="A58" t="s">
        <v>757</v>
      </c>
      <c r="B58" s="1">
        <v>45989</v>
      </c>
      <c r="C58" s="2">
        <v>8.1261574074074069E-2</v>
      </c>
      <c r="D58" t="s">
        <v>246</v>
      </c>
      <c r="E58" t="s">
        <v>247</v>
      </c>
      <c r="F58" t="s">
        <v>758</v>
      </c>
      <c r="G58">
        <f>COUNTIF($F$2:$F$104,F58)</f>
        <v>1</v>
      </c>
      <c r="H58" t="s">
        <v>759</v>
      </c>
      <c r="I58" t="s">
        <v>760</v>
      </c>
      <c r="J58" t="s">
        <v>311</v>
      </c>
      <c r="K58" t="s">
        <v>120</v>
      </c>
      <c r="L58">
        <v>50126</v>
      </c>
      <c r="M58" t="s">
        <v>85</v>
      </c>
      <c r="N58" t="s">
        <v>121</v>
      </c>
      <c r="O58" t="s">
        <v>87</v>
      </c>
      <c r="P58" t="s">
        <v>88</v>
      </c>
      <c r="Q58" t="s">
        <v>171</v>
      </c>
      <c r="R58" t="s">
        <v>172</v>
      </c>
      <c r="S58" t="s">
        <v>171</v>
      </c>
      <c r="T58" t="s">
        <v>172</v>
      </c>
      <c r="U58" t="s">
        <v>211</v>
      </c>
      <c r="V58" t="s">
        <v>22</v>
      </c>
      <c r="X58" t="s">
        <v>251</v>
      </c>
      <c r="Y58" t="s">
        <v>95</v>
      </c>
      <c r="Z58" t="s">
        <v>252</v>
      </c>
      <c r="AA58" t="b">
        <v>0</v>
      </c>
      <c r="AB58" t="b">
        <v>0</v>
      </c>
      <c r="AD58">
        <v>293</v>
      </c>
      <c r="AE58" t="s">
        <v>213</v>
      </c>
      <c r="AH58" t="s">
        <v>247</v>
      </c>
      <c r="AJ58" t="s">
        <v>88</v>
      </c>
      <c r="AK58" t="s">
        <v>761</v>
      </c>
      <c r="AL58" t="s">
        <v>88</v>
      </c>
      <c r="AM58" t="s">
        <v>88</v>
      </c>
      <c r="AN58" t="s">
        <v>100</v>
      </c>
      <c r="AP58" t="s">
        <v>762</v>
      </c>
      <c r="AQ58" t="s">
        <v>316</v>
      </c>
      <c r="AR58" t="s">
        <v>763</v>
      </c>
      <c r="AS58" t="s">
        <v>764</v>
      </c>
      <c r="AT58" t="s">
        <v>765</v>
      </c>
      <c r="AU58" t="s">
        <v>765</v>
      </c>
      <c r="AX58" t="s">
        <v>766</v>
      </c>
      <c r="AY58" t="s">
        <v>767</v>
      </c>
      <c r="AZ58" t="s">
        <v>316</v>
      </c>
      <c r="BA58" t="s">
        <v>763</v>
      </c>
      <c r="BB58" t="s">
        <v>768</v>
      </c>
      <c r="BC58" t="s">
        <v>769</v>
      </c>
      <c r="BD58" t="s">
        <v>769</v>
      </c>
      <c r="BF58" t="s">
        <v>324</v>
      </c>
      <c r="BG58">
        <v>263047</v>
      </c>
      <c r="BH58" t="s">
        <v>770</v>
      </c>
      <c r="BO58">
        <v>4</v>
      </c>
      <c r="BR58" t="s">
        <v>316</v>
      </c>
      <c r="BS58" t="s">
        <v>771</v>
      </c>
      <c r="BT58" t="s">
        <v>772</v>
      </c>
      <c r="BU58" t="s">
        <v>773</v>
      </c>
      <c r="BV58" t="s">
        <v>773</v>
      </c>
      <c r="BW58" t="s">
        <v>114</v>
      </c>
    </row>
    <row r="59" spans="1:75" x14ac:dyDescent="0.35">
      <c r="A59" t="s">
        <v>774</v>
      </c>
      <c r="B59" s="1">
        <v>45989</v>
      </c>
      <c r="C59" s="2">
        <v>3.7824074074074072E-2</v>
      </c>
      <c r="D59" t="s">
        <v>352</v>
      </c>
      <c r="E59" t="s">
        <v>353</v>
      </c>
      <c r="F59" t="s">
        <v>775</v>
      </c>
      <c r="G59">
        <f>COUNTIF($F$2:$F$104,F59)</f>
        <v>1</v>
      </c>
      <c r="H59" t="s">
        <v>776</v>
      </c>
      <c r="I59" t="s">
        <v>777</v>
      </c>
      <c r="J59" t="s">
        <v>778</v>
      </c>
      <c r="K59" t="s">
        <v>120</v>
      </c>
      <c r="L59">
        <v>50053</v>
      </c>
      <c r="M59" t="s">
        <v>85</v>
      </c>
      <c r="N59" t="s">
        <v>121</v>
      </c>
      <c r="O59" t="s">
        <v>87</v>
      </c>
      <c r="P59" t="s">
        <v>88</v>
      </c>
      <c r="Q59" t="s">
        <v>171</v>
      </c>
      <c r="R59" t="s">
        <v>172</v>
      </c>
      <c r="S59" t="s">
        <v>171</v>
      </c>
      <c r="T59" t="s">
        <v>172</v>
      </c>
      <c r="U59" t="s">
        <v>312</v>
      </c>
      <c r="V59" t="s">
        <v>22</v>
      </c>
      <c r="X59" t="s">
        <v>251</v>
      </c>
      <c r="Y59" t="s">
        <v>95</v>
      </c>
      <c r="Z59" t="s">
        <v>252</v>
      </c>
      <c r="AA59" t="b">
        <v>0</v>
      </c>
      <c r="AB59" t="b">
        <v>0</v>
      </c>
      <c r="AD59">
        <v>172</v>
      </c>
      <c r="AE59" t="s">
        <v>313</v>
      </c>
      <c r="AH59" t="s">
        <v>353</v>
      </c>
      <c r="AJ59" t="s">
        <v>88</v>
      </c>
      <c r="AK59" t="s">
        <v>779</v>
      </c>
      <c r="AL59" t="s">
        <v>88</v>
      </c>
      <c r="AM59" t="s">
        <v>88</v>
      </c>
      <c r="AN59" t="s">
        <v>100</v>
      </c>
      <c r="AP59" t="s">
        <v>780</v>
      </c>
      <c r="AQ59" t="s">
        <v>781</v>
      </c>
      <c r="AT59" t="s">
        <v>782</v>
      </c>
      <c r="AU59" t="s">
        <v>782</v>
      </c>
      <c r="AX59" t="s">
        <v>783</v>
      </c>
      <c r="AY59" t="s">
        <v>784</v>
      </c>
      <c r="AZ59" t="s">
        <v>781</v>
      </c>
      <c r="BA59" t="s">
        <v>785</v>
      </c>
      <c r="BB59" t="s">
        <v>786</v>
      </c>
      <c r="BC59" t="s">
        <v>782</v>
      </c>
      <c r="BD59" t="s">
        <v>782</v>
      </c>
      <c r="BE59" t="s">
        <v>141</v>
      </c>
      <c r="BF59" t="s">
        <v>787</v>
      </c>
      <c r="BG59">
        <v>216067</v>
      </c>
      <c r="BH59" t="s">
        <v>788</v>
      </c>
      <c r="BO59">
        <v>0</v>
      </c>
      <c r="BR59" t="s">
        <v>781</v>
      </c>
      <c r="BS59" t="s">
        <v>789</v>
      </c>
      <c r="BT59" t="s">
        <v>790</v>
      </c>
      <c r="BU59" t="s">
        <v>782</v>
      </c>
      <c r="BV59" t="s">
        <v>782</v>
      </c>
      <c r="BW59" t="s">
        <v>114</v>
      </c>
    </row>
    <row r="60" spans="1:75" x14ac:dyDescent="0.35">
      <c r="A60" t="s">
        <v>791</v>
      </c>
      <c r="B60" s="1">
        <v>45988</v>
      </c>
      <c r="C60" s="2">
        <v>0.9264930555555555</v>
      </c>
      <c r="D60" t="s">
        <v>712</v>
      </c>
      <c r="E60" t="s">
        <v>713</v>
      </c>
      <c r="F60" t="s">
        <v>792</v>
      </c>
      <c r="G60">
        <f>COUNTIF($F$2:$F$104,F60)</f>
        <v>1</v>
      </c>
      <c r="H60" t="s">
        <v>209</v>
      </c>
      <c r="I60" t="s">
        <v>210</v>
      </c>
      <c r="J60" t="s">
        <v>83</v>
      </c>
      <c r="K60" t="s">
        <v>120</v>
      </c>
      <c r="L60">
        <v>50126</v>
      </c>
      <c r="M60" t="s">
        <v>85</v>
      </c>
      <c r="N60" t="s">
        <v>121</v>
      </c>
      <c r="O60" t="s">
        <v>87</v>
      </c>
      <c r="P60" t="s">
        <v>88</v>
      </c>
      <c r="Q60" t="s">
        <v>122</v>
      </c>
      <c r="R60" t="s">
        <v>123</v>
      </c>
      <c r="S60" t="s">
        <v>124</v>
      </c>
      <c r="T60" t="s">
        <v>125</v>
      </c>
      <c r="U60" t="s">
        <v>211</v>
      </c>
      <c r="V60" t="s">
        <v>22</v>
      </c>
      <c r="Y60" t="s">
        <v>95</v>
      </c>
      <c r="Z60" t="s">
        <v>212</v>
      </c>
      <c r="AA60" t="b">
        <v>0</v>
      </c>
      <c r="AB60" t="b">
        <v>0</v>
      </c>
      <c r="AD60">
        <v>196</v>
      </c>
      <c r="AE60" t="s">
        <v>213</v>
      </c>
      <c r="AH60" t="s">
        <v>713</v>
      </c>
      <c r="AJ60" t="s">
        <v>88</v>
      </c>
      <c r="AK60" t="s">
        <v>793</v>
      </c>
      <c r="AL60" t="s">
        <v>88</v>
      </c>
      <c r="AM60" t="s">
        <v>88</v>
      </c>
      <c r="AN60" t="s">
        <v>100</v>
      </c>
      <c r="AP60" t="s">
        <v>794</v>
      </c>
      <c r="AQ60" t="s">
        <v>216</v>
      </c>
      <c r="AT60" t="s">
        <v>217</v>
      </c>
      <c r="AU60" t="s">
        <v>217</v>
      </c>
      <c r="AX60" t="s">
        <v>218</v>
      </c>
      <c r="AY60" t="s">
        <v>219</v>
      </c>
      <c r="AZ60" t="s">
        <v>102</v>
      </c>
      <c r="BA60" t="s">
        <v>138</v>
      </c>
      <c r="BB60" t="s">
        <v>795</v>
      </c>
      <c r="BC60" t="s">
        <v>217</v>
      </c>
      <c r="BD60" t="s">
        <v>796</v>
      </c>
      <c r="BE60" t="s">
        <v>141</v>
      </c>
      <c r="BF60" t="s">
        <v>223</v>
      </c>
      <c r="BG60">
        <v>200927</v>
      </c>
      <c r="BH60" t="s">
        <v>224</v>
      </c>
      <c r="BO60">
        <v>0</v>
      </c>
      <c r="BR60" t="s">
        <v>102</v>
      </c>
      <c r="BS60" t="s">
        <v>797</v>
      </c>
      <c r="BT60" t="s">
        <v>795</v>
      </c>
      <c r="BU60" t="s">
        <v>217</v>
      </c>
      <c r="BW60" t="s">
        <v>146</v>
      </c>
    </row>
    <row r="61" spans="1:75" x14ac:dyDescent="0.35">
      <c r="A61" t="s">
        <v>798</v>
      </c>
      <c r="B61" s="1">
        <v>45988</v>
      </c>
      <c r="C61" s="2">
        <v>0.85927083333333332</v>
      </c>
      <c r="D61" t="s">
        <v>712</v>
      </c>
      <c r="E61" t="s">
        <v>713</v>
      </c>
      <c r="F61" t="s">
        <v>799</v>
      </c>
      <c r="G61">
        <f>COUNTIF($F$2:$F$104,F61)</f>
        <v>1</v>
      </c>
      <c r="H61" t="s">
        <v>209</v>
      </c>
      <c r="I61" t="s">
        <v>210</v>
      </c>
      <c r="J61" t="s">
        <v>83</v>
      </c>
      <c r="K61" t="s">
        <v>120</v>
      </c>
      <c r="L61">
        <v>50126</v>
      </c>
      <c r="M61" t="s">
        <v>85</v>
      </c>
      <c r="N61" t="s">
        <v>121</v>
      </c>
      <c r="O61" t="s">
        <v>87</v>
      </c>
      <c r="P61" t="s">
        <v>88</v>
      </c>
      <c r="Q61" t="s">
        <v>122</v>
      </c>
      <c r="R61" t="s">
        <v>123</v>
      </c>
      <c r="S61" t="s">
        <v>124</v>
      </c>
      <c r="T61" t="s">
        <v>125</v>
      </c>
      <c r="U61" t="s">
        <v>211</v>
      </c>
      <c r="V61" t="s">
        <v>22</v>
      </c>
      <c r="Y61" t="s">
        <v>95</v>
      </c>
      <c r="Z61" t="s">
        <v>212</v>
      </c>
      <c r="AA61" t="b">
        <v>0</v>
      </c>
      <c r="AB61" t="b">
        <v>0</v>
      </c>
      <c r="AD61">
        <v>279</v>
      </c>
      <c r="AE61" t="s">
        <v>213</v>
      </c>
      <c r="AH61" t="s">
        <v>713</v>
      </c>
      <c r="AJ61" t="s">
        <v>88</v>
      </c>
      <c r="AK61" t="s">
        <v>800</v>
      </c>
      <c r="AL61" t="s">
        <v>88</v>
      </c>
      <c r="AM61" t="s">
        <v>88</v>
      </c>
      <c r="AN61" t="s">
        <v>100</v>
      </c>
      <c r="AP61" t="s">
        <v>801</v>
      </c>
      <c r="AQ61" t="s">
        <v>216</v>
      </c>
      <c r="AT61" t="s">
        <v>217</v>
      </c>
      <c r="AU61" t="s">
        <v>217</v>
      </c>
      <c r="AX61" t="s">
        <v>218</v>
      </c>
      <c r="AY61" t="s">
        <v>219</v>
      </c>
      <c r="AZ61" t="s">
        <v>102</v>
      </c>
      <c r="BA61" t="s">
        <v>438</v>
      </c>
      <c r="BB61" t="s">
        <v>439</v>
      </c>
      <c r="BC61" t="s">
        <v>217</v>
      </c>
      <c r="BD61" t="s">
        <v>802</v>
      </c>
      <c r="BE61" t="s">
        <v>141</v>
      </c>
      <c r="BF61" t="s">
        <v>223</v>
      </c>
      <c r="BG61">
        <v>200927</v>
      </c>
      <c r="BH61" t="s">
        <v>224</v>
      </c>
      <c r="BO61">
        <v>0</v>
      </c>
      <c r="BR61" t="s">
        <v>102</v>
      </c>
      <c r="BS61" t="s">
        <v>446</v>
      </c>
      <c r="BT61" t="s">
        <v>439</v>
      </c>
      <c r="BU61" t="s">
        <v>217</v>
      </c>
      <c r="BW61" t="s">
        <v>146</v>
      </c>
    </row>
    <row r="62" spans="1:75" x14ac:dyDescent="0.35">
      <c r="A62" t="s">
        <v>803</v>
      </c>
      <c r="B62" s="1">
        <v>45988</v>
      </c>
      <c r="C62" s="2">
        <v>0.85811342592592599</v>
      </c>
      <c r="D62" t="s">
        <v>712</v>
      </c>
      <c r="E62" t="s">
        <v>713</v>
      </c>
      <c r="F62" t="s">
        <v>804</v>
      </c>
      <c r="G62">
        <f>COUNTIF($F$2:$F$104,F62)</f>
        <v>1</v>
      </c>
      <c r="H62" t="s">
        <v>209</v>
      </c>
      <c r="I62" t="s">
        <v>210</v>
      </c>
      <c r="J62" t="s">
        <v>83</v>
      </c>
      <c r="K62" t="s">
        <v>120</v>
      </c>
      <c r="L62">
        <v>50126</v>
      </c>
      <c r="M62" t="s">
        <v>85</v>
      </c>
      <c r="N62" t="s">
        <v>121</v>
      </c>
      <c r="O62" t="s">
        <v>87</v>
      </c>
      <c r="P62" t="s">
        <v>88</v>
      </c>
      <c r="Q62" t="s">
        <v>122</v>
      </c>
      <c r="R62" t="s">
        <v>123</v>
      </c>
      <c r="S62" t="s">
        <v>124</v>
      </c>
      <c r="T62" t="s">
        <v>125</v>
      </c>
      <c r="U62" t="s">
        <v>211</v>
      </c>
      <c r="V62" t="s">
        <v>22</v>
      </c>
      <c r="Y62" t="s">
        <v>95</v>
      </c>
      <c r="Z62" t="s">
        <v>212</v>
      </c>
      <c r="AA62" t="b">
        <v>0</v>
      </c>
      <c r="AB62" t="b">
        <v>0</v>
      </c>
      <c r="AD62">
        <v>282</v>
      </c>
      <c r="AE62" t="s">
        <v>213</v>
      </c>
      <c r="AH62" t="s">
        <v>713</v>
      </c>
      <c r="AJ62" t="s">
        <v>88</v>
      </c>
      <c r="AK62" t="s">
        <v>805</v>
      </c>
      <c r="AL62" t="s">
        <v>88</v>
      </c>
      <c r="AM62" t="s">
        <v>88</v>
      </c>
      <c r="AN62" t="s">
        <v>100</v>
      </c>
      <c r="AP62" t="s">
        <v>806</v>
      </c>
      <c r="AQ62" t="s">
        <v>216</v>
      </c>
      <c r="AT62" t="s">
        <v>217</v>
      </c>
      <c r="AU62" t="s">
        <v>217</v>
      </c>
      <c r="AX62" t="s">
        <v>218</v>
      </c>
      <c r="AY62" t="s">
        <v>219</v>
      </c>
      <c r="AZ62" t="s">
        <v>102</v>
      </c>
      <c r="BA62" t="s">
        <v>807</v>
      </c>
      <c r="BB62" t="s">
        <v>808</v>
      </c>
      <c r="BC62" t="s">
        <v>217</v>
      </c>
      <c r="BD62" t="s">
        <v>809</v>
      </c>
      <c r="BE62" t="s">
        <v>141</v>
      </c>
      <c r="BF62" t="s">
        <v>223</v>
      </c>
      <c r="BG62">
        <v>200927</v>
      </c>
      <c r="BH62" t="s">
        <v>224</v>
      </c>
      <c r="BO62">
        <v>0</v>
      </c>
      <c r="BR62" t="s">
        <v>102</v>
      </c>
      <c r="BS62" t="s">
        <v>810</v>
      </c>
      <c r="BT62" t="s">
        <v>808</v>
      </c>
      <c r="BU62" t="s">
        <v>217</v>
      </c>
      <c r="BW62" t="s">
        <v>146</v>
      </c>
    </row>
    <row r="63" spans="1:75" x14ac:dyDescent="0.35">
      <c r="A63" t="s">
        <v>811</v>
      </c>
      <c r="B63" s="1">
        <v>45988</v>
      </c>
      <c r="C63" s="2">
        <v>0.84193287037037035</v>
      </c>
      <c r="D63" t="s">
        <v>712</v>
      </c>
      <c r="E63" t="s">
        <v>713</v>
      </c>
      <c r="F63" t="s">
        <v>812</v>
      </c>
      <c r="G63">
        <f>COUNTIF($F$2:$F$104,F63)</f>
        <v>1</v>
      </c>
      <c r="H63" t="s">
        <v>209</v>
      </c>
      <c r="I63" t="s">
        <v>210</v>
      </c>
      <c r="J63" t="s">
        <v>83</v>
      </c>
      <c r="K63" t="s">
        <v>120</v>
      </c>
      <c r="L63">
        <v>50126</v>
      </c>
      <c r="M63" t="s">
        <v>85</v>
      </c>
      <c r="N63" t="s">
        <v>121</v>
      </c>
      <c r="O63" t="s">
        <v>87</v>
      </c>
      <c r="P63" t="s">
        <v>88</v>
      </c>
      <c r="Q63" t="s">
        <v>122</v>
      </c>
      <c r="R63" t="s">
        <v>123</v>
      </c>
      <c r="S63" t="s">
        <v>124</v>
      </c>
      <c r="T63" t="s">
        <v>125</v>
      </c>
      <c r="U63" t="s">
        <v>211</v>
      </c>
      <c r="V63" t="s">
        <v>22</v>
      </c>
      <c r="Y63" t="s">
        <v>95</v>
      </c>
      <c r="Z63" t="s">
        <v>212</v>
      </c>
      <c r="AA63" t="b">
        <v>0</v>
      </c>
      <c r="AB63" t="b">
        <v>0</v>
      </c>
      <c r="AD63">
        <v>240</v>
      </c>
      <c r="AE63" t="s">
        <v>213</v>
      </c>
      <c r="AH63" t="s">
        <v>713</v>
      </c>
      <c r="AJ63" t="s">
        <v>88</v>
      </c>
      <c r="AK63" t="s">
        <v>813</v>
      </c>
      <c r="AL63" t="s">
        <v>88</v>
      </c>
      <c r="AM63" t="s">
        <v>88</v>
      </c>
      <c r="AN63" t="s">
        <v>100</v>
      </c>
      <c r="AP63" t="s">
        <v>814</v>
      </c>
      <c r="AQ63" t="s">
        <v>216</v>
      </c>
      <c r="AT63" t="s">
        <v>217</v>
      </c>
      <c r="AU63" t="s">
        <v>217</v>
      </c>
      <c r="AX63" t="s">
        <v>218</v>
      </c>
      <c r="AY63" t="s">
        <v>219</v>
      </c>
      <c r="AZ63" t="s">
        <v>102</v>
      </c>
      <c r="BA63" t="s">
        <v>438</v>
      </c>
      <c r="BB63" t="s">
        <v>815</v>
      </c>
      <c r="BC63" t="s">
        <v>217</v>
      </c>
      <c r="BD63" t="s">
        <v>802</v>
      </c>
      <c r="BE63" t="s">
        <v>141</v>
      </c>
      <c r="BF63" t="s">
        <v>223</v>
      </c>
      <c r="BG63">
        <v>200927</v>
      </c>
      <c r="BH63" t="s">
        <v>224</v>
      </c>
      <c r="BO63">
        <v>0</v>
      </c>
      <c r="BR63" t="s">
        <v>102</v>
      </c>
      <c r="BS63" t="s">
        <v>816</v>
      </c>
      <c r="BT63" t="s">
        <v>815</v>
      </c>
      <c r="BU63" t="s">
        <v>217</v>
      </c>
      <c r="BW63" t="s">
        <v>146</v>
      </c>
    </row>
    <row r="64" spans="1:75" x14ac:dyDescent="0.35">
      <c r="A64" t="s">
        <v>817</v>
      </c>
      <c r="B64" s="1">
        <v>45988</v>
      </c>
      <c r="C64" s="2">
        <v>0.83015046296296291</v>
      </c>
      <c r="D64" t="s">
        <v>712</v>
      </c>
      <c r="E64" t="s">
        <v>713</v>
      </c>
      <c r="F64" t="s">
        <v>818</v>
      </c>
      <c r="G64">
        <f>COUNTIF($F$2:$F$104,F64)</f>
        <v>1</v>
      </c>
      <c r="H64" t="s">
        <v>209</v>
      </c>
      <c r="I64" t="s">
        <v>210</v>
      </c>
      <c r="J64" t="s">
        <v>83</v>
      </c>
      <c r="K64" t="s">
        <v>120</v>
      </c>
      <c r="L64">
        <v>50126</v>
      </c>
      <c r="M64" t="s">
        <v>85</v>
      </c>
      <c r="N64" t="s">
        <v>121</v>
      </c>
      <c r="O64" t="s">
        <v>87</v>
      </c>
      <c r="P64" t="s">
        <v>88</v>
      </c>
      <c r="Q64" t="s">
        <v>122</v>
      </c>
      <c r="R64" t="s">
        <v>123</v>
      </c>
      <c r="S64" t="s">
        <v>124</v>
      </c>
      <c r="T64" t="s">
        <v>125</v>
      </c>
      <c r="U64" t="s">
        <v>211</v>
      </c>
      <c r="V64" t="s">
        <v>22</v>
      </c>
      <c r="Y64" t="s">
        <v>95</v>
      </c>
      <c r="Z64" t="s">
        <v>212</v>
      </c>
      <c r="AA64" t="b">
        <v>0</v>
      </c>
      <c r="AB64" t="b">
        <v>0</v>
      </c>
      <c r="AD64">
        <v>540</v>
      </c>
      <c r="AE64" t="s">
        <v>213</v>
      </c>
      <c r="AH64" t="s">
        <v>713</v>
      </c>
      <c r="AJ64" t="s">
        <v>88</v>
      </c>
      <c r="AK64" t="s">
        <v>819</v>
      </c>
      <c r="AL64" t="s">
        <v>88</v>
      </c>
      <c r="AM64" t="s">
        <v>88</v>
      </c>
      <c r="AN64" t="s">
        <v>100</v>
      </c>
      <c r="AP64" t="s">
        <v>820</v>
      </c>
      <c r="AQ64" t="s">
        <v>216</v>
      </c>
      <c r="AT64" t="s">
        <v>217</v>
      </c>
      <c r="AU64" t="s">
        <v>217</v>
      </c>
      <c r="AX64" t="s">
        <v>218</v>
      </c>
      <c r="AY64" t="s">
        <v>219</v>
      </c>
      <c r="AZ64" t="s">
        <v>102</v>
      </c>
      <c r="BA64" t="s">
        <v>821</v>
      </c>
      <c r="BB64" t="s">
        <v>331</v>
      </c>
      <c r="BC64" t="s">
        <v>217</v>
      </c>
      <c r="BD64" t="s">
        <v>822</v>
      </c>
      <c r="BE64" t="s">
        <v>141</v>
      </c>
      <c r="BF64" t="s">
        <v>223</v>
      </c>
      <c r="BG64">
        <v>200927</v>
      </c>
      <c r="BH64" t="s">
        <v>224</v>
      </c>
      <c r="BO64">
        <v>0</v>
      </c>
      <c r="BR64" t="s">
        <v>102</v>
      </c>
      <c r="BS64" t="s">
        <v>823</v>
      </c>
      <c r="BT64" t="s">
        <v>331</v>
      </c>
      <c r="BU64" t="s">
        <v>217</v>
      </c>
      <c r="BW64" t="s">
        <v>146</v>
      </c>
    </row>
    <row r="65" spans="1:75" s="3" customFormat="1" x14ac:dyDescent="0.35">
      <c r="A65" s="3" t="s">
        <v>824</v>
      </c>
      <c r="B65" s="4">
        <v>45988</v>
      </c>
      <c r="C65" s="5">
        <v>0.78019675925925924</v>
      </c>
      <c r="D65" s="3" t="s">
        <v>116</v>
      </c>
      <c r="E65" s="3" t="s">
        <v>117</v>
      </c>
      <c r="F65" s="3" t="s">
        <v>825</v>
      </c>
      <c r="G65" s="3">
        <f>COUNTIF($F$2:$F$104,F65)</f>
        <v>5</v>
      </c>
      <c r="H65" s="3" t="s">
        <v>472</v>
      </c>
      <c r="I65" s="3" t="s">
        <v>473</v>
      </c>
      <c r="J65" s="3" t="s">
        <v>83</v>
      </c>
      <c r="K65" s="3" t="s">
        <v>84</v>
      </c>
      <c r="M65" s="3" t="s">
        <v>85</v>
      </c>
      <c r="N65" s="3" t="s">
        <v>121</v>
      </c>
      <c r="O65" s="3" t="s">
        <v>87</v>
      </c>
      <c r="P65" s="3" t="s">
        <v>88</v>
      </c>
      <c r="Q65" s="3" t="s">
        <v>826</v>
      </c>
      <c r="R65" s="3" t="s">
        <v>827</v>
      </c>
      <c r="S65" s="3" t="s">
        <v>91</v>
      </c>
      <c r="T65" s="3" t="s">
        <v>92</v>
      </c>
      <c r="U65" s="3" t="s">
        <v>93</v>
      </c>
      <c r="V65" s="3" t="s">
        <v>22</v>
      </c>
      <c r="X65" s="3" t="s">
        <v>94</v>
      </c>
      <c r="Y65" s="3" t="s">
        <v>95</v>
      </c>
      <c r="Z65" s="3" t="s">
        <v>96</v>
      </c>
      <c r="AA65" s="3" t="b">
        <v>0</v>
      </c>
      <c r="AB65" s="3" t="b">
        <v>0</v>
      </c>
      <c r="AD65" s="3">
        <v>52</v>
      </c>
      <c r="AI65" s="3" t="s">
        <v>828</v>
      </c>
      <c r="AJ65" s="3" t="s">
        <v>88</v>
      </c>
      <c r="AK65" s="3" t="s">
        <v>829</v>
      </c>
      <c r="AL65" s="3" t="s">
        <v>88</v>
      </c>
      <c r="AM65" s="3" t="s">
        <v>88</v>
      </c>
      <c r="AN65" s="3" t="s">
        <v>100</v>
      </c>
      <c r="AO65" s="3">
        <v>1002</v>
      </c>
      <c r="AP65" s="3" t="s">
        <v>830</v>
      </c>
      <c r="AQ65" s="3" t="s">
        <v>102</v>
      </c>
      <c r="AR65" s="3" t="s">
        <v>831</v>
      </c>
      <c r="AS65" s="3" t="s">
        <v>832</v>
      </c>
      <c r="AT65" s="3" t="s">
        <v>833</v>
      </c>
      <c r="AU65" s="3" t="s">
        <v>833</v>
      </c>
      <c r="AX65" s="3" t="s">
        <v>834</v>
      </c>
      <c r="AY65" s="3" t="s">
        <v>835</v>
      </c>
      <c r="AZ65" s="3" t="s">
        <v>102</v>
      </c>
      <c r="BA65" s="3" t="s">
        <v>831</v>
      </c>
      <c r="BB65" s="3" t="s">
        <v>832</v>
      </c>
      <c r="BC65" s="3" t="s">
        <v>833</v>
      </c>
      <c r="BD65" s="3" t="s">
        <v>836</v>
      </c>
      <c r="BE65" s="3" t="s">
        <v>837</v>
      </c>
      <c r="BF65" s="3" t="s">
        <v>640</v>
      </c>
      <c r="BG65" s="3">
        <v>6461</v>
      </c>
      <c r="BH65" s="3" t="s">
        <v>838</v>
      </c>
      <c r="BO65" s="3">
        <v>85</v>
      </c>
      <c r="BR65" s="3" t="s">
        <v>102</v>
      </c>
      <c r="BS65" s="3" t="s">
        <v>839</v>
      </c>
      <c r="BT65" s="3" t="s">
        <v>832</v>
      </c>
      <c r="BU65" s="6" t="s">
        <v>833</v>
      </c>
      <c r="BV65" s="3" t="s">
        <v>836</v>
      </c>
      <c r="BW65" s="3" t="s">
        <v>244</v>
      </c>
    </row>
    <row r="66" spans="1:75" s="3" customFormat="1" x14ac:dyDescent="0.35">
      <c r="A66" s="3" t="s">
        <v>840</v>
      </c>
      <c r="B66" s="4">
        <v>45988</v>
      </c>
      <c r="C66" s="5">
        <v>0.78013888888888883</v>
      </c>
      <c r="D66" s="3" t="s">
        <v>116</v>
      </c>
      <c r="E66" s="3" t="s">
        <v>117</v>
      </c>
      <c r="F66" s="3" t="s">
        <v>825</v>
      </c>
      <c r="G66" s="3">
        <f>COUNTIF($F$2:$F$104,F66)</f>
        <v>5</v>
      </c>
      <c r="H66" s="3" t="s">
        <v>472</v>
      </c>
      <c r="I66" s="3" t="s">
        <v>473</v>
      </c>
      <c r="J66" s="3" t="s">
        <v>83</v>
      </c>
      <c r="K66" s="3" t="s">
        <v>84</v>
      </c>
      <c r="M66" s="3" t="s">
        <v>85</v>
      </c>
      <c r="N66" s="3" t="s">
        <v>121</v>
      </c>
      <c r="O66" s="3" t="s">
        <v>87</v>
      </c>
      <c r="P66" s="3" t="s">
        <v>88</v>
      </c>
      <c r="Q66" s="3" t="s">
        <v>826</v>
      </c>
      <c r="R66" s="3" t="s">
        <v>827</v>
      </c>
      <c r="S66" s="3" t="s">
        <v>91</v>
      </c>
      <c r="T66" s="3" t="s">
        <v>92</v>
      </c>
      <c r="U66" s="3" t="s">
        <v>93</v>
      </c>
      <c r="V66" s="3" t="s">
        <v>22</v>
      </c>
      <c r="X66" s="3" t="s">
        <v>94</v>
      </c>
      <c r="Y66" s="3" t="s">
        <v>95</v>
      </c>
      <c r="Z66" s="3" t="s">
        <v>96</v>
      </c>
      <c r="AA66" s="3" t="b">
        <v>0</v>
      </c>
      <c r="AB66" s="3" t="b">
        <v>0</v>
      </c>
      <c r="AD66" s="3">
        <v>89</v>
      </c>
      <c r="AI66" s="3" t="s">
        <v>828</v>
      </c>
      <c r="AJ66" s="3" t="s">
        <v>88</v>
      </c>
      <c r="AK66" s="3" t="s">
        <v>841</v>
      </c>
      <c r="AL66" s="3" t="s">
        <v>88</v>
      </c>
      <c r="AM66" s="3" t="s">
        <v>88</v>
      </c>
      <c r="AN66" s="3" t="s">
        <v>100</v>
      </c>
      <c r="AO66" s="3">
        <v>1002</v>
      </c>
      <c r="AP66" s="3" t="s">
        <v>842</v>
      </c>
      <c r="AQ66" s="3" t="s">
        <v>102</v>
      </c>
      <c r="AR66" s="3" t="s">
        <v>831</v>
      </c>
      <c r="AS66" s="3" t="s">
        <v>832</v>
      </c>
      <c r="AT66" s="3" t="s">
        <v>833</v>
      </c>
      <c r="AU66" s="3" t="s">
        <v>833</v>
      </c>
      <c r="AX66" s="3" t="s">
        <v>834</v>
      </c>
      <c r="AY66" s="3" t="s">
        <v>835</v>
      </c>
      <c r="AZ66" s="3" t="s">
        <v>102</v>
      </c>
      <c r="BA66" s="3" t="s">
        <v>831</v>
      </c>
      <c r="BB66" s="3" t="s">
        <v>832</v>
      </c>
      <c r="BC66" s="3" t="s">
        <v>833</v>
      </c>
      <c r="BD66" s="3" t="s">
        <v>836</v>
      </c>
      <c r="BE66" s="3" t="s">
        <v>837</v>
      </c>
      <c r="BF66" s="3" t="s">
        <v>640</v>
      </c>
      <c r="BG66" s="3">
        <v>6461</v>
      </c>
      <c r="BH66" s="3" t="s">
        <v>838</v>
      </c>
      <c r="BO66" s="3">
        <v>85</v>
      </c>
      <c r="BR66" s="3" t="s">
        <v>102</v>
      </c>
      <c r="BS66" s="3" t="s">
        <v>839</v>
      </c>
      <c r="BT66" s="3" t="s">
        <v>832</v>
      </c>
      <c r="BU66" s="6" t="s">
        <v>833</v>
      </c>
      <c r="BV66" s="3" t="s">
        <v>836</v>
      </c>
      <c r="BW66" s="3" t="s">
        <v>244</v>
      </c>
    </row>
    <row r="67" spans="1:75" s="3" customFormat="1" x14ac:dyDescent="0.35">
      <c r="A67" s="3" t="s">
        <v>843</v>
      </c>
      <c r="B67" s="4">
        <v>45988</v>
      </c>
      <c r="C67" s="5">
        <v>0.77732638888888894</v>
      </c>
      <c r="D67" s="3" t="s">
        <v>116</v>
      </c>
      <c r="E67" s="3" t="s">
        <v>117</v>
      </c>
      <c r="F67" s="3" t="s">
        <v>825</v>
      </c>
      <c r="G67" s="3">
        <f>COUNTIF($F$2:$F$104,F67)</f>
        <v>5</v>
      </c>
      <c r="H67" s="3" t="s">
        <v>472</v>
      </c>
      <c r="I67" s="3" t="s">
        <v>473</v>
      </c>
      <c r="J67" s="3" t="s">
        <v>83</v>
      </c>
      <c r="K67" s="3" t="s">
        <v>84</v>
      </c>
      <c r="M67" s="3" t="s">
        <v>85</v>
      </c>
      <c r="N67" s="3" t="s">
        <v>121</v>
      </c>
      <c r="O67" s="3" t="s">
        <v>87</v>
      </c>
      <c r="P67" s="3" t="s">
        <v>88</v>
      </c>
      <c r="Q67" s="3" t="s">
        <v>826</v>
      </c>
      <c r="R67" s="3" t="s">
        <v>827</v>
      </c>
      <c r="S67" s="3" t="s">
        <v>91</v>
      </c>
      <c r="T67" s="3" t="s">
        <v>92</v>
      </c>
      <c r="U67" s="3" t="s">
        <v>93</v>
      </c>
      <c r="V67" s="3" t="s">
        <v>22</v>
      </c>
      <c r="X67" s="3" t="s">
        <v>94</v>
      </c>
      <c r="Y67" s="3" t="s">
        <v>95</v>
      </c>
      <c r="Z67" s="3" t="s">
        <v>96</v>
      </c>
      <c r="AA67" s="3" t="b">
        <v>0</v>
      </c>
      <c r="AB67" s="3" t="b">
        <v>0</v>
      </c>
      <c r="AD67" s="3">
        <v>108</v>
      </c>
      <c r="AI67" s="3" t="s">
        <v>828</v>
      </c>
      <c r="AJ67" s="3" t="s">
        <v>88</v>
      </c>
      <c r="AK67" s="3" t="s">
        <v>844</v>
      </c>
      <c r="AL67" s="3" t="s">
        <v>88</v>
      </c>
      <c r="AM67" s="3" t="s">
        <v>88</v>
      </c>
      <c r="AN67" s="3" t="s">
        <v>100</v>
      </c>
      <c r="AO67" s="3">
        <v>1002</v>
      </c>
      <c r="AP67" s="3" t="s">
        <v>845</v>
      </c>
      <c r="AQ67" s="3" t="s">
        <v>102</v>
      </c>
      <c r="AR67" s="3" t="s">
        <v>831</v>
      </c>
      <c r="AS67" s="3" t="s">
        <v>832</v>
      </c>
      <c r="AT67" s="3" t="s">
        <v>833</v>
      </c>
      <c r="AU67" s="3" t="s">
        <v>833</v>
      </c>
      <c r="AX67" s="3" t="s">
        <v>834</v>
      </c>
      <c r="AY67" s="3" t="s">
        <v>835</v>
      </c>
      <c r="AZ67" s="3" t="s">
        <v>102</v>
      </c>
      <c r="BA67" s="3" t="s">
        <v>831</v>
      </c>
      <c r="BB67" s="3" t="s">
        <v>832</v>
      </c>
      <c r="BC67" s="3" t="s">
        <v>833</v>
      </c>
      <c r="BD67" s="3" t="s">
        <v>836</v>
      </c>
      <c r="BE67" s="3" t="s">
        <v>837</v>
      </c>
      <c r="BF67" s="3" t="s">
        <v>640</v>
      </c>
      <c r="BG67" s="3">
        <v>6461</v>
      </c>
      <c r="BH67" s="3" t="s">
        <v>838</v>
      </c>
      <c r="BO67" s="3">
        <v>85</v>
      </c>
      <c r="BR67" s="3" t="s">
        <v>102</v>
      </c>
      <c r="BS67" s="3" t="s">
        <v>839</v>
      </c>
      <c r="BT67" s="3" t="s">
        <v>832</v>
      </c>
      <c r="BU67" s="6" t="s">
        <v>833</v>
      </c>
      <c r="BV67" s="3" t="s">
        <v>836</v>
      </c>
      <c r="BW67" s="3" t="s">
        <v>244</v>
      </c>
    </row>
    <row r="68" spans="1:75" s="3" customFormat="1" x14ac:dyDescent="0.35">
      <c r="A68" s="3" t="s">
        <v>846</v>
      </c>
      <c r="B68" s="4">
        <v>45988</v>
      </c>
      <c r="C68" s="5">
        <v>0.77731481481481479</v>
      </c>
      <c r="D68" s="3" t="s">
        <v>116</v>
      </c>
      <c r="E68" s="3" t="s">
        <v>117</v>
      </c>
      <c r="F68" s="3" t="s">
        <v>825</v>
      </c>
      <c r="G68" s="3">
        <f>COUNTIF($F$2:$F$104,F68)</f>
        <v>5</v>
      </c>
      <c r="H68" s="3" t="s">
        <v>472</v>
      </c>
      <c r="I68" s="3" t="s">
        <v>473</v>
      </c>
      <c r="J68" s="3" t="s">
        <v>83</v>
      </c>
      <c r="K68" s="3" t="s">
        <v>84</v>
      </c>
      <c r="M68" s="3" t="s">
        <v>85</v>
      </c>
      <c r="N68" s="3" t="s">
        <v>121</v>
      </c>
      <c r="O68" s="3" t="s">
        <v>87</v>
      </c>
      <c r="P68" s="3" t="s">
        <v>88</v>
      </c>
      <c r="Q68" s="3" t="s">
        <v>826</v>
      </c>
      <c r="R68" s="3" t="s">
        <v>827</v>
      </c>
      <c r="S68" s="3" t="s">
        <v>91</v>
      </c>
      <c r="T68" s="3" t="s">
        <v>92</v>
      </c>
      <c r="U68" s="3" t="s">
        <v>93</v>
      </c>
      <c r="V68" s="3" t="s">
        <v>22</v>
      </c>
      <c r="X68" s="3" t="s">
        <v>94</v>
      </c>
      <c r="Y68" s="3" t="s">
        <v>95</v>
      </c>
      <c r="Z68" s="3" t="s">
        <v>96</v>
      </c>
      <c r="AA68" s="3" t="b">
        <v>0</v>
      </c>
      <c r="AB68" s="3" t="b">
        <v>0</v>
      </c>
      <c r="AD68" s="3">
        <v>101</v>
      </c>
      <c r="AI68" s="3" t="s">
        <v>828</v>
      </c>
      <c r="AJ68" s="3" t="s">
        <v>88</v>
      </c>
      <c r="AK68" s="3" t="s">
        <v>847</v>
      </c>
      <c r="AL68" s="3" t="s">
        <v>88</v>
      </c>
      <c r="AM68" s="3" t="s">
        <v>88</v>
      </c>
      <c r="AN68" s="3" t="s">
        <v>100</v>
      </c>
      <c r="AO68" s="3">
        <v>1002</v>
      </c>
      <c r="AP68" s="3" t="s">
        <v>848</v>
      </c>
      <c r="AQ68" s="3" t="s">
        <v>102</v>
      </c>
      <c r="AR68" s="3" t="s">
        <v>831</v>
      </c>
      <c r="AS68" s="3" t="s">
        <v>832</v>
      </c>
      <c r="AT68" s="3" t="s">
        <v>833</v>
      </c>
      <c r="AU68" s="3" t="s">
        <v>833</v>
      </c>
      <c r="AX68" s="3" t="s">
        <v>834</v>
      </c>
      <c r="AY68" s="3" t="s">
        <v>835</v>
      </c>
      <c r="AZ68" s="3" t="s">
        <v>102</v>
      </c>
      <c r="BA68" s="3" t="s">
        <v>831</v>
      </c>
      <c r="BB68" s="3" t="s">
        <v>832</v>
      </c>
      <c r="BC68" s="3" t="s">
        <v>833</v>
      </c>
      <c r="BD68" s="3" t="s">
        <v>836</v>
      </c>
      <c r="BE68" s="3" t="s">
        <v>837</v>
      </c>
      <c r="BF68" s="3" t="s">
        <v>640</v>
      </c>
      <c r="BG68" s="3">
        <v>6461</v>
      </c>
      <c r="BH68" s="3" t="s">
        <v>838</v>
      </c>
      <c r="BO68" s="3">
        <v>85</v>
      </c>
      <c r="BR68" s="3" t="s">
        <v>102</v>
      </c>
      <c r="BS68" s="3" t="s">
        <v>839</v>
      </c>
      <c r="BT68" s="3" t="s">
        <v>832</v>
      </c>
      <c r="BU68" s="6" t="s">
        <v>833</v>
      </c>
      <c r="BV68" s="3" t="s">
        <v>836</v>
      </c>
      <c r="BW68" s="3" t="s">
        <v>244</v>
      </c>
    </row>
    <row r="69" spans="1:75" s="3" customFormat="1" x14ac:dyDescent="0.35">
      <c r="A69" s="3" t="s">
        <v>849</v>
      </c>
      <c r="B69" s="4">
        <v>45988</v>
      </c>
      <c r="C69" s="5">
        <v>0.77717592592592588</v>
      </c>
      <c r="D69" s="3" t="s">
        <v>116</v>
      </c>
      <c r="E69" s="3" t="s">
        <v>117</v>
      </c>
      <c r="F69" s="3" t="s">
        <v>825</v>
      </c>
      <c r="G69" s="3">
        <f>COUNTIF($F$2:$F$104,F69)</f>
        <v>5</v>
      </c>
      <c r="H69" s="3" t="s">
        <v>472</v>
      </c>
      <c r="I69" s="3" t="s">
        <v>473</v>
      </c>
      <c r="J69" s="3" t="s">
        <v>83</v>
      </c>
      <c r="K69" s="3" t="s">
        <v>84</v>
      </c>
      <c r="M69" s="3" t="s">
        <v>85</v>
      </c>
      <c r="N69" s="3" t="s">
        <v>121</v>
      </c>
      <c r="O69" s="3" t="s">
        <v>87</v>
      </c>
      <c r="P69" s="3" t="s">
        <v>88</v>
      </c>
      <c r="Q69" s="3" t="s">
        <v>283</v>
      </c>
      <c r="R69" s="3" t="s">
        <v>284</v>
      </c>
      <c r="S69" s="3" t="s">
        <v>91</v>
      </c>
      <c r="T69" s="3" t="s">
        <v>92</v>
      </c>
      <c r="U69" s="3" t="s">
        <v>93</v>
      </c>
      <c r="V69" s="3" t="s">
        <v>22</v>
      </c>
      <c r="X69" s="3" t="s">
        <v>94</v>
      </c>
      <c r="Y69" s="3" t="s">
        <v>95</v>
      </c>
      <c r="Z69" s="3" t="s">
        <v>96</v>
      </c>
      <c r="AA69" s="3" t="b">
        <v>0</v>
      </c>
      <c r="AB69" s="3" t="b">
        <v>0</v>
      </c>
      <c r="AD69" s="3">
        <v>118</v>
      </c>
      <c r="AI69" s="3" t="s">
        <v>828</v>
      </c>
      <c r="AJ69" s="3" t="s">
        <v>88</v>
      </c>
      <c r="AK69" s="3" t="s">
        <v>850</v>
      </c>
      <c r="AL69" s="3" t="s">
        <v>88</v>
      </c>
      <c r="AM69" s="3" t="s">
        <v>88</v>
      </c>
      <c r="AN69" s="3" t="s">
        <v>100</v>
      </c>
      <c r="AO69" s="3">
        <v>1002</v>
      </c>
      <c r="AP69" s="3" t="s">
        <v>851</v>
      </c>
      <c r="AQ69" s="3" t="s">
        <v>102</v>
      </c>
      <c r="AR69" s="3" t="s">
        <v>831</v>
      </c>
      <c r="AS69" s="3" t="s">
        <v>832</v>
      </c>
      <c r="AT69" s="3" t="s">
        <v>833</v>
      </c>
      <c r="AU69" s="3" t="s">
        <v>833</v>
      </c>
      <c r="AX69" s="3" t="s">
        <v>834</v>
      </c>
      <c r="AY69" s="3" t="s">
        <v>835</v>
      </c>
      <c r="AZ69" s="3" t="s">
        <v>102</v>
      </c>
      <c r="BA69" s="3" t="s">
        <v>831</v>
      </c>
      <c r="BB69" s="3" t="s">
        <v>832</v>
      </c>
      <c r="BC69" s="3" t="s">
        <v>833</v>
      </c>
      <c r="BD69" s="3" t="s">
        <v>836</v>
      </c>
      <c r="BE69" s="3" t="s">
        <v>837</v>
      </c>
      <c r="BF69" s="3" t="s">
        <v>640</v>
      </c>
      <c r="BG69" s="3">
        <v>6461</v>
      </c>
      <c r="BH69" s="3" t="s">
        <v>838</v>
      </c>
      <c r="BO69" s="3">
        <v>85</v>
      </c>
      <c r="BR69" s="3" t="s">
        <v>102</v>
      </c>
      <c r="BS69" s="3" t="s">
        <v>839</v>
      </c>
      <c r="BT69" s="3" t="s">
        <v>832</v>
      </c>
      <c r="BU69" s="6" t="s">
        <v>833</v>
      </c>
      <c r="BV69" s="3" t="s">
        <v>836</v>
      </c>
      <c r="BW69" s="3" t="s">
        <v>244</v>
      </c>
    </row>
    <row r="70" spans="1:75" s="3" customFormat="1" x14ac:dyDescent="0.35">
      <c r="A70" s="3" t="s">
        <v>852</v>
      </c>
      <c r="B70" s="4">
        <v>45988</v>
      </c>
      <c r="C70" s="5">
        <v>0.77620370370370362</v>
      </c>
      <c r="D70" s="3" t="s">
        <v>116</v>
      </c>
      <c r="E70" s="3" t="s">
        <v>117</v>
      </c>
      <c r="F70" s="3" t="s">
        <v>853</v>
      </c>
      <c r="G70" s="3">
        <f>COUNTIF($F$2:$F$104,F70)</f>
        <v>12</v>
      </c>
      <c r="H70" s="3" t="s">
        <v>854</v>
      </c>
      <c r="I70" s="3" t="s">
        <v>855</v>
      </c>
      <c r="J70" s="3" t="s">
        <v>83</v>
      </c>
      <c r="K70" s="3" t="s">
        <v>84</v>
      </c>
      <c r="M70" s="3" t="s">
        <v>85</v>
      </c>
      <c r="N70" s="3" t="s">
        <v>121</v>
      </c>
      <c r="O70" s="3" t="s">
        <v>87</v>
      </c>
      <c r="P70" s="3" t="s">
        <v>88</v>
      </c>
      <c r="Q70" s="3" t="s">
        <v>826</v>
      </c>
      <c r="R70" s="3" t="s">
        <v>827</v>
      </c>
      <c r="S70" s="3" t="s">
        <v>91</v>
      </c>
      <c r="T70" s="3" t="s">
        <v>92</v>
      </c>
      <c r="U70" s="3" t="s">
        <v>93</v>
      </c>
      <c r="V70" s="3" t="s">
        <v>22</v>
      </c>
      <c r="X70" s="3" t="s">
        <v>94</v>
      </c>
      <c r="Y70" s="3" t="s">
        <v>95</v>
      </c>
      <c r="Z70" s="3" t="s">
        <v>96</v>
      </c>
      <c r="AA70" s="3" t="b">
        <v>0</v>
      </c>
      <c r="AB70" s="3" t="b">
        <v>0</v>
      </c>
      <c r="AD70" s="3">
        <v>107</v>
      </c>
      <c r="AI70" s="3" t="s">
        <v>828</v>
      </c>
      <c r="AJ70" s="3" t="s">
        <v>88</v>
      </c>
      <c r="AK70" s="3" t="s">
        <v>856</v>
      </c>
      <c r="AL70" s="3" t="s">
        <v>88</v>
      </c>
      <c r="AM70" s="3" t="s">
        <v>88</v>
      </c>
      <c r="AN70" s="3" t="s">
        <v>100</v>
      </c>
      <c r="AO70" s="3">
        <v>1002</v>
      </c>
      <c r="AP70" s="3" t="s">
        <v>857</v>
      </c>
      <c r="AQ70" s="3" t="s">
        <v>102</v>
      </c>
      <c r="AR70" s="3" t="s">
        <v>807</v>
      </c>
      <c r="AS70" s="3" t="s">
        <v>858</v>
      </c>
      <c r="AT70" s="3" t="s">
        <v>859</v>
      </c>
      <c r="AU70" s="3" t="s">
        <v>859</v>
      </c>
      <c r="AX70" s="3" t="s">
        <v>860</v>
      </c>
      <c r="AY70" s="3" t="s">
        <v>861</v>
      </c>
      <c r="AZ70" s="3" t="s">
        <v>102</v>
      </c>
      <c r="BA70" s="3" t="s">
        <v>807</v>
      </c>
      <c r="BB70" s="3" t="s">
        <v>858</v>
      </c>
      <c r="BC70" s="3" t="s">
        <v>862</v>
      </c>
      <c r="BD70" s="3" t="s">
        <v>863</v>
      </c>
      <c r="BE70" s="3" t="s">
        <v>864</v>
      </c>
      <c r="BF70" s="3" t="s">
        <v>865</v>
      </c>
      <c r="BG70" s="3">
        <v>174</v>
      </c>
      <c r="BH70" s="3" t="s">
        <v>866</v>
      </c>
      <c r="BO70" s="3">
        <v>97</v>
      </c>
      <c r="BR70" s="3" t="s">
        <v>102</v>
      </c>
      <c r="BS70" s="3" t="s">
        <v>867</v>
      </c>
      <c r="BT70" s="3" t="s">
        <v>868</v>
      </c>
      <c r="BU70" s="6" t="s">
        <v>869</v>
      </c>
      <c r="BV70" s="3" t="s">
        <v>870</v>
      </c>
      <c r="BW70" s="3" t="s">
        <v>146</v>
      </c>
    </row>
    <row r="71" spans="1:75" s="3" customFormat="1" x14ac:dyDescent="0.35">
      <c r="A71" s="3" t="s">
        <v>852</v>
      </c>
      <c r="B71" s="4">
        <v>45988</v>
      </c>
      <c r="C71" s="5">
        <v>0.77620370370370362</v>
      </c>
      <c r="D71" s="3" t="s">
        <v>116</v>
      </c>
      <c r="E71" s="3" t="s">
        <v>117</v>
      </c>
      <c r="F71" s="3" t="s">
        <v>853</v>
      </c>
      <c r="G71" s="3">
        <f>COUNTIF($F$2:$F$104,F71)</f>
        <v>12</v>
      </c>
      <c r="H71" s="3" t="s">
        <v>854</v>
      </c>
      <c r="I71" s="3" t="s">
        <v>855</v>
      </c>
      <c r="J71" s="3" t="s">
        <v>83</v>
      </c>
      <c r="K71" s="3" t="s">
        <v>84</v>
      </c>
      <c r="M71" s="3" t="s">
        <v>85</v>
      </c>
      <c r="N71" s="3" t="s">
        <v>121</v>
      </c>
      <c r="O71" s="3" t="s">
        <v>87</v>
      </c>
      <c r="P71" s="3" t="s">
        <v>88</v>
      </c>
      <c r="Q71" s="3" t="s">
        <v>826</v>
      </c>
      <c r="R71" s="3" t="s">
        <v>827</v>
      </c>
      <c r="S71" s="3" t="s">
        <v>91</v>
      </c>
      <c r="T71" s="3" t="s">
        <v>92</v>
      </c>
      <c r="U71" s="3" t="s">
        <v>93</v>
      </c>
      <c r="V71" s="3" t="s">
        <v>22</v>
      </c>
      <c r="X71" s="3" t="s">
        <v>94</v>
      </c>
      <c r="Y71" s="3" t="s">
        <v>95</v>
      </c>
      <c r="Z71" s="3" t="s">
        <v>96</v>
      </c>
      <c r="AA71" s="3" t="b">
        <v>0</v>
      </c>
      <c r="AB71" s="3" t="b">
        <v>0</v>
      </c>
      <c r="AD71" s="3">
        <v>85</v>
      </c>
      <c r="AI71" s="3" t="s">
        <v>828</v>
      </c>
      <c r="AJ71" s="3" t="s">
        <v>88</v>
      </c>
      <c r="AK71" s="3" t="s">
        <v>871</v>
      </c>
      <c r="AL71" s="3" t="s">
        <v>88</v>
      </c>
      <c r="AM71" s="3" t="s">
        <v>88</v>
      </c>
      <c r="AN71" s="3" t="s">
        <v>100</v>
      </c>
      <c r="AO71" s="3">
        <v>1002</v>
      </c>
      <c r="AP71" s="3" t="s">
        <v>872</v>
      </c>
      <c r="AQ71" s="3" t="s">
        <v>102</v>
      </c>
      <c r="AR71" s="3" t="s">
        <v>807</v>
      </c>
      <c r="AS71" s="3" t="s">
        <v>858</v>
      </c>
      <c r="AT71" s="3" t="s">
        <v>859</v>
      </c>
      <c r="AU71" s="3" t="s">
        <v>859</v>
      </c>
      <c r="AX71" s="3" t="s">
        <v>860</v>
      </c>
      <c r="AY71" s="3" t="s">
        <v>861</v>
      </c>
      <c r="AZ71" s="3" t="s">
        <v>102</v>
      </c>
      <c r="BA71" s="3" t="s">
        <v>807</v>
      </c>
      <c r="BB71" s="3" t="s">
        <v>858</v>
      </c>
      <c r="BC71" s="3" t="s">
        <v>862</v>
      </c>
      <c r="BD71" s="3" t="s">
        <v>863</v>
      </c>
      <c r="BE71" s="3" t="s">
        <v>864</v>
      </c>
      <c r="BF71" s="3" t="s">
        <v>865</v>
      </c>
      <c r="BG71" s="3">
        <v>174</v>
      </c>
      <c r="BH71" s="3" t="s">
        <v>866</v>
      </c>
      <c r="BO71" s="3">
        <v>97</v>
      </c>
      <c r="BR71" s="3" t="s">
        <v>102</v>
      </c>
      <c r="BS71" s="3" t="s">
        <v>867</v>
      </c>
      <c r="BT71" s="3" t="s">
        <v>868</v>
      </c>
      <c r="BU71" s="6" t="s">
        <v>869</v>
      </c>
      <c r="BV71" s="3" t="s">
        <v>870</v>
      </c>
      <c r="BW71" s="3" t="s">
        <v>146</v>
      </c>
    </row>
    <row r="72" spans="1:75" s="3" customFormat="1" x14ac:dyDescent="0.35">
      <c r="A72" s="3" t="s">
        <v>873</v>
      </c>
      <c r="B72" s="4">
        <v>45988</v>
      </c>
      <c r="C72" s="5">
        <v>0.77619212962962969</v>
      </c>
      <c r="D72" s="3" t="s">
        <v>116</v>
      </c>
      <c r="E72" s="3" t="s">
        <v>117</v>
      </c>
      <c r="F72" s="3" t="s">
        <v>853</v>
      </c>
      <c r="G72" s="3">
        <f>COUNTIF($F$2:$F$104,F72)</f>
        <v>12</v>
      </c>
      <c r="H72" s="3" t="s">
        <v>854</v>
      </c>
      <c r="I72" s="3" t="s">
        <v>855</v>
      </c>
      <c r="J72" s="3" t="s">
        <v>83</v>
      </c>
      <c r="K72" s="3" t="s">
        <v>84</v>
      </c>
      <c r="M72" s="3" t="s">
        <v>85</v>
      </c>
      <c r="N72" s="3" t="s">
        <v>121</v>
      </c>
      <c r="O72" s="3" t="s">
        <v>87</v>
      </c>
      <c r="P72" s="3" t="s">
        <v>88</v>
      </c>
      <c r="Q72" s="3" t="s">
        <v>826</v>
      </c>
      <c r="R72" s="3" t="s">
        <v>827</v>
      </c>
      <c r="S72" s="3" t="s">
        <v>91</v>
      </c>
      <c r="T72" s="3" t="s">
        <v>92</v>
      </c>
      <c r="U72" s="3" t="s">
        <v>93</v>
      </c>
      <c r="V72" s="3" t="s">
        <v>22</v>
      </c>
      <c r="X72" s="3" t="s">
        <v>94</v>
      </c>
      <c r="Y72" s="3" t="s">
        <v>95</v>
      </c>
      <c r="Z72" s="3" t="s">
        <v>96</v>
      </c>
      <c r="AA72" s="3" t="b">
        <v>0</v>
      </c>
      <c r="AB72" s="3" t="b">
        <v>0</v>
      </c>
      <c r="AD72" s="3">
        <v>95</v>
      </c>
      <c r="AI72" s="3" t="s">
        <v>828</v>
      </c>
      <c r="AJ72" s="3" t="s">
        <v>88</v>
      </c>
      <c r="AK72" s="3" t="s">
        <v>874</v>
      </c>
      <c r="AL72" s="3" t="s">
        <v>88</v>
      </c>
      <c r="AM72" s="3" t="s">
        <v>88</v>
      </c>
      <c r="AN72" s="3" t="s">
        <v>100</v>
      </c>
      <c r="AO72" s="3">
        <v>1002</v>
      </c>
      <c r="AP72" s="3" t="s">
        <v>875</v>
      </c>
      <c r="AQ72" s="3" t="s">
        <v>102</v>
      </c>
      <c r="AR72" s="3" t="s">
        <v>807</v>
      </c>
      <c r="AS72" s="3" t="s">
        <v>858</v>
      </c>
      <c r="AT72" s="3" t="s">
        <v>859</v>
      </c>
      <c r="AU72" s="3" t="s">
        <v>859</v>
      </c>
      <c r="AX72" s="3" t="s">
        <v>860</v>
      </c>
      <c r="AY72" s="3" t="s">
        <v>861</v>
      </c>
      <c r="AZ72" s="3" t="s">
        <v>102</v>
      </c>
      <c r="BA72" s="3" t="s">
        <v>807</v>
      </c>
      <c r="BB72" s="3" t="s">
        <v>858</v>
      </c>
      <c r="BC72" s="3" t="s">
        <v>862</v>
      </c>
      <c r="BD72" s="3" t="s">
        <v>863</v>
      </c>
      <c r="BE72" s="3" t="s">
        <v>864</v>
      </c>
      <c r="BF72" s="3" t="s">
        <v>865</v>
      </c>
      <c r="BG72" s="3">
        <v>174</v>
      </c>
      <c r="BH72" s="3" t="s">
        <v>866</v>
      </c>
      <c r="BO72" s="3">
        <v>97</v>
      </c>
      <c r="BR72" s="3" t="s">
        <v>102</v>
      </c>
      <c r="BS72" s="3" t="s">
        <v>867</v>
      </c>
      <c r="BT72" s="3" t="s">
        <v>868</v>
      </c>
      <c r="BU72" s="6" t="s">
        <v>869</v>
      </c>
      <c r="BV72" s="3" t="s">
        <v>870</v>
      </c>
      <c r="BW72" s="3" t="s">
        <v>146</v>
      </c>
    </row>
    <row r="73" spans="1:75" s="3" customFormat="1" x14ac:dyDescent="0.35">
      <c r="A73" s="3" t="s">
        <v>876</v>
      </c>
      <c r="B73" s="4">
        <v>45988</v>
      </c>
      <c r="C73" s="5">
        <v>0.77618055555555554</v>
      </c>
      <c r="D73" s="3" t="s">
        <v>116</v>
      </c>
      <c r="E73" s="3" t="s">
        <v>117</v>
      </c>
      <c r="F73" s="3" t="s">
        <v>853</v>
      </c>
      <c r="G73" s="3">
        <f>COUNTIF($F$2:$F$104,F73)</f>
        <v>12</v>
      </c>
      <c r="H73" s="3" t="s">
        <v>854</v>
      </c>
      <c r="I73" s="3" t="s">
        <v>855</v>
      </c>
      <c r="J73" s="3" t="s">
        <v>83</v>
      </c>
      <c r="K73" s="3" t="s">
        <v>84</v>
      </c>
      <c r="M73" s="3" t="s">
        <v>85</v>
      </c>
      <c r="N73" s="3" t="s">
        <v>121</v>
      </c>
      <c r="O73" s="3" t="s">
        <v>87</v>
      </c>
      <c r="P73" s="3" t="s">
        <v>88</v>
      </c>
      <c r="Q73" s="3" t="s">
        <v>826</v>
      </c>
      <c r="R73" s="3" t="s">
        <v>827</v>
      </c>
      <c r="S73" s="3" t="s">
        <v>91</v>
      </c>
      <c r="T73" s="3" t="s">
        <v>92</v>
      </c>
      <c r="U73" s="3" t="s">
        <v>93</v>
      </c>
      <c r="V73" s="3" t="s">
        <v>22</v>
      </c>
      <c r="X73" s="3" t="s">
        <v>94</v>
      </c>
      <c r="Y73" s="3" t="s">
        <v>95</v>
      </c>
      <c r="Z73" s="3" t="s">
        <v>96</v>
      </c>
      <c r="AA73" s="3" t="b">
        <v>0</v>
      </c>
      <c r="AB73" s="3" t="b">
        <v>0</v>
      </c>
      <c r="AD73" s="3">
        <v>58</v>
      </c>
      <c r="AI73" s="3" t="s">
        <v>828</v>
      </c>
      <c r="AJ73" s="3" t="s">
        <v>88</v>
      </c>
      <c r="AK73" s="3" t="s">
        <v>877</v>
      </c>
      <c r="AL73" s="3" t="s">
        <v>88</v>
      </c>
      <c r="AM73" s="3" t="s">
        <v>88</v>
      </c>
      <c r="AN73" s="3" t="s">
        <v>100</v>
      </c>
      <c r="AO73" s="3">
        <v>1002</v>
      </c>
      <c r="AP73" s="3" t="s">
        <v>878</v>
      </c>
      <c r="AQ73" s="3" t="s">
        <v>102</v>
      </c>
      <c r="AR73" s="3" t="s">
        <v>807</v>
      </c>
      <c r="AS73" s="3" t="s">
        <v>858</v>
      </c>
      <c r="AT73" s="3" t="s">
        <v>859</v>
      </c>
      <c r="AU73" s="3" t="s">
        <v>859</v>
      </c>
      <c r="AX73" s="3" t="s">
        <v>860</v>
      </c>
      <c r="AY73" s="3" t="s">
        <v>861</v>
      </c>
      <c r="AZ73" s="3" t="s">
        <v>102</v>
      </c>
      <c r="BA73" s="3" t="s">
        <v>807</v>
      </c>
      <c r="BB73" s="3" t="s">
        <v>858</v>
      </c>
      <c r="BC73" s="3" t="s">
        <v>862</v>
      </c>
      <c r="BD73" s="3" t="s">
        <v>863</v>
      </c>
      <c r="BE73" s="3" t="s">
        <v>864</v>
      </c>
      <c r="BF73" s="3" t="s">
        <v>865</v>
      </c>
      <c r="BG73" s="3">
        <v>174</v>
      </c>
      <c r="BH73" s="3" t="s">
        <v>866</v>
      </c>
      <c r="BO73" s="3">
        <v>97</v>
      </c>
      <c r="BR73" s="3" t="s">
        <v>102</v>
      </c>
      <c r="BS73" s="3" t="s">
        <v>867</v>
      </c>
      <c r="BT73" s="3" t="s">
        <v>868</v>
      </c>
      <c r="BU73" s="6" t="s">
        <v>869</v>
      </c>
      <c r="BV73" s="3" t="s">
        <v>870</v>
      </c>
      <c r="BW73" s="3" t="s">
        <v>146</v>
      </c>
    </row>
    <row r="74" spans="1:75" s="3" customFormat="1" x14ac:dyDescent="0.35">
      <c r="A74" s="3" t="s">
        <v>879</v>
      </c>
      <c r="B74" s="4">
        <v>45988</v>
      </c>
      <c r="C74" s="5">
        <v>0.77604166666666663</v>
      </c>
      <c r="D74" s="3" t="s">
        <v>116</v>
      </c>
      <c r="E74" s="3" t="s">
        <v>117</v>
      </c>
      <c r="F74" s="3" t="s">
        <v>853</v>
      </c>
      <c r="G74" s="3">
        <f>COUNTIF($F$2:$F$104,F74)</f>
        <v>12</v>
      </c>
      <c r="H74" s="3" t="s">
        <v>854</v>
      </c>
      <c r="I74" s="3" t="s">
        <v>855</v>
      </c>
      <c r="J74" s="3" t="s">
        <v>83</v>
      </c>
      <c r="K74" s="3" t="s">
        <v>84</v>
      </c>
      <c r="M74" s="3" t="s">
        <v>85</v>
      </c>
      <c r="N74" s="3" t="s">
        <v>121</v>
      </c>
      <c r="O74" s="3" t="s">
        <v>87</v>
      </c>
      <c r="P74" s="3" t="s">
        <v>88</v>
      </c>
      <c r="Q74" s="3" t="s">
        <v>283</v>
      </c>
      <c r="R74" s="3" t="s">
        <v>284</v>
      </c>
      <c r="S74" s="3" t="s">
        <v>91</v>
      </c>
      <c r="T74" s="3" t="s">
        <v>92</v>
      </c>
      <c r="U74" s="3" t="s">
        <v>93</v>
      </c>
      <c r="V74" s="3" t="s">
        <v>22</v>
      </c>
      <c r="X74" s="3" t="s">
        <v>94</v>
      </c>
      <c r="Y74" s="3" t="s">
        <v>95</v>
      </c>
      <c r="Z74" s="3" t="s">
        <v>96</v>
      </c>
      <c r="AA74" s="3" t="b">
        <v>0</v>
      </c>
      <c r="AB74" s="3" t="b">
        <v>0</v>
      </c>
      <c r="AD74" s="3">
        <v>85</v>
      </c>
      <c r="AI74" s="3" t="s">
        <v>828</v>
      </c>
      <c r="AJ74" s="3" t="s">
        <v>88</v>
      </c>
      <c r="AK74" s="3" t="s">
        <v>880</v>
      </c>
      <c r="AL74" s="3" t="s">
        <v>88</v>
      </c>
      <c r="AM74" s="3" t="s">
        <v>88</v>
      </c>
      <c r="AN74" s="3" t="s">
        <v>100</v>
      </c>
      <c r="AO74" s="3">
        <v>1002</v>
      </c>
      <c r="AP74" s="3" t="s">
        <v>881</v>
      </c>
      <c r="AQ74" s="3" t="s">
        <v>102</v>
      </c>
      <c r="AR74" s="3" t="s">
        <v>807</v>
      </c>
      <c r="AS74" s="3" t="s">
        <v>858</v>
      </c>
      <c r="AT74" s="3" t="s">
        <v>859</v>
      </c>
      <c r="AU74" s="3" t="s">
        <v>859</v>
      </c>
      <c r="AX74" s="3" t="s">
        <v>860</v>
      </c>
      <c r="AY74" s="3" t="s">
        <v>861</v>
      </c>
      <c r="AZ74" s="3" t="s">
        <v>102</v>
      </c>
      <c r="BA74" s="3" t="s">
        <v>807</v>
      </c>
      <c r="BB74" s="3" t="s">
        <v>858</v>
      </c>
      <c r="BC74" s="3" t="s">
        <v>862</v>
      </c>
      <c r="BD74" s="3" t="s">
        <v>863</v>
      </c>
      <c r="BE74" s="3" t="s">
        <v>864</v>
      </c>
      <c r="BF74" s="3" t="s">
        <v>865</v>
      </c>
      <c r="BG74" s="3">
        <v>174</v>
      </c>
      <c r="BH74" s="3" t="s">
        <v>866</v>
      </c>
      <c r="BO74" s="3">
        <v>97</v>
      </c>
      <c r="BR74" s="3" t="s">
        <v>102</v>
      </c>
      <c r="BS74" s="3" t="s">
        <v>867</v>
      </c>
      <c r="BT74" s="3" t="s">
        <v>868</v>
      </c>
      <c r="BU74" s="6" t="s">
        <v>869</v>
      </c>
      <c r="BV74" s="3" t="s">
        <v>870</v>
      </c>
      <c r="BW74" s="3" t="s">
        <v>146</v>
      </c>
    </row>
    <row r="75" spans="1:75" s="3" customFormat="1" x14ac:dyDescent="0.35">
      <c r="A75" s="3" t="s">
        <v>882</v>
      </c>
      <c r="B75" s="4">
        <v>45988</v>
      </c>
      <c r="C75" s="5">
        <v>0.77603009259259259</v>
      </c>
      <c r="D75" s="3" t="s">
        <v>116</v>
      </c>
      <c r="E75" s="3" t="s">
        <v>117</v>
      </c>
      <c r="F75" s="3" t="s">
        <v>853</v>
      </c>
      <c r="G75" s="3">
        <f>COUNTIF($F$2:$F$104,F75)</f>
        <v>12</v>
      </c>
      <c r="H75" s="3" t="s">
        <v>854</v>
      </c>
      <c r="I75" s="3" t="s">
        <v>855</v>
      </c>
      <c r="J75" s="3" t="s">
        <v>83</v>
      </c>
      <c r="K75" s="3" t="s">
        <v>84</v>
      </c>
      <c r="M75" s="3" t="s">
        <v>85</v>
      </c>
      <c r="N75" s="3" t="s">
        <v>121</v>
      </c>
      <c r="O75" s="3" t="s">
        <v>87</v>
      </c>
      <c r="P75" s="3" t="s">
        <v>88</v>
      </c>
      <c r="Q75" s="3" t="s">
        <v>283</v>
      </c>
      <c r="R75" s="3" t="s">
        <v>284</v>
      </c>
      <c r="S75" s="3" t="s">
        <v>91</v>
      </c>
      <c r="T75" s="3" t="s">
        <v>92</v>
      </c>
      <c r="U75" s="3" t="s">
        <v>93</v>
      </c>
      <c r="V75" s="3" t="s">
        <v>22</v>
      </c>
      <c r="X75" s="3" t="s">
        <v>94</v>
      </c>
      <c r="Y75" s="3" t="s">
        <v>95</v>
      </c>
      <c r="Z75" s="3" t="s">
        <v>96</v>
      </c>
      <c r="AA75" s="3" t="b">
        <v>0</v>
      </c>
      <c r="AB75" s="3" t="b">
        <v>0</v>
      </c>
      <c r="AD75" s="3">
        <v>1548</v>
      </c>
      <c r="AI75" s="3" t="s">
        <v>828</v>
      </c>
      <c r="AJ75" s="3" t="s">
        <v>88</v>
      </c>
      <c r="AK75" s="3" t="s">
        <v>883</v>
      </c>
      <c r="AL75" s="3" t="s">
        <v>88</v>
      </c>
      <c r="AM75" s="3" t="s">
        <v>88</v>
      </c>
      <c r="AN75" s="3" t="s">
        <v>100</v>
      </c>
      <c r="AO75" s="3">
        <v>1002</v>
      </c>
      <c r="AP75" s="3" t="s">
        <v>884</v>
      </c>
      <c r="AQ75" s="3" t="s">
        <v>102</v>
      </c>
      <c r="AR75" s="3" t="s">
        <v>807</v>
      </c>
      <c r="AS75" s="3" t="s">
        <v>858</v>
      </c>
      <c r="AT75" s="3" t="s">
        <v>859</v>
      </c>
      <c r="AU75" s="3" t="s">
        <v>859</v>
      </c>
      <c r="AX75" s="3" t="s">
        <v>860</v>
      </c>
      <c r="AY75" s="3" t="s">
        <v>861</v>
      </c>
      <c r="AZ75" s="3" t="s">
        <v>102</v>
      </c>
      <c r="BA75" s="3" t="s">
        <v>807</v>
      </c>
      <c r="BB75" s="3" t="s">
        <v>858</v>
      </c>
      <c r="BC75" s="3" t="s">
        <v>862</v>
      </c>
      <c r="BD75" s="3" t="s">
        <v>863</v>
      </c>
      <c r="BE75" s="3" t="s">
        <v>864</v>
      </c>
      <c r="BF75" s="3" t="s">
        <v>865</v>
      </c>
      <c r="BG75" s="3">
        <v>174</v>
      </c>
      <c r="BH75" s="3" t="s">
        <v>866</v>
      </c>
      <c r="BO75" s="3">
        <v>97</v>
      </c>
      <c r="BR75" s="3" t="s">
        <v>102</v>
      </c>
      <c r="BS75" s="3" t="s">
        <v>867</v>
      </c>
      <c r="BT75" s="3" t="s">
        <v>868</v>
      </c>
      <c r="BU75" s="6" t="s">
        <v>869</v>
      </c>
      <c r="BV75" s="3" t="s">
        <v>870</v>
      </c>
      <c r="BW75" s="3" t="s">
        <v>146</v>
      </c>
    </row>
    <row r="76" spans="1:75" s="3" customFormat="1" x14ac:dyDescent="0.35">
      <c r="A76" s="3" t="s">
        <v>885</v>
      </c>
      <c r="B76" s="4">
        <v>45988</v>
      </c>
      <c r="C76" s="5">
        <v>0.77416666666666656</v>
      </c>
      <c r="D76" s="3" t="s">
        <v>116</v>
      </c>
      <c r="E76" s="3" t="s">
        <v>117</v>
      </c>
      <c r="F76" s="3" t="s">
        <v>853</v>
      </c>
      <c r="G76" s="3">
        <f>COUNTIF($F$2:$F$104,F76)</f>
        <v>12</v>
      </c>
      <c r="H76" s="3" t="s">
        <v>854</v>
      </c>
      <c r="I76" s="3" t="s">
        <v>855</v>
      </c>
      <c r="J76" s="3" t="s">
        <v>83</v>
      </c>
      <c r="K76" s="3" t="s">
        <v>84</v>
      </c>
      <c r="M76" s="3" t="s">
        <v>85</v>
      </c>
      <c r="N76" s="3" t="s">
        <v>121</v>
      </c>
      <c r="O76" s="3" t="s">
        <v>87</v>
      </c>
      <c r="P76" s="3" t="s">
        <v>88</v>
      </c>
      <c r="Q76" s="3" t="s">
        <v>122</v>
      </c>
      <c r="R76" s="3" t="s">
        <v>123</v>
      </c>
      <c r="S76" s="3" t="s">
        <v>124</v>
      </c>
      <c r="T76" s="3" t="s">
        <v>125</v>
      </c>
      <c r="U76" s="3" t="s">
        <v>93</v>
      </c>
      <c r="V76" s="3" t="s">
        <v>22</v>
      </c>
      <c r="X76" s="3" t="s">
        <v>94</v>
      </c>
      <c r="Y76" s="3" t="s">
        <v>95</v>
      </c>
      <c r="Z76" s="3" t="s">
        <v>96</v>
      </c>
      <c r="AA76" s="3" t="b">
        <v>0</v>
      </c>
      <c r="AB76" s="3" t="b">
        <v>0</v>
      </c>
      <c r="AD76" s="3">
        <v>123</v>
      </c>
      <c r="AI76" s="3" t="s">
        <v>828</v>
      </c>
      <c r="AJ76" s="3" t="s">
        <v>88</v>
      </c>
      <c r="AK76" s="3" t="s">
        <v>886</v>
      </c>
      <c r="AL76" s="3" t="s">
        <v>88</v>
      </c>
      <c r="AM76" s="3" t="s">
        <v>88</v>
      </c>
      <c r="AN76" s="3" t="s">
        <v>100</v>
      </c>
      <c r="AO76" s="3">
        <v>1002</v>
      </c>
      <c r="AP76" s="3" t="s">
        <v>887</v>
      </c>
      <c r="AQ76" s="3" t="s">
        <v>102</v>
      </c>
      <c r="AR76" s="3" t="s">
        <v>807</v>
      </c>
      <c r="AS76" s="3" t="s">
        <v>858</v>
      </c>
      <c r="AT76" s="3" t="s">
        <v>859</v>
      </c>
      <c r="AU76" s="3" t="s">
        <v>859</v>
      </c>
      <c r="AX76" s="3" t="s">
        <v>860</v>
      </c>
      <c r="AY76" s="3" t="s">
        <v>861</v>
      </c>
      <c r="AZ76" s="3" t="s">
        <v>102</v>
      </c>
      <c r="BA76" s="3" t="s">
        <v>807</v>
      </c>
      <c r="BB76" s="3" t="s">
        <v>858</v>
      </c>
      <c r="BC76" s="3" t="s">
        <v>862</v>
      </c>
      <c r="BD76" s="3" t="s">
        <v>863</v>
      </c>
      <c r="BE76" s="3" t="s">
        <v>864</v>
      </c>
      <c r="BF76" s="3" t="s">
        <v>865</v>
      </c>
      <c r="BG76" s="3">
        <v>174</v>
      </c>
      <c r="BH76" s="3" t="s">
        <v>866</v>
      </c>
      <c r="BO76" s="3">
        <v>97</v>
      </c>
      <c r="BR76" s="3" t="s">
        <v>102</v>
      </c>
      <c r="BS76" s="3" t="s">
        <v>867</v>
      </c>
      <c r="BT76" s="3" t="s">
        <v>868</v>
      </c>
      <c r="BU76" s="6" t="s">
        <v>869</v>
      </c>
      <c r="BV76" s="3" t="s">
        <v>870</v>
      </c>
      <c r="BW76" s="3" t="s">
        <v>146</v>
      </c>
    </row>
    <row r="77" spans="1:75" s="3" customFormat="1" x14ac:dyDescent="0.35">
      <c r="A77" s="3" t="s">
        <v>888</v>
      </c>
      <c r="B77" s="4">
        <v>45988</v>
      </c>
      <c r="C77" s="5">
        <v>0.77414351851851848</v>
      </c>
      <c r="D77" s="3" t="s">
        <v>116</v>
      </c>
      <c r="E77" s="3" t="s">
        <v>117</v>
      </c>
      <c r="F77" s="3" t="s">
        <v>853</v>
      </c>
      <c r="G77" s="3">
        <f>COUNTIF($F$2:$F$104,F77)</f>
        <v>12</v>
      </c>
      <c r="H77" s="3" t="s">
        <v>854</v>
      </c>
      <c r="I77" s="3" t="s">
        <v>855</v>
      </c>
      <c r="J77" s="3" t="s">
        <v>83</v>
      </c>
      <c r="K77" s="3" t="s">
        <v>84</v>
      </c>
      <c r="M77" s="3" t="s">
        <v>85</v>
      </c>
      <c r="N77" s="3" t="s">
        <v>121</v>
      </c>
      <c r="O77" s="3" t="s">
        <v>87</v>
      </c>
      <c r="P77" s="3" t="s">
        <v>88</v>
      </c>
      <c r="Q77" s="3" t="s">
        <v>122</v>
      </c>
      <c r="R77" s="3" t="s">
        <v>123</v>
      </c>
      <c r="S77" s="3" t="s">
        <v>124</v>
      </c>
      <c r="T77" s="3" t="s">
        <v>125</v>
      </c>
      <c r="U77" s="3" t="s">
        <v>93</v>
      </c>
      <c r="V77" s="3" t="s">
        <v>22</v>
      </c>
      <c r="X77" s="3" t="s">
        <v>94</v>
      </c>
      <c r="Y77" s="3" t="s">
        <v>95</v>
      </c>
      <c r="Z77" s="3" t="s">
        <v>96</v>
      </c>
      <c r="AA77" s="3" t="b">
        <v>0</v>
      </c>
      <c r="AB77" s="3" t="b">
        <v>0</v>
      </c>
      <c r="AD77" s="3">
        <v>77</v>
      </c>
      <c r="AI77" s="3" t="s">
        <v>828</v>
      </c>
      <c r="AJ77" s="3" t="s">
        <v>88</v>
      </c>
      <c r="AK77" s="3" t="s">
        <v>889</v>
      </c>
      <c r="AL77" s="3" t="s">
        <v>88</v>
      </c>
      <c r="AM77" s="3" t="s">
        <v>88</v>
      </c>
      <c r="AN77" s="3" t="s">
        <v>100</v>
      </c>
      <c r="AO77" s="3">
        <v>1002</v>
      </c>
      <c r="AP77" s="3" t="s">
        <v>887</v>
      </c>
      <c r="AQ77" s="3" t="s">
        <v>102</v>
      </c>
      <c r="AR77" s="3" t="s">
        <v>807</v>
      </c>
      <c r="AS77" s="3" t="s">
        <v>858</v>
      </c>
      <c r="AT77" s="3" t="s">
        <v>859</v>
      </c>
      <c r="AU77" s="3" t="s">
        <v>859</v>
      </c>
      <c r="AX77" s="3" t="s">
        <v>860</v>
      </c>
      <c r="AY77" s="3" t="s">
        <v>861</v>
      </c>
      <c r="AZ77" s="3" t="s">
        <v>102</v>
      </c>
      <c r="BA77" s="3" t="s">
        <v>807</v>
      </c>
      <c r="BB77" s="3" t="s">
        <v>858</v>
      </c>
      <c r="BC77" s="3" t="s">
        <v>862</v>
      </c>
      <c r="BD77" s="3" t="s">
        <v>863</v>
      </c>
      <c r="BE77" s="3" t="s">
        <v>864</v>
      </c>
      <c r="BF77" s="3" t="s">
        <v>865</v>
      </c>
      <c r="BG77" s="3">
        <v>174</v>
      </c>
      <c r="BH77" s="3" t="s">
        <v>866</v>
      </c>
      <c r="BO77" s="3">
        <v>97</v>
      </c>
      <c r="BR77" s="3" t="s">
        <v>102</v>
      </c>
      <c r="BS77" s="3" t="s">
        <v>867</v>
      </c>
      <c r="BT77" s="3" t="s">
        <v>868</v>
      </c>
      <c r="BU77" s="6" t="s">
        <v>869</v>
      </c>
      <c r="BV77" s="3" t="s">
        <v>870</v>
      </c>
      <c r="BW77" s="3" t="s">
        <v>146</v>
      </c>
    </row>
    <row r="78" spans="1:75" s="3" customFormat="1" x14ac:dyDescent="0.35">
      <c r="A78" s="3" t="s">
        <v>890</v>
      </c>
      <c r="B78" s="4">
        <v>45988</v>
      </c>
      <c r="C78" s="5">
        <v>0.77380787037037047</v>
      </c>
      <c r="D78" s="3" t="s">
        <v>116</v>
      </c>
      <c r="E78" s="3" t="s">
        <v>117</v>
      </c>
      <c r="F78" s="3" t="s">
        <v>853</v>
      </c>
      <c r="G78" s="3">
        <f>COUNTIF($F$2:$F$104,F78)</f>
        <v>12</v>
      </c>
      <c r="H78" s="3" t="s">
        <v>854</v>
      </c>
      <c r="I78" s="3" t="s">
        <v>855</v>
      </c>
      <c r="J78" s="3" t="s">
        <v>83</v>
      </c>
      <c r="K78" s="3" t="s">
        <v>84</v>
      </c>
      <c r="M78" s="3" t="s">
        <v>85</v>
      </c>
      <c r="N78" s="3" t="s">
        <v>121</v>
      </c>
      <c r="O78" s="3" t="s">
        <v>87</v>
      </c>
      <c r="P78" s="3" t="s">
        <v>88</v>
      </c>
      <c r="Q78" s="3" t="s">
        <v>171</v>
      </c>
      <c r="R78" s="3" t="s">
        <v>172</v>
      </c>
      <c r="S78" s="3" t="s">
        <v>171</v>
      </c>
      <c r="T78" s="3" t="s">
        <v>172</v>
      </c>
      <c r="U78" s="3" t="s">
        <v>93</v>
      </c>
      <c r="V78" s="3" t="s">
        <v>22</v>
      </c>
      <c r="X78" s="3" t="s">
        <v>94</v>
      </c>
      <c r="Y78" s="3" t="s">
        <v>95</v>
      </c>
      <c r="Z78" s="3" t="s">
        <v>96</v>
      </c>
      <c r="AA78" s="3" t="b">
        <v>0</v>
      </c>
      <c r="AB78" s="3" t="b">
        <v>0</v>
      </c>
      <c r="AD78" s="3">
        <v>58</v>
      </c>
      <c r="AI78" s="3" t="s">
        <v>828</v>
      </c>
      <c r="AJ78" s="3" t="s">
        <v>88</v>
      </c>
      <c r="AK78" s="3" t="s">
        <v>891</v>
      </c>
      <c r="AL78" s="3" t="s">
        <v>88</v>
      </c>
      <c r="AM78" s="3" t="s">
        <v>88</v>
      </c>
      <c r="AN78" s="3" t="s">
        <v>100</v>
      </c>
      <c r="AO78" s="3">
        <v>1002</v>
      </c>
      <c r="AP78" s="3" t="s">
        <v>892</v>
      </c>
      <c r="AQ78" s="3" t="s">
        <v>102</v>
      </c>
      <c r="AR78" s="3" t="s">
        <v>807</v>
      </c>
      <c r="AS78" s="3" t="s">
        <v>858</v>
      </c>
      <c r="AT78" s="3" t="s">
        <v>859</v>
      </c>
      <c r="AU78" s="3" t="s">
        <v>859</v>
      </c>
      <c r="AX78" s="3" t="s">
        <v>860</v>
      </c>
      <c r="AY78" s="3" t="s">
        <v>861</v>
      </c>
      <c r="AZ78" s="3" t="s">
        <v>102</v>
      </c>
      <c r="BA78" s="3" t="s">
        <v>807</v>
      </c>
      <c r="BB78" s="3" t="s">
        <v>858</v>
      </c>
      <c r="BC78" s="3" t="s">
        <v>862</v>
      </c>
      <c r="BD78" s="3" t="s">
        <v>863</v>
      </c>
      <c r="BE78" s="3" t="s">
        <v>864</v>
      </c>
      <c r="BF78" s="3" t="s">
        <v>865</v>
      </c>
      <c r="BG78" s="3">
        <v>174</v>
      </c>
      <c r="BH78" s="3" t="s">
        <v>866</v>
      </c>
      <c r="BO78" s="3">
        <v>97</v>
      </c>
      <c r="BR78" s="3" t="s">
        <v>102</v>
      </c>
      <c r="BS78" s="3" t="s">
        <v>867</v>
      </c>
      <c r="BT78" s="3" t="s">
        <v>868</v>
      </c>
      <c r="BU78" s="6" t="s">
        <v>869</v>
      </c>
      <c r="BV78" s="3" t="s">
        <v>870</v>
      </c>
      <c r="BW78" s="3" t="s">
        <v>146</v>
      </c>
    </row>
    <row r="79" spans="1:75" s="3" customFormat="1" x14ac:dyDescent="0.35">
      <c r="A79" s="3" t="s">
        <v>893</v>
      </c>
      <c r="B79" s="4">
        <v>45988</v>
      </c>
      <c r="C79" s="5">
        <v>0.77372685185185175</v>
      </c>
      <c r="D79" s="3" t="s">
        <v>116</v>
      </c>
      <c r="E79" s="3" t="s">
        <v>117</v>
      </c>
      <c r="F79" s="3" t="s">
        <v>853</v>
      </c>
      <c r="G79" s="3">
        <f>COUNTIF($F$2:$F$104,F79)</f>
        <v>12</v>
      </c>
      <c r="H79" s="3" t="s">
        <v>854</v>
      </c>
      <c r="I79" s="3" t="s">
        <v>855</v>
      </c>
      <c r="J79" s="3" t="s">
        <v>83</v>
      </c>
      <c r="K79" s="3" t="s">
        <v>84</v>
      </c>
      <c r="M79" s="3" t="s">
        <v>85</v>
      </c>
      <c r="N79" s="3" t="s">
        <v>121</v>
      </c>
      <c r="O79" s="3" t="s">
        <v>87</v>
      </c>
      <c r="P79" s="3" t="s">
        <v>88</v>
      </c>
      <c r="Q79" s="3" t="s">
        <v>171</v>
      </c>
      <c r="R79" s="3" t="s">
        <v>172</v>
      </c>
      <c r="S79" s="3" t="s">
        <v>171</v>
      </c>
      <c r="T79" s="3" t="s">
        <v>172</v>
      </c>
      <c r="U79" s="3" t="s">
        <v>93</v>
      </c>
      <c r="V79" s="3" t="s">
        <v>22</v>
      </c>
      <c r="X79" s="3" t="s">
        <v>94</v>
      </c>
      <c r="Y79" s="3" t="s">
        <v>95</v>
      </c>
      <c r="Z79" s="3" t="s">
        <v>96</v>
      </c>
      <c r="AA79" s="3" t="b">
        <v>0</v>
      </c>
      <c r="AB79" s="3" t="b">
        <v>0</v>
      </c>
      <c r="AD79" s="3">
        <v>60</v>
      </c>
      <c r="AI79" s="3" t="s">
        <v>828</v>
      </c>
      <c r="AJ79" s="3" t="s">
        <v>88</v>
      </c>
      <c r="AK79" s="3" t="s">
        <v>894</v>
      </c>
      <c r="AL79" s="3" t="s">
        <v>88</v>
      </c>
      <c r="AM79" s="3" t="s">
        <v>88</v>
      </c>
      <c r="AN79" s="3" t="s">
        <v>100</v>
      </c>
      <c r="AO79" s="3">
        <v>1002</v>
      </c>
      <c r="AP79" s="3" t="s">
        <v>895</v>
      </c>
      <c r="AQ79" s="3" t="s">
        <v>102</v>
      </c>
      <c r="AR79" s="3" t="s">
        <v>807</v>
      </c>
      <c r="AS79" s="3" t="s">
        <v>858</v>
      </c>
      <c r="AT79" s="3" t="s">
        <v>859</v>
      </c>
      <c r="AU79" s="3" t="s">
        <v>859</v>
      </c>
      <c r="AX79" s="3" t="s">
        <v>860</v>
      </c>
      <c r="AY79" s="3" t="s">
        <v>861</v>
      </c>
      <c r="AZ79" s="3" t="s">
        <v>102</v>
      </c>
      <c r="BA79" s="3" t="s">
        <v>807</v>
      </c>
      <c r="BB79" s="3" t="s">
        <v>858</v>
      </c>
      <c r="BC79" s="3" t="s">
        <v>862</v>
      </c>
      <c r="BD79" s="3" t="s">
        <v>863</v>
      </c>
      <c r="BE79" s="3" t="s">
        <v>864</v>
      </c>
      <c r="BF79" s="3" t="s">
        <v>865</v>
      </c>
      <c r="BG79" s="3">
        <v>174</v>
      </c>
      <c r="BH79" s="3" t="s">
        <v>866</v>
      </c>
      <c r="BO79" s="3">
        <v>97</v>
      </c>
      <c r="BR79" s="3" t="s">
        <v>102</v>
      </c>
      <c r="BS79" s="3" t="s">
        <v>867</v>
      </c>
      <c r="BT79" s="3" t="s">
        <v>868</v>
      </c>
      <c r="BU79" s="6" t="s">
        <v>869</v>
      </c>
      <c r="BV79" s="3" t="s">
        <v>870</v>
      </c>
      <c r="BW79" s="3" t="s">
        <v>146</v>
      </c>
    </row>
    <row r="80" spans="1:75" s="3" customFormat="1" x14ac:dyDescent="0.35">
      <c r="A80" s="3" t="s">
        <v>896</v>
      </c>
      <c r="B80" s="4">
        <v>45988</v>
      </c>
      <c r="C80" s="5">
        <v>0.77370370370370367</v>
      </c>
      <c r="D80" s="3" t="s">
        <v>116</v>
      </c>
      <c r="E80" s="3" t="s">
        <v>117</v>
      </c>
      <c r="F80" s="3" t="s">
        <v>853</v>
      </c>
      <c r="G80" s="3">
        <f>COUNTIF($F$2:$F$104,F80)</f>
        <v>12</v>
      </c>
      <c r="H80" s="3" t="s">
        <v>854</v>
      </c>
      <c r="I80" s="3" t="s">
        <v>855</v>
      </c>
      <c r="J80" s="3" t="s">
        <v>83</v>
      </c>
      <c r="K80" s="3" t="s">
        <v>84</v>
      </c>
      <c r="M80" s="3" t="s">
        <v>85</v>
      </c>
      <c r="N80" s="3" t="s">
        <v>121</v>
      </c>
      <c r="O80" s="3" t="s">
        <v>87</v>
      </c>
      <c r="P80" s="3" t="s">
        <v>88</v>
      </c>
      <c r="Q80" s="3" t="s">
        <v>171</v>
      </c>
      <c r="R80" s="3" t="s">
        <v>172</v>
      </c>
      <c r="S80" s="3" t="s">
        <v>171</v>
      </c>
      <c r="T80" s="3" t="s">
        <v>172</v>
      </c>
      <c r="U80" s="3" t="s">
        <v>93</v>
      </c>
      <c r="V80" s="3" t="s">
        <v>22</v>
      </c>
      <c r="X80" s="3" t="s">
        <v>94</v>
      </c>
      <c r="Y80" s="3" t="s">
        <v>95</v>
      </c>
      <c r="Z80" s="3" t="s">
        <v>96</v>
      </c>
      <c r="AA80" s="3" t="b">
        <v>0</v>
      </c>
      <c r="AB80" s="3" t="b">
        <v>0</v>
      </c>
      <c r="AD80" s="3">
        <v>101</v>
      </c>
      <c r="AH80" s="3" t="s">
        <v>117</v>
      </c>
      <c r="AI80" s="3" t="s">
        <v>828</v>
      </c>
      <c r="AJ80" s="3" t="s">
        <v>88</v>
      </c>
      <c r="AK80" s="3" t="s">
        <v>897</v>
      </c>
      <c r="AL80" s="3" t="s">
        <v>88</v>
      </c>
      <c r="AM80" s="3" t="s">
        <v>88</v>
      </c>
      <c r="AN80" s="3" t="s">
        <v>100</v>
      </c>
      <c r="AO80" s="3">
        <v>1002</v>
      </c>
      <c r="AP80" s="3" t="s">
        <v>895</v>
      </c>
      <c r="AQ80" s="3" t="s">
        <v>102</v>
      </c>
      <c r="AR80" s="3" t="s">
        <v>807</v>
      </c>
      <c r="AS80" s="3" t="s">
        <v>858</v>
      </c>
      <c r="AT80" s="3" t="s">
        <v>859</v>
      </c>
      <c r="AU80" s="3" t="s">
        <v>859</v>
      </c>
      <c r="AX80" s="3" t="s">
        <v>860</v>
      </c>
      <c r="AY80" s="3" t="s">
        <v>861</v>
      </c>
      <c r="AZ80" s="3" t="s">
        <v>102</v>
      </c>
      <c r="BA80" s="3" t="s">
        <v>807</v>
      </c>
      <c r="BB80" s="3" t="s">
        <v>858</v>
      </c>
      <c r="BC80" s="3" t="s">
        <v>862</v>
      </c>
      <c r="BD80" s="3" t="s">
        <v>863</v>
      </c>
      <c r="BE80" s="3" t="s">
        <v>864</v>
      </c>
      <c r="BF80" s="3" t="s">
        <v>865</v>
      </c>
      <c r="BG80" s="3">
        <v>174</v>
      </c>
      <c r="BH80" s="3" t="s">
        <v>866</v>
      </c>
      <c r="BO80" s="3">
        <v>97</v>
      </c>
      <c r="BR80" s="3" t="s">
        <v>102</v>
      </c>
      <c r="BS80" s="3" t="s">
        <v>867</v>
      </c>
      <c r="BT80" s="3" t="s">
        <v>868</v>
      </c>
      <c r="BU80" s="6" t="s">
        <v>869</v>
      </c>
      <c r="BV80" s="3" t="s">
        <v>870</v>
      </c>
      <c r="BW80" s="3" t="s">
        <v>146</v>
      </c>
    </row>
    <row r="81" spans="1:75" s="3" customFormat="1" x14ac:dyDescent="0.35">
      <c r="A81" s="3" t="s">
        <v>898</v>
      </c>
      <c r="B81" s="4">
        <v>45988</v>
      </c>
      <c r="C81" s="5">
        <v>0.77366898148148155</v>
      </c>
      <c r="D81" s="3" t="s">
        <v>116</v>
      </c>
      <c r="E81" s="3" t="s">
        <v>117</v>
      </c>
      <c r="F81" s="3" t="s">
        <v>853</v>
      </c>
      <c r="G81" s="3">
        <f>COUNTIF($F$2:$F$104,F81)</f>
        <v>12</v>
      </c>
      <c r="H81" s="3" t="s">
        <v>854</v>
      </c>
      <c r="I81" s="3" t="s">
        <v>855</v>
      </c>
      <c r="J81" s="3" t="s">
        <v>83</v>
      </c>
      <c r="K81" s="3" t="s">
        <v>178</v>
      </c>
      <c r="L81" s="3">
        <v>50140</v>
      </c>
      <c r="M81" s="3" t="s">
        <v>85</v>
      </c>
      <c r="N81" s="3" t="s">
        <v>121</v>
      </c>
      <c r="O81" s="3" t="s">
        <v>87</v>
      </c>
      <c r="P81" s="3" t="s">
        <v>88</v>
      </c>
      <c r="Q81" s="3" t="s">
        <v>171</v>
      </c>
      <c r="R81" s="3" t="s">
        <v>172</v>
      </c>
      <c r="S81" s="3" t="s">
        <v>171</v>
      </c>
      <c r="T81" s="3" t="s">
        <v>172</v>
      </c>
      <c r="U81" s="3" t="s">
        <v>179</v>
      </c>
      <c r="V81" s="3" t="s">
        <v>22</v>
      </c>
      <c r="X81" s="3" t="s">
        <v>94</v>
      </c>
      <c r="Y81" s="3" t="s">
        <v>95</v>
      </c>
      <c r="Z81" s="3" t="s">
        <v>96</v>
      </c>
      <c r="AA81" s="3" t="b">
        <v>0</v>
      </c>
      <c r="AB81" s="3" t="b">
        <v>0</v>
      </c>
      <c r="AD81" s="3">
        <v>277</v>
      </c>
      <c r="AE81" s="3" t="s">
        <v>180</v>
      </c>
      <c r="AH81" s="3" t="s">
        <v>117</v>
      </c>
      <c r="AI81" s="3" t="s">
        <v>828</v>
      </c>
      <c r="AJ81" s="3" t="s">
        <v>88</v>
      </c>
      <c r="AK81" s="3" t="s">
        <v>899</v>
      </c>
      <c r="AL81" s="3" t="s">
        <v>88</v>
      </c>
      <c r="AM81" s="3" t="s">
        <v>88</v>
      </c>
      <c r="AN81" s="3" t="s">
        <v>100</v>
      </c>
      <c r="AO81" s="3">
        <v>1002</v>
      </c>
      <c r="AP81" s="3" t="s">
        <v>895</v>
      </c>
      <c r="AQ81" s="3" t="s">
        <v>102</v>
      </c>
      <c r="AR81" s="3" t="s">
        <v>807</v>
      </c>
      <c r="AS81" s="3" t="s">
        <v>858</v>
      </c>
      <c r="AT81" s="3" t="s">
        <v>859</v>
      </c>
      <c r="AU81" s="3" t="s">
        <v>859</v>
      </c>
      <c r="AX81" s="3" t="s">
        <v>860</v>
      </c>
      <c r="AY81" s="3" t="s">
        <v>861</v>
      </c>
      <c r="AZ81" s="3" t="s">
        <v>102</v>
      </c>
      <c r="BA81" s="3" t="s">
        <v>807</v>
      </c>
      <c r="BB81" s="3" t="s">
        <v>858</v>
      </c>
      <c r="BC81" s="3" t="s">
        <v>862</v>
      </c>
      <c r="BD81" s="3" t="s">
        <v>863</v>
      </c>
      <c r="BE81" s="3" t="s">
        <v>864</v>
      </c>
      <c r="BF81" s="3" t="s">
        <v>865</v>
      </c>
      <c r="BG81" s="3">
        <v>174</v>
      </c>
      <c r="BH81" s="3" t="s">
        <v>866</v>
      </c>
      <c r="BO81" s="3">
        <v>97</v>
      </c>
      <c r="BR81" s="3" t="s">
        <v>102</v>
      </c>
      <c r="BS81" s="3" t="s">
        <v>867</v>
      </c>
      <c r="BT81" s="3" t="s">
        <v>868</v>
      </c>
      <c r="BU81" s="6" t="s">
        <v>869</v>
      </c>
      <c r="BV81" s="3" t="s">
        <v>870</v>
      </c>
      <c r="BW81" s="3" t="s">
        <v>146</v>
      </c>
    </row>
    <row r="82" spans="1:75" x14ac:dyDescent="0.35">
      <c r="A82" t="s">
        <v>900</v>
      </c>
      <c r="B82" s="1">
        <v>45988</v>
      </c>
      <c r="C82" s="2">
        <v>0.6661921296296297</v>
      </c>
      <c r="D82" t="s">
        <v>469</v>
      </c>
      <c r="E82" t="s">
        <v>470</v>
      </c>
      <c r="F82" t="s">
        <v>544</v>
      </c>
      <c r="G82">
        <f>COUNTIF($F$2:$F$104,F82)</f>
        <v>2</v>
      </c>
      <c r="H82" t="s">
        <v>545</v>
      </c>
      <c r="I82" t="s">
        <v>493</v>
      </c>
      <c r="J82" t="s">
        <v>83</v>
      </c>
      <c r="K82" t="s">
        <v>84</v>
      </c>
      <c r="M82" t="s">
        <v>85</v>
      </c>
      <c r="N82" t="s">
        <v>121</v>
      </c>
      <c r="O82" t="s">
        <v>87</v>
      </c>
      <c r="P82" t="s">
        <v>88</v>
      </c>
      <c r="Q82" t="s">
        <v>124</v>
      </c>
      <c r="R82" t="s">
        <v>125</v>
      </c>
      <c r="S82" t="s">
        <v>124</v>
      </c>
      <c r="T82" t="s">
        <v>125</v>
      </c>
      <c r="U82" t="s">
        <v>93</v>
      </c>
      <c r="V82" t="s">
        <v>474</v>
      </c>
      <c r="Z82" t="s">
        <v>475</v>
      </c>
      <c r="AA82" t="b">
        <v>0</v>
      </c>
      <c r="AB82" t="b">
        <v>0</v>
      </c>
      <c r="AD82">
        <v>189</v>
      </c>
      <c r="AH82" t="s">
        <v>470</v>
      </c>
      <c r="AI82" t="s">
        <v>901</v>
      </c>
      <c r="AJ82" t="s">
        <v>477</v>
      </c>
      <c r="AK82" t="s">
        <v>902</v>
      </c>
      <c r="AL82" t="s">
        <v>88</v>
      </c>
      <c r="AM82" t="s">
        <v>479</v>
      </c>
      <c r="AN82" t="s">
        <v>100</v>
      </c>
      <c r="AO82">
        <v>1002</v>
      </c>
      <c r="AP82" t="s">
        <v>903</v>
      </c>
      <c r="AQ82" t="s">
        <v>102</v>
      </c>
      <c r="AR82" t="s">
        <v>235</v>
      </c>
      <c r="AS82" t="s">
        <v>549</v>
      </c>
      <c r="AT82" t="s">
        <v>550</v>
      </c>
      <c r="AU82" t="s">
        <v>550</v>
      </c>
      <c r="AX82" t="s">
        <v>551</v>
      </c>
      <c r="AY82" t="s">
        <v>552</v>
      </c>
      <c r="AZ82" t="s">
        <v>102</v>
      </c>
      <c r="BA82" t="s">
        <v>235</v>
      </c>
      <c r="BB82" t="s">
        <v>549</v>
      </c>
      <c r="BC82" t="s">
        <v>550</v>
      </c>
      <c r="BD82" t="s">
        <v>550</v>
      </c>
      <c r="BF82" t="s">
        <v>259</v>
      </c>
      <c r="BG82">
        <v>11426</v>
      </c>
      <c r="BH82" t="s">
        <v>553</v>
      </c>
      <c r="BO82">
        <v>0</v>
      </c>
      <c r="BR82" t="s">
        <v>102</v>
      </c>
      <c r="BS82" t="s">
        <v>554</v>
      </c>
      <c r="BT82" t="s">
        <v>549</v>
      </c>
      <c r="BU82" t="s">
        <v>555</v>
      </c>
      <c r="BV82" t="s">
        <v>556</v>
      </c>
      <c r="BW82" t="s">
        <v>114</v>
      </c>
    </row>
    <row r="83" spans="1:75" x14ac:dyDescent="0.35">
      <c r="A83" t="s">
        <v>904</v>
      </c>
      <c r="B83" s="1">
        <v>45988</v>
      </c>
      <c r="C83" s="2">
        <v>0.66057870370370375</v>
      </c>
      <c r="D83" t="s">
        <v>712</v>
      </c>
      <c r="E83" t="s">
        <v>713</v>
      </c>
      <c r="F83" t="s">
        <v>905</v>
      </c>
      <c r="G83">
        <f>COUNTIF($F$2:$F$104,F83)</f>
        <v>1</v>
      </c>
      <c r="H83" t="s">
        <v>209</v>
      </c>
      <c r="I83" t="s">
        <v>210</v>
      </c>
      <c r="J83" t="s">
        <v>83</v>
      </c>
      <c r="K83" t="s">
        <v>120</v>
      </c>
      <c r="L83">
        <v>50126</v>
      </c>
      <c r="M83" t="s">
        <v>85</v>
      </c>
      <c r="N83" t="s">
        <v>121</v>
      </c>
      <c r="O83" t="s">
        <v>87</v>
      </c>
      <c r="P83" t="s">
        <v>88</v>
      </c>
      <c r="Q83" t="s">
        <v>122</v>
      </c>
      <c r="R83" t="s">
        <v>123</v>
      </c>
      <c r="S83" t="s">
        <v>124</v>
      </c>
      <c r="T83" t="s">
        <v>125</v>
      </c>
      <c r="U83" t="s">
        <v>211</v>
      </c>
      <c r="V83" t="s">
        <v>22</v>
      </c>
      <c r="Y83" t="s">
        <v>95</v>
      </c>
      <c r="Z83" t="s">
        <v>212</v>
      </c>
      <c r="AA83" t="b">
        <v>0</v>
      </c>
      <c r="AB83" t="b">
        <v>0</v>
      </c>
      <c r="AD83">
        <v>221</v>
      </c>
      <c r="AE83" t="s">
        <v>213</v>
      </c>
      <c r="AH83" t="s">
        <v>713</v>
      </c>
      <c r="AJ83" t="s">
        <v>88</v>
      </c>
      <c r="AK83" t="s">
        <v>906</v>
      </c>
      <c r="AL83" t="s">
        <v>88</v>
      </c>
      <c r="AM83" t="s">
        <v>88</v>
      </c>
      <c r="AN83" t="s">
        <v>100</v>
      </c>
      <c r="AP83" t="s">
        <v>907</v>
      </c>
      <c r="AQ83" t="s">
        <v>216</v>
      </c>
      <c r="AT83" t="s">
        <v>217</v>
      </c>
      <c r="AU83" t="s">
        <v>217</v>
      </c>
      <c r="AX83" t="s">
        <v>218</v>
      </c>
      <c r="AY83" t="s">
        <v>219</v>
      </c>
      <c r="AZ83" t="s">
        <v>102</v>
      </c>
      <c r="BA83" t="s">
        <v>138</v>
      </c>
      <c r="BB83" t="s">
        <v>908</v>
      </c>
      <c r="BC83" t="s">
        <v>217</v>
      </c>
      <c r="BD83" t="s">
        <v>796</v>
      </c>
      <c r="BE83" t="s">
        <v>141</v>
      </c>
      <c r="BF83" t="s">
        <v>223</v>
      </c>
      <c r="BG83">
        <v>200927</v>
      </c>
      <c r="BH83" t="s">
        <v>224</v>
      </c>
      <c r="BO83">
        <v>0</v>
      </c>
      <c r="BR83" t="s">
        <v>102</v>
      </c>
      <c r="BS83" t="s">
        <v>909</v>
      </c>
      <c r="BT83" t="s">
        <v>908</v>
      </c>
      <c r="BU83" t="s">
        <v>217</v>
      </c>
      <c r="BW83" t="s">
        <v>146</v>
      </c>
    </row>
    <row r="84" spans="1:75" s="7" customFormat="1" x14ac:dyDescent="0.35">
      <c r="A84" s="7" t="s">
        <v>910</v>
      </c>
      <c r="B84" s="8">
        <v>45988</v>
      </c>
      <c r="C84" s="9">
        <v>0.65277777777777779</v>
      </c>
      <c r="D84" s="7" t="s">
        <v>489</v>
      </c>
      <c r="E84" s="7" t="s">
        <v>490</v>
      </c>
      <c r="F84" s="7" t="s">
        <v>911</v>
      </c>
      <c r="G84" s="7">
        <f>COUNTIF($F$2:$F$104,F84)</f>
        <v>3</v>
      </c>
      <c r="H84" s="7" t="s">
        <v>492</v>
      </c>
      <c r="I84" s="7" t="s">
        <v>493</v>
      </c>
      <c r="J84" s="7" t="s">
        <v>83</v>
      </c>
      <c r="K84" s="7" t="s">
        <v>84</v>
      </c>
      <c r="M84" s="7" t="s">
        <v>85</v>
      </c>
      <c r="N84" s="7" t="s">
        <v>121</v>
      </c>
      <c r="O84" s="7" t="s">
        <v>87</v>
      </c>
      <c r="P84" s="7" t="s">
        <v>494</v>
      </c>
      <c r="Q84" s="7" t="s">
        <v>826</v>
      </c>
      <c r="R84" s="7" t="s">
        <v>827</v>
      </c>
      <c r="S84" s="7" t="s">
        <v>91</v>
      </c>
      <c r="T84" s="7" t="s">
        <v>92</v>
      </c>
      <c r="U84" s="7" t="s">
        <v>93</v>
      </c>
      <c r="V84" s="7" t="s">
        <v>22</v>
      </c>
      <c r="W84" s="7" t="s">
        <v>495</v>
      </c>
      <c r="X84" s="7" t="s">
        <v>94</v>
      </c>
      <c r="Y84" s="7" t="s">
        <v>95</v>
      </c>
      <c r="Z84" s="7" t="s">
        <v>96</v>
      </c>
      <c r="AA84" s="7" t="b">
        <v>0</v>
      </c>
      <c r="AB84" s="7" t="b">
        <v>0</v>
      </c>
      <c r="AC84" s="10" t="s">
        <v>496</v>
      </c>
      <c r="AD84" s="7">
        <v>357</v>
      </c>
      <c r="AI84" s="7" t="s">
        <v>497</v>
      </c>
      <c r="AJ84" s="7" t="s">
        <v>88</v>
      </c>
      <c r="AK84" s="7" t="s">
        <v>912</v>
      </c>
      <c r="AL84" s="7" t="s">
        <v>88</v>
      </c>
      <c r="AM84" s="7" t="s">
        <v>88</v>
      </c>
      <c r="AN84" s="7" t="s">
        <v>499</v>
      </c>
      <c r="AP84" s="7" t="s">
        <v>913</v>
      </c>
      <c r="AQ84" s="7" t="s">
        <v>102</v>
      </c>
      <c r="AR84" s="7" t="s">
        <v>427</v>
      </c>
      <c r="AS84" s="7" t="s">
        <v>505</v>
      </c>
      <c r="AT84" s="7" t="s">
        <v>502</v>
      </c>
      <c r="AU84" s="7" t="s">
        <v>502</v>
      </c>
      <c r="AX84" s="7" t="s">
        <v>503</v>
      </c>
      <c r="AY84" s="7" t="s">
        <v>504</v>
      </c>
      <c r="AZ84" s="7" t="s">
        <v>102</v>
      </c>
      <c r="BA84" s="7" t="s">
        <v>427</v>
      </c>
      <c r="BB84" s="7" t="s">
        <v>505</v>
      </c>
      <c r="BC84" s="7" t="s">
        <v>506</v>
      </c>
      <c r="BD84" s="7" t="s">
        <v>506</v>
      </c>
      <c r="BF84" s="7" t="s">
        <v>507</v>
      </c>
      <c r="BG84" s="7">
        <v>7922</v>
      </c>
      <c r="BH84" s="7" t="s">
        <v>508</v>
      </c>
      <c r="BO84" s="7">
        <v>5</v>
      </c>
      <c r="BR84" s="7" t="s">
        <v>102</v>
      </c>
      <c r="BS84" s="7" t="s">
        <v>509</v>
      </c>
      <c r="BT84" s="7" t="s">
        <v>505</v>
      </c>
      <c r="BU84" s="7" t="s">
        <v>506</v>
      </c>
      <c r="BV84" s="7" t="s">
        <v>506</v>
      </c>
      <c r="BW84" s="7" t="s">
        <v>411</v>
      </c>
    </row>
    <row r="85" spans="1:75" s="7" customFormat="1" x14ac:dyDescent="0.35">
      <c r="A85" s="7" t="s">
        <v>914</v>
      </c>
      <c r="B85" s="8">
        <v>45988</v>
      </c>
      <c r="C85" s="9">
        <v>0.64461805555555551</v>
      </c>
      <c r="D85" s="7" t="s">
        <v>489</v>
      </c>
      <c r="E85" s="7" t="s">
        <v>490</v>
      </c>
      <c r="F85" s="7" t="s">
        <v>911</v>
      </c>
      <c r="G85" s="7">
        <f>COUNTIF($F$2:$F$104,F85)</f>
        <v>3</v>
      </c>
      <c r="H85" s="7" t="s">
        <v>492</v>
      </c>
      <c r="I85" s="7" t="s">
        <v>493</v>
      </c>
      <c r="J85" s="7" t="s">
        <v>83</v>
      </c>
      <c r="K85" s="7" t="s">
        <v>84</v>
      </c>
      <c r="M85" s="7" t="s">
        <v>85</v>
      </c>
      <c r="N85" s="7" t="s">
        <v>121</v>
      </c>
      <c r="O85" s="7" t="s">
        <v>87</v>
      </c>
      <c r="P85" s="7" t="s">
        <v>494</v>
      </c>
      <c r="Q85" s="7" t="s">
        <v>826</v>
      </c>
      <c r="R85" s="7" t="s">
        <v>827</v>
      </c>
      <c r="S85" s="7" t="s">
        <v>91</v>
      </c>
      <c r="T85" s="7" t="s">
        <v>92</v>
      </c>
      <c r="U85" s="7" t="s">
        <v>93</v>
      </c>
      <c r="V85" s="7" t="s">
        <v>22</v>
      </c>
      <c r="W85" s="7" t="s">
        <v>495</v>
      </c>
      <c r="X85" s="7" t="s">
        <v>94</v>
      </c>
      <c r="Y85" s="7" t="s">
        <v>95</v>
      </c>
      <c r="Z85" s="7" t="s">
        <v>96</v>
      </c>
      <c r="AA85" s="7" t="b">
        <v>0</v>
      </c>
      <c r="AB85" s="7" t="b">
        <v>0</v>
      </c>
      <c r="AC85" s="10" t="s">
        <v>496</v>
      </c>
      <c r="AD85" s="7">
        <v>639</v>
      </c>
      <c r="AI85" s="7" t="s">
        <v>497</v>
      </c>
      <c r="AJ85" s="7" t="s">
        <v>88</v>
      </c>
      <c r="AK85" s="7" t="s">
        <v>915</v>
      </c>
      <c r="AL85" s="7" t="s">
        <v>88</v>
      </c>
      <c r="AM85" s="7" t="s">
        <v>88</v>
      </c>
      <c r="AN85" s="7" t="s">
        <v>499</v>
      </c>
      <c r="AP85" s="7" t="s">
        <v>916</v>
      </c>
      <c r="AQ85" s="7" t="s">
        <v>102</v>
      </c>
      <c r="AR85" s="7" t="s">
        <v>427</v>
      </c>
      <c r="AS85" s="7" t="s">
        <v>505</v>
      </c>
      <c r="AT85" s="7" t="s">
        <v>502</v>
      </c>
      <c r="AU85" s="7" t="s">
        <v>502</v>
      </c>
      <c r="AX85" s="7" t="s">
        <v>503</v>
      </c>
      <c r="AY85" s="7" t="s">
        <v>504</v>
      </c>
      <c r="AZ85" s="7" t="s">
        <v>102</v>
      </c>
      <c r="BA85" s="7" t="s">
        <v>427</v>
      </c>
      <c r="BB85" s="7" t="s">
        <v>505</v>
      </c>
      <c r="BC85" s="7" t="s">
        <v>506</v>
      </c>
      <c r="BD85" s="7" t="s">
        <v>506</v>
      </c>
      <c r="BF85" s="7" t="s">
        <v>507</v>
      </c>
      <c r="BG85" s="7">
        <v>7922</v>
      </c>
      <c r="BH85" s="7" t="s">
        <v>508</v>
      </c>
      <c r="BO85" s="7">
        <v>5</v>
      </c>
      <c r="BR85" s="7" t="s">
        <v>102</v>
      </c>
      <c r="BS85" s="7" t="s">
        <v>509</v>
      </c>
      <c r="BT85" s="7" t="s">
        <v>505</v>
      </c>
      <c r="BU85" s="7" t="s">
        <v>506</v>
      </c>
      <c r="BV85" s="7" t="s">
        <v>506</v>
      </c>
      <c r="BW85" s="7" t="s">
        <v>411</v>
      </c>
    </row>
    <row r="86" spans="1:75" s="7" customFormat="1" x14ac:dyDescent="0.35">
      <c r="A86" s="7" t="s">
        <v>917</v>
      </c>
      <c r="B86" s="8">
        <v>45988</v>
      </c>
      <c r="C86" s="9">
        <v>0.64307870370370368</v>
      </c>
      <c r="D86" s="7" t="s">
        <v>489</v>
      </c>
      <c r="E86" s="7" t="s">
        <v>490</v>
      </c>
      <c r="F86" s="7" t="s">
        <v>911</v>
      </c>
      <c r="G86" s="7">
        <f>COUNTIF($F$2:$F$104,F86)</f>
        <v>3</v>
      </c>
      <c r="H86" s="7" t="s">
        <v>492</v>
      </c>
      <c r="I86" s="7" t="s">
        <v>493</v>
      </c>
      <c r="J86" s="7" t="s">
        <v>83</v>
      </c>
      <c r="K86" s="7" t="s">
        <v>84</v>
      </c>
      <c r="M86" s="7" t="s">
        <v>85</v>
      </c>
      <c r="N86" s="7" t="s">
        <v>121</v>
      </c>
      <c r="O86" s="7" t="s">
        <v>87</v>
      </c>
      <c r="P86" s="7" t="s">
        <v>494</v>
      </c>
      <c r="Q86" s="7" t="s">
        <v>122</v>
      </c>
      <c r="R86" s="7" t="s">
        <v>123</v>
      </c>
      <c r="S86" s="7" t="s">
        <v>124</v>
      </c>
      <c r="T86" s="7" t="s">
        <v>125</v>
      </c>
      <c r="U86" s="7" t="s">
        <v>93</v>
      </c>
      <c r="V86" s="7" t="s">
        <v>22</v>
      </c>
      <c r="W86" s="7" t="s">
        <v>495</v>
      </c>
      <c r="X86" s="7" t="s">
        <v>94</v>
      </c>
      <c r="Y86" s="7" t="s">
        <v>95</v>
      </c>
      <c r="Z86" s="7" t="s">
        <v>96</v>
      </c>
      <c r="AA86" s="7" t="b">
        <v>0</v>
      </c>
      <c r="AB86" s="7" t="b">
        <v>0</v>
      </c>
      <c r="AC86" s="10" t="s">
        <v>496</v>
      </c>
      <c r="AD86" s="7">
        <v>189</v>
      </c>
      <c r="AI86" s="7" t="s">
        <v>497</v>
      </c>
      <c r="AJ86" s="7" t="s">
        <v>88</v>
      </c>
      <c r="AK86" s="7" t="s">
        <v>918</v>
      </c>
      <c r="AL86" s="7" t="s">
        <v>88</v>
      </c>
      <c r="AM86" s="7" t="s">
        <v>88</v>
      </c>
      <c r="AN86" s="7" t="s">
        <v>499</v>
      </c>
      <c r="AP86" s="7" t="s">
        <v>919</v>
      </c>
      <c r="AQ86" s="7" t="s">
        <v>102</v>
      </c>
      <c r="AR86" s="7" t="s">
        <v>427</v>
      </c>
      <c r="AS86" s="7" t="s">
        <v>505</v>
      </c>
      <c r="AT86" s="7" t="s">
        <v>502</v>
      </c>
      <c r="AU86" s="7" t="s">
        <v>502</v>
      </c>
      <c r="AX86" s="7" t="s">
        <v>503</v>
      </c>
      <c r="AY86" s="7" t="s">
        <v>504</v>
      </c>
      <c r="AZ86" s="7" t="s">
        <v>102</v>
      </c>
      <c r="BA86" s="7" t="s">
        <v>427</v>
      </c>
      <c r="BB86" s="7" t="s">
        <v>505</v>
      </c>
      <c r="BC86" s="7" t="s">
        <v>506</v>
      </c>
      <c r="BD86" s="7" t="s">
        <v>506</v>
      </c>
      <c r="BF86" s="7" t="s">
        <v>507</v>
      </c>
      <c r="BG86" s="7">
        <v>7922</v>
      </c>
      <c r="BH86" s="7" t="s">
        <v>508</v>
      </c>
      <c r="BO86" s="7">
        <v>5</v>
      </c>
      <c r="BR86" s="7" t="s">
        <v>102</v>
      </c>
      <c r="BS86" s="7" t="s">
        <v>509</v>
      </c>
      <c r="BT86" s="7" t="s">
        <v>505</v>
      </c>
      <c r="BU86" s="7" t="s">
        <v>506</v>
      </c>
      <c r="BV86" s="7" t="s">
        <v>506</v>
      </c>
      <c r="BW86" s="7" t="s">
        <v>411</v>
      </c>
    </row>
    <row r="87" spans="1:75" x14ac:dyDescent="0.35">
      <c r="A87" t="s">
        <v>920</v>
      </c>
      <c r="B87" s="1">
        <v>45988</v>
      </c>
      <c r="C87" s="2">
        <v>0.62943287037037032</v>
      </c>
      <c r="D87" t="s">
        <v>206</v>
      </c>
      <c r="E87" t="s">
        <v>207</v>
      </c>
      <c r="F87" t="s">
        <v>921</v>
      </c>
      <c r="G87">
        <f>COUNTIF($F$2:$F$104,F87)</f>
        <v>1</v>
      </c>
      <c r="H87" t="s">
        <v>563</v>
      </c>
      <c r="I87" t="s">
        <v>493</v>
      </c>
      <c r="J87" t="s">
        <v>83</v>
      </c>
      <c r="K87" t="s">
        <v>84</v>
      </c>
      <c r="M87" t="s">
        <v>85</v>
      </c>
      <c r="N87" t="s">
        <v>121</v>
      </c>
      <c r="O87" t="s">
        <v>87</v>
      </c>
      <c r="P87" t="s">
        <v>88</v>
      </c>
      <c r="Q87" t="s">
        <v>122</v>
      </c>
      <c r="R87" t="s">
        <v>123</v>
      </c>
      <c r="S87" t="s">
        <v>124</v>
      </c>
      <c r="T87" t="s">
        <v>125</v>
      </c>
      <c r="U87" t="s">
        <v>93</v>
      </c>
      <c r="V87" t="s">
        <v>22</v>
      </c>
      <c r="X87" t="s">
        <v>229</v>
      </c>
      <c r="Y87" t="s">
        <v>230</v>
      </c>
      <c r="Z87" t="s">
        <v>231</v>
      </c>
      <c r="AA87" t="b">
        <v>0</v>
      </c>
      <c r="AB87" t="b">
        <v>0</v>
      </c>
      <c r="AD87">
        <v>112</v>
      </c>
      <c r="AI87" t="s">
        <v>232</v>
      </c>
      <c r="AJ87" t="s">
        <v>88</v>
      </c>
      <c r="AK87" t="s">
        <v>922</v>
      </c>
      <c r="AL87" t="s">
        <v>88</v>
      </c>
      <c r="AM87" t="s">
        <v>88</v>
      </c>
      <c r="AN87" t="s">
        <v>100</v>
      </c>
      <c r="AO87">
        <v>1002</v>
      </c>
      <c r="AP87" t="s">
        <v>923</v>
      </c>
      <c r="AQ87" t="s">
        <v>102</v>
      </c>
      <c r="AR87" t="s">
        <v>427</v>
      </c>
      <c r="AS87" t="s">
        <v>570</v>
      </c>
      <c r="AT87" t="s">
        <v>502</v>
      </c>
      <c r="AU87" t="s">
        <v>502</v>
      </c>
      <c r="AX87" t="s">
        <v>503</v>
      </c>
      <c r="AY87" t="s">
        <v>504</v>
      </c>
      <c r="AZ87" t="s">
        <v>102</v>
      </c>
      <c r="BA87" t="s">
        <v>427</v>
      </c>
      <c r="BB87" t="s">
        <v>924</v>
      </c>
      <c r="BC87" t="s">
        <v>506</v>
      </c>
      <c r="BD87" t="s">
        <v>506</v>
      </c>
      <c r="BF87" t="s">
        <v>507</v>
      </c>
      <c r="BG87">
        <v>7922</v>
      </c>
      <c r="BH87" t="s">
        <v>508</v>
      </c>
      <c r="BO87">
        <v>5</v>
      </c>
      <c r="BR87" t="s">
        <v>102</v>
      </c>
      <c r="BS87" t="s">
        <v>569</v>
      </c>
      <c r="BT87" t="s">
        <v>570</v>
      </c>
      <c r="BU87" t="s">
        <v>506</v>
      </c>
      <c r="BV87" t="s">
        <v>506</v>
      </c>
      <c r="BW87" t="s">
        <v>411</v>
      </c>
    </row>
    <row r="88" spans="1:75" x14ac:dyDescent="0.35">
      <c r="A88" t="s">
        <v>925</v>
      </c>
      <c r="B88" s="1">
        <v>45988</v>
      </c>
      <c r="C88" s="2">
        <v>0.60702546296296289</v>
      </c>
      <c r="D88" t="s">
        <v>469</v>
      </c>
      <c r="E88" t="s">
        <v>470</v>
      </c>
      <c r="F88" t="s">
        <v>471</v>
      </c>
      <c r="G88">
        <f>COUNTIF($F$2:$F$104,F88)</f>
        <v>5</v>
      </c>
      <c r="H88" t="s">
        <v>472</v>
      </c>
      <c r="I88" t="s">
        <v>473</v>
      </c>
      <c r="J88" t="s">
        <v>83</v>
      </c>
      <c r="K88" t="s">
        <v>84</v>
      </c>
      <c r="M88" t="s">
        <v>85</v>
      </c>
      <c r="N88" t="s">
        <v>121</v>
      </c>
      <c r="O88" t="s">
        <v>87</v>
      </c>
      <c r="P88" t="s">
        <v>88</v>
      </c>
      <c r="Q88" t="s">
        <v>124</v>
      </c>
      <c r="R88" t="s">
        <v>125</v>
      </c>
      <c r="S88" t="s">
        <v>124</v>
      </c>
      <c r="T88" t="s">
        <v>125</v>
      </c>
      <c r="U88" t="s">
        <v>93</v>
      </c>
      <c r="V88" t="s">
        <v>474</v>
      </c>
      <c r="Z88" t="s">
        <v>475</v>
      </c>
      <c r="AA88" t="b">
        <v>0</v>
      </c>
      <c r="AB88" t="b">
        <v>0</v>
      </c>
      <c r="AD88">
        <v>150</v>
      </c>
      <c r="AH88" t="s">
        <v>470</v>
      </c>
      <c r="AI88" t="s">
        <v>926</v>
      </c>
      <c r="AJ88" t="s">
        <v>477</v>
      </c>
      <c r="AK88" t="s">
        <v>927</v>
      </c>
      <c r="AL88" t="s">
        <v>88</v>
      </c>
      <c r="AM88" t="s">
        <v>479</v>
      </c>
      <c r="AN88" t="s">
        <v>100</v>
      </c>
      <c r="AO88">
        <v>1002</v>
      </c>
      <c r="AP88" t="s">
        <v>928</v>
      </c>
      <c r="AQ88" t="s">
        <v>102</v>
      </c>
      <c r="AR88" t="s">
        <v>103</v>
      </c>
      <c r="AS88" t="s">
        <v>481</v>
      </c>
      <c r="AT88" t="s">
        <v>105</v>
      </c>
      <c r="AU88" t="s">
        <v>105</v>
      </c>
      <c r="AX88" t="s">
        <v>106</v>
      </c>
      <c r="AY88" t="s">
        <v>482</v>
      </c>
      <c r="AZ88" t="s">
        <v>102</v>
      </c>
      <c r="BA88" t="s">
        <v>483</v>
      </c>
      <c r="BB88" t="s">
        <v>484</v>
      </c>
      <c r="BC88" t="s">
        <v>108</v>
      </c>
      <c r="BD88" t="s">
        <v>485</v>
      </c>
      <c r="BF88" t="s">
        <v>109</v>
      </c>
      <c r="BG88">
        <v>7018</v>
      </c>
      <c r="BH88" t="s">
        <v>486</v>
      </c>
      <c r="BO88">
        <v>3</v>
      </c>
      <c r="BR88" t="s">
        <v>102</v>
      </c>
      <c r="BS88" t="s">
        <v>220</v>
      </c>
      <c r="BT88" t="s">
        <v>220</v>
      </c>
      <c r="BU88" t="s">
        <v>108</v>
      </c>
      <c r="BV88" t="s">
        <v>487</v>
      </c>
      <c r="BW88" t="s">
        <v>114</v>
      </c>
    </row>
    <row r="89" spans="1:75" x14ac:dyDescent="0.35">
      <c r="A89" t="s">
        <v>929</v>
      </c>
      <c r="B89" s="1">
        <v>45988</v>
      </c>
      <c r="C89" s="2">
        <v>0.44878472222222227</v>
      </c>
      <c r="D89" t="s">
        <v>306</v>
      </c>
      <c r="E89" t="s">
        <v>307</v>
      </c>
      <c r="F89" t="s">
        <v>930</v>
      </c>
      <c r="G89">
        <f>COUNTIF($F$2:$F$104,F89)</f>
        <v>1</v>
      </c>
      <c r="H89" t="s">
        <v>931</v>
      </c>
      <c r="I89" t="s">
        <v>932</v>
      </c>
      <c r="J89" t="s">
        <v>933</v>
      </c>
      <c r="K89" t="s">
        <v>120</v>
      </c>
      <c r="L89">
        <v>50053</v>
      </c>
      <c r="M89" t="s">
        <v>85</v>
      </c>
      <c r="N89" t="s">
        <v>121</v>
      </c>
      <c r="O89" t="s">
        <v>87</v>
      </c>
      <c r="P89" t="s">
        <v>88</v>
      </c>
      <c r="Q89" t="s">
        <v>171</v>
      </c>
      <c r="R89" t="s">
        <v>172</v>
      </c>
      <c r="S89" t="s">
        <v>171</v>
      </c>
      <c r="T89" t="s">
        <v>172</v>
      </c>
      <c r="U89" t="s">
        <v>312</v>
      </c>
      <c r="V89" t="s">
        <v>22</v>
      </c>
      <c r="X89" t="s">
        <v>251</v>
      </c>
      <c r="Y89" t="s">
        <v>95</v>
      </c>
      <c r="Z89" t="s">
        <v>252</v>
      </c>
      <c r="AA89" t="b">
        <v>0</v>
      </c>
      <c r="AB89" t="b">
        <v>0</v>
      </c>
      <c r="AD89">
        <v>209</v>
      </c>
      <c r="AE89" t="s">
        <v>313</v>
      </c>
      <c r="AH89" t="s">
        <v>307</v>
      </c>
      <c r="AJ89" t="s">
        <v>88</v>
      </c>
      <c r="AK89" t="s">
        <v>934</v>
      </c>
      <c r="AL89" t="s">
        <v>88</v>
      </c>
      <c r="AM89" t="s">
        <v>88</v>
      </c>
      <c r="AN89" t="s">
        <v>100</v>
      </c>
      <c r="AP89" t="s">
        <v>935</v>
      </c>
      <c r="AQ89" t="s">
        <v>936</v>
      </c>
      <c r="AR89" t="s">
        <v>937</v>
      </c>
      <c r="AS89" t="s">
        <v>938</v>
      </c>
      <c r="AT89" t="s">
        <v>939</v>
      </c>
      <c r="AU89" t="s">
        <v>939</v>
      </c>
      <c r="AX89" t="s">
        <v>940</v>
      </c>
      <c r="AY89" t="s">
        <v>941</v>
      </c>
      <c r="AZ89" t="s">
        <v>936</v>
      </c>
      <c r="BA89" t="s">
        <v>937</v>
      </c>
      <c r="BB89" t="s">
        <v>942</v>
      </c>
      <c r="BC89" t="s">
        <v>943</v>
      </c>
      <c r="BD89" t="s">
        <v>943</v>
      </c>
      <c r="BF89" t="s">
        <v>944</v>
      </c>
      <c r="BG89">
        <v>28051</v>
      </c>
      <c r="BH89" t="s">
        <v>945</v>
      </c>
      <c r="BO89">
        <v>0</v>
      </c>
      <c r="BR89" t="s">
        <v>936</v>
      </c>
      <c r="BS89" t="s">
        <v>946</v>
      </c>
      <c r="BT89" t="s">
        <v>942</v>
      </c>
      <c r="BU89" t="s">
        <v>947</v>
      </c>
      <c r="BV89" t="s">
        <v>947</v>
      </c>
      <c r="BW89" t="s">
        <v>411</v>
      </c>
    </row>
    <row r="90" spans="1:75" x14ac:dyDescent="0.35">
      <c r="A90" t="s">
        <v>948</v>
      </c>
      <c r="B90" s="1">
        <v>45988</v>
      </c>
      <c r="C90" s="2">
        <v>0.3147800925925926</v>
      </c>
      <c r="D90" t="s">
        <v>511</v>
      </c>
      <c r="E90" t="s">
        <v>512</v>
      </c>
      <c r="F90" t="s">
        <v>949</v>
      </c>
      <c r="G90">
        <f>COUNTIF($F$2:$F$104,F90)</f>
        <v>1</v>
      </c>
      <c r="H90" t="s">
        <v>209</v>
      </c>
      <c r="I90" t="s">
        <v>210</v>
      </c>
      <c r="J90" t="s">
        <v>83</v>
      </c>
      <c r="K90" t="s">
        <v>120</v>
      </c>
      <c r="L90">
        <v>50126</v>
      </c>
      <c r="M90" t="s">
        <v>85</v>
      </c>
      <c r="N90" t="s">
        <v>121</v>
      </c>
      <c r="O90" t="s">
        <v>87</v>
      </c>
      <c r="P90" t="s">
        <v>88</v>
      </c>
      <c r="Q90" t="s">
        <v>122</v>
      </c>
      <c r="R90" t="s">
        <v>123</v>
      </c>
      <c r="S90" t="s">
        <v>124</v>
      </c>
      <c r="T90" t="s">
        <v>125</v>
      </c>
      <c r="U90" t="s">
        <v>211</v>
      </c>
      <c r="V90" t="s">
        <v>22</v>
      </c>
      <c r="Y90" t="s">
        <v>95</v>
      </c>
      <c r="Z90" t="s">
        <v>212</v>
      </c>
      <c r="AA90" t="b">
        <v>0</v>
      </c>
      <c r="AB90" t="b">
        <v>0</v>
      </c>
      <c r="AD90">
        <v>315</v>
      </c>
      <c r="AE90" t="s">
        <v>213</v>
      </c>
      <c r="AH90" t="s">
        <v>512</v>
      </c>
      <c r="AJ90" t="s">
        <v>88</v>
      </c>
      <c r="AK90" t="s">
        <v>950</v>
      </c>
      <c r="AL90" t="s">
        <v>88</v>
      </c>
      <c r="AM90" t="s">
        <v>88</v>
      </c>
      <c r="AN90" t="s">
        <v>100</v>
      </c>
      <c r="AP90" t="s">
        <v>951</v>
      </c>
      <c r="AQ90" t="s">
        <v>216</v>
      </c>
      <c r="AT90" t="s">
        <v>217</v>
      </c>
      <c r="AU90" t="s">
        <v>217</v>
      </c>
      <c r="AX90" t="s">
        <v>218</v>
      </c>
      <c r="AY90" t="s">
        <v>219</v>
      </c>
      <c r="AZ90" t="s">
        <v>102</v>
      </c>
      <c r="BA90" t="s">
        <v>952</v>
      </c>
      <c r="BB90" t="s">
        <v>953</v>
      </c>
      <c r="BC90" t="s">
        <v>217</v>
      </c>
      <c r="BD90" t="s">
        <v>954</v>
      </c>
      <c r="BE90" t="s">
        <v>141</v>
      </c>
      <c r="BF90" t="s">
        <v>223</v>
      </c>
      <c r="BG90">
        <v>200927</v>
      </c>
      <c r="BH90" t="s">
        <v>224</v>
      </c>
      <c r="BO90">
        <v>0</v>
      </c>
      <c r="BR90" t="s">
        <v>102</v>
      </c>
      <c r="BS90" t="s">
        <v>955</v>
      </c>
      <c r="BT90" t="s">
        <v>953</v>
      </c>
      <c r="BU90" t="s">
        <v>217</v>
      </c>
      <c r="BW90" t="s">
        <v>146</v>
      </c>
    </row>
    <row r="91" spans="1:75" x14ac:dyDescent="0.35">
      <c r="A91" t="s">
        <v>956</v>
      </c>
      <c r="B91" s="1">
        <v>45988</v>
      </c>
      <c r="C91" s="2">
        <v>0.20015046296296299</v>
      </c>
      <c r="D91" t="s">
        <v>511</v>
      </c>
      <c r="E91" t="s">
        <v>512</v>
      </c>
      <c r="F91" t="s">
        <v>957</v>
      </c>
      <c r="G91">
        <f>COUNTIF($F$2:$F$104,F91)</f>
        <v>1</v>
      </c>
      <c r="H91" t="s">
        <v>958</v>
      </c>
      <c r="I91" t="s">
        <v>959</v>
      </c>
      <c r="J91" t="s">
        <v>83</v>
      </c>
      <c r="K91" t="s">
        <v>120</v>
      </c>
      <c r="L91">
        <v>50053</v>
      </c>
      <c r="M91" t="s">
        <v>85</v>
      </c>
      <c r="N91" t="s">
        <v>121</v>
      </c>
      <c r="O91" t="s">
        <v>87</v>
      </c>
      <c r="P91" t="s">
        <v>88</v>
      </c>
      <c r="Q91" t="s">
        <v>124</v>
      </c>
      <c r="R91" t="s">
        <v>125</v>
      </c>
      <c r="S91" t="s">
        <v>124</v>
      </c>
      <c r="T91" t="s">
        <v>125</v>
      </c>
      <c r="U91" t="s">
        <v>334</v>
      </c>
      <c r="V91" t="s">
        <v>474</v>
      </c>
      <c r="Z91" t="s">
        <v>475</v>
      </c>
      <c r="AA91" t="b">
        <v>0</v>
      </c>
      <c r="AB91" t="b">
        <v>0</v>
      </c>
      <c r="AD91">
        <v>76</v>
      </c>
      <c r="AH91" t="s">
        <v>512</v>
      </c>
      <c r="AJ91" t="s">
        <v>88</v>
      </c>
      <c r="AK91" t="s">
        <v>960</v>
      </c>
      <c r="AL91" t="s">
        <v>88</v>
      </c>
      <c r="AM91" t="s">
        <v>479</v>
      </c>
      <c r="AN91" t="s">
        <v>100</v>
      </c>
      <c r="AP91" t="s">
        <v>961</v>
      </c>
      <c r="AQ91" t="s">
        <v>102</v>
      </c>
      <c r="AR91" t="s">
        <v>138</v>
      </c>
      <c r="AS91" t="s">
        <v>962</v>
      </c>
      <c r="AT91" t="s">
        <v>502</v>
      </c>
      <c r="AU91" t="s">
        <v>502</v>
      </c>
      <c r="AX91" t="s">
        <v>503</v>
      </c>
      <c r="AY91" t="s">
        <v>963</v>
      </c>
      <c r="AZ91" t="s">
        <v>102</v>
      </c>
      <c r="BA91" t="s">
        <v>964</v>
      </c>
      <c r="BB91" t="s">
        <v>965</v>
      </c>
      <c r="BC91" t="s">
        <v>506</v>
      </c>
      <c r="BD91" t="s">
        <v>523</v>
      </c>
      <c r="BF91" t="s">
        <v>507</v>
      </c>
      <c r="BG91">
        <v>7922</v>
      </c>
      <c r="BH91" t="s">
        <v>524</v>
      </c>
      <c r="BO91">
        <v>16</v>
      </c>
      <c r="BR91" t="s">
        <v>102</v>
      </c>
      <c r="BS91" t="s">
        <v>966</v>
      </c>
      <c r="BT91" t="s">
        <v>965</v>
      </c>
      <c r="BU91" t="s">
        <v>526</v>
      </c>
      <c r="BV91" t="s">
        <v>523</v>
      </c>
      <c r="BW91" t="s">
        <v>411</v>
      </c>
    </row>
    <row r="92" spans="1:75" x14ac:dyDescent="0.35">
      <c r="A92" t="s">
        <v>967</v>
      </c>
      <c r="B92" s="1">
        <v>45987</v>
      </c>
      <c r="C92" s="2">
        <v>0.90680555555555553</v>
      </c>
      <c r="D92" t="s">
        <v>511</v>
      </c>
      <c r="E92" t="s">
        <v>512</v>
      </c>
      <c r="F92" t="s">
        <v>968</v>
      </c>
      <c r="G92">
        <f>COUNTIF($F$2:$F$104,F92)</f>
        <v>1</v>
      </c>
      <c r="H92" t="s">
        <v>969</v>
      </c>
      <c r="I92" t="s">
        <v>250</v>
      </c>
      <c r="J92" t="s">
        <v>83</v>
      </c>
      <c r="K92" t="s">
        <v>120</v>
      </c>
      <c r="L92">
        <v>50053</v>
      </c>
      <c r="M92" t="s">
        <v>85</v>
      </c>
      <c r="N92" t="s">
        <v>121</v>
      </c>
      <c r="O92" t="s">
        <v>87</v>
      </c>
      <c r="P92" t="s">
        <v>88</v>
      </c>
      <c r="Q92" t="s">
        <v>124</v>
      </c>
      <c r="R92" t="s">
        <v>125</v>
      </c>
      <c r="S92" t="s">
        <v>124</v>
      </c>
      <c r="T92" t="s">
        <v>125</v>
      </c>
      <c r="U92" t="s">
        <v>334</v>
      </c>
      <c r="V92" t="s">
        <v>474</v>
      </c>
      <c r="Z92" t="s">
        <v>475</v>
      </c>
      <c r="AA92" t="b">
        <v>0</v>
      </c>
      <c r="AB92" t="b">
        <v>0</v>
      </c>
      <c r="AD92">
        <v>103</v>
      </c>
      <c r="AH92" t="s">
        <v>512</v>
      </c>
      <c r="AJ92" t="s">
        <v>88</v>
      </c>
      <c r="AK92" t="s">
        <v>970</v>
      </c>
      <c r="AL92" t="s">
        <v>88</v>
      </c>
      <c r="AM92" t="s">
        <v>479</v>
      </c>
      <c r="AN92" t="s">
        <v>100</v>
      </c>
      <c r="AP92" t="s">
        <v>971</v>
      </c>
      <c r="AQ92" t="s">
        <v>102</v>
      </c>
      <c r="AR92" t="s">
        <v>972</v>
      </c>
      <c r="AS92" t="s">
        <v>973</v>
      </c>
      <c r="AT92" t="s">
        <v>502</v>
      </c>
      <c r="AU92" t="s">
        <v>502</v>
      </c>
      <c r="AX92" t="s">
        <v>503</v>
      </c>
      <c r="AY92" t="s">
        <v>974</v>
      </c>
      <c r="AZ92" t="s">
        <v>102</v>
      </c>
      <c r="BA92" t="s">
        <v>972</v>
      </c>
      <c r="BB92" t="s">
        <v>975</v>
      </c>
      <c r="BC92" t="s">
        <v>506</v>
      </c>
      <c r="BD92" t="s">
        <v>506</v>
      </c>
      <c r="BF92" t="s">
        <v>507</v>
      </c>
      <c r="BG92">
        <v>7922</v>
      </c>
      <c r="BH92" t="s">
        <v>524</v>
      </c>
      <c r="BO92">
        <v>15</v>
      </c>
      <c r="BR92" t="s">
        <v>102</v>
      </c>
      <c r="BS92" t="s">
        <v>976</v>
      </c>
      <c r="BT92" t="s">
        <v>977</v>
      </c>
      <c r="BU92" t="s">
        <v>506</v>
      </c>
      <c r="BV92" t="s">
        <v>978</v>
      </c>
      <c r="BW92" t="s">
        <v>411</v>
      </c>
    </row>
    <row r="93" spans="1:75" x14ac:dyDescent="0.35">
      <c r="A93" t="s">
        <v>979</v>
      </c>
      <c r="B93" s="1">
        <v>45987</v>
      </c>
      <c r="C93" s="2">
        <v>0.8409375</v>
      </c>
      <c r="D93" t="s">
        <v>306</v>
      </c>
      <c r="E93" t="s">
        <v>307</v>
      </c>
      <c r="F93" t="s">
        <v>980</v>
      </c>
      <c r="G93">
        <f>COUNTIF($F$2:$F$104,F93)</f>
        <v>1</v>
      </c>
      <c r="H93" t="s">
        <v>776</v>
      </c>
      <c r="I93" t="s">
        <v>777</v>
      </c>
      <c r="J93" t="s">
        <v>778</v>
      </c>
      <c r="K93" t="s">
        <v>120</v>
      </c>
      <c r="L93">
        <v>50126</v>
      </c>
      <c r="M93" t="s">
        <v>85</v>
      </c>
      <c r="N93" t="s">
        <v>121</v>
      </c>
      <c r="O93" t="s">
        <v>87</v>
      </c>
      <c r="P93" t="s">
        <v>88</v>
      </c>
      <c r="Q93" t="s">
        <v>171</v>
      </c>
      <c r="R93" t="s">
        <v>172</v>
      </c>
      <c r="S93" t="s">
        <v>171</v>
      </c>
      <c r="T93" t="s">
        <v>172</v>
      </c>
      <c r="U93" t="s">
        <v>211</v>
      </c>
      <c r="V93" t="s">
        <v>22</v>
      </c>
      <c r="X93" t="s">
        <v>251</v>
      </c>
      <c r="Y93" t="s">
        <v>95</v>
      </c>
      <c r="Z93" t="s">
        <v>252</v>
      </c>
      <c r="AA93" t="b">
        <v>0</v>
      </c>
      <c r="AB93" t="b">
        <v>0</v>
      </c>
      <c r="AD93">
        <v>171</v>
      </c>
      <c r="AE93" t="s">
        <v>213</v>
      </c>
      <c r="AH93" t="s">
        <v>307</v>
      </c>
      <c r="AJ93" t="s">
        <v>88</v>
      </c>
      <c r="AK93" t="s">
        <v>981</v>
      </c>
      <c r="AL93" t="s">
        <v>88</v>
      </c>
      <c r="AM93" t="s">
        <v>88</v>
      </c>
      <c r="AN93" t="s">
        <v>100</v>
      </c>
      <c r="AP93" t="s">
        <v>982</v>
      </c>
      <c r="AQ93" t="s">
        <v>781</v>
      </c>
      <c r="AT93" t="s">
        <v>782</v>
      </c>
      <c r="AU93" t="s">
        <v>782</v>
      </c>
      <c r="AX93" t="s">
        <v>783</v>
      </c>
      <c r="AY93" t="s">
        <v>784</v>
      </c>
      <c r="AZ93" t="s">
        <v>781</v>
      </c>
      <c r="BA93" t="s">
        <v>785</v>
      </c>
      <c r="BB93" t="s">
        <v>786</v>
      </c>
      <c r="BC93" t="s">
        <v>782</v>
      </c>
      <c r="BD93" t="s">
        <v>782</v>
      </c>
      <c r="BE93" t="s">
        <v>983</v>
      </c>
      <c r="BF93" t="s">
        <v>787</v>
      </c>
      <c r="BG93">
        <v>216067</v>
      </c>
      <c r="BH93" t="s">
        <v>788</v>
      </c>
      <c r="BO93">
        <v>0</v>
      </c>
      <c r="BR93" t="s">
        <v>781</v>
      </c>
      <c r="BS93" t="s">
        <v>789</v>
      </c>
      <c r="BT93" t="s">
        <v>790</v>
      </c>
      <c r="BU93" t="s">
        <v>782</v>
      </c>
      <c r="BV93" t="s">
        <v>782</v>
      </c>
      <c r="BW93" t="s">
        <v>114</v>
      </c>
    </row>
    <row r="94" spans="1:75" x14ac:dyDescent="0.35">
      <c r="A94" t="s">
        <v>984</v>
      </c>
      <c r="B94" s="1">
        <v>45987</v>
      </c>
      <c r="C94" s="2">
        <v>0.81747685185185182</v>
      </c>
      <c r="D94" t="s">
        <v>511</v>
      </c>
      <c r="E94" t="s">
        <v>512</v>
      </c>
      <c r="F94" t="s">
        <v>985</v>
      </c>
      <c r="G94">
        <f>COUNTIF($F$2:$F$104,F94)</f>
        <v>1</v>
      </c>
      <c r="H94" t="s">
        <v>986</v>
      </c>
      <c r="I94" t="s">
        <v>987</v>
      </c>
      <c r="J94" t="s">
        <v>83</v>
      </c>
      <c r="K94" t="s">
        <v>120</v>
      </c>
      <c r="L94">
        <v>50053</v>
      </c>
      <c r="M94" t="s">
        <v>85</v>
      </c>
      <c r="N94" t="s">
        <v>121</v>
      </c>
      <c r="O94" t="s">
        <v>87</v>
      </c>
      <c r="P94" t="s">
        <v>88</v>
      </c>
      <c r="Q94" t="s">
        <v>124</v>
      </c>
      <c r="R94" t="s">
        <v>125</v>
      </c>
      <c r="S94" t="s">
        <v>124</v>
      </c>
      <c r="T94" t="s">
        <v>125</v>
      </c>
      <c r="U94" t="s">
        <v>334</v>
      </c>
      <c r="V94" t="s">
        <v>474</v>
      </c>
      <c r="Z94" t="s">
        <v>475</v>
      </c>
      <c r="AA94" t="b">
        <v>0</v>
      </c>
      <c r="AB94" t="b">
        <v>0</v>
      </c>
      <c r="AD94">
        <v>103</v>
      </c>
      <c r="AH94" t="s">
        <v>512</v>
      </c>
      <c r="AJ94" t="s">
        <v>88</v>
      </c>
      <c r="AK94" t="s">
        <v>988</v>
      </c>
      <c r="AL94" t="s">
        <v>88</v>
      </c>
      <c r="AM94" t="s">
        <v>479</v>
      </c>
      <c r="AN94" t="s">
        <v>100</v>
      </c>
      <c r="AP94" t="s">
        <v>989</v>
      </c>
      <c r="AQ94" t="s">
        <v>102</v>
      </c>
      <c r="AR94" t="s">
        <v>990</v>
      </c>
      <c r="AS94" t="s">
        <v>991</v>
      </c>
      <c r="AT94" t="s">
        <v>502</v>
      </c>
      <c r="AU94" t="s">
        <v>502</v>
      </c>
      <c r="AX94" t="s">
        <v>503</v>
      </c>
      <c r="AY94" t="s">
        <v>992</v>
      </c>
      <c r="AZ94" t="s">
        <v>102</v>
      </c>
      <c r="BA94" t="s">
        <v>990</v>
      </c>
      <c r="BB94" t="s">
        <v>993</v>
      </c>
      <c r="BC94" t="s">
        <v>506</v>
      </c>
      <c r="BD94" t="s">
        <v>523</v>
      </c>
      <c r="BF94" t="s">
        <v>507</v>
      </c>
      <c r="BG94">
        <v>7922</v>
      </c>
      <c r="BH94" t="s">
        <v>524</v>
      </c>
      <c r="BO94">
        <v>13</v>
      </c>
      <c r="BR94" t="s">
        <v>102</v>
      </c>
      <c r="BS94" t="s">
        <v>994</v>
      </c>
      <c r="BT94" t="s">
        <v>993</v>
      </c>
      <c r="BU94" t="s">
        <v>506</v>
      </c>
      <c r="BV94" t="s">
        <v>523</v>
      </c>
      <c r="BW94" t="s">
        <v>114</v>
      </c>
    </row>
    <row r="95" spans="1:75" x14ac:dyDescent="0.35">
      <c r="A95" t="s">
        <v>995</v>
      </c>
      <c r="B95" s="1">
        <v>45987</v>
      </c>
      <c r="C95" s="2">
        <v>0.77719907407407407</v>
      </c>
      <c r="D95" t="s">
        <v>352</v>
      </c>
      <c r="E95" t="s">
        <v>353</v>
      </c>
      <c r="F95" t="s">
        <v>996</v>
      </c>
      <c r="G95">
        <f>COUNTIF($F$2:$F$104,F95)</f>
        <v>1</v>
      </c>
      <c r="H95" t="s">
        <v>997</v>
      </c>
      <c r="I95" t="s">
        <v>998</v>
      </c>
      <c r="J95" t="s">
        <v>83</v>
      </c>
      <c r="K95" t="s">
        <v>120</v>
      </c>
      <c r="L95">
        <v>50053</v>
      </c>
      <c r="M95" t="s">
        <v>85</v>
      </c>
      <c r="N95" t="s">
        <v>121</v>
      </c>
      <c r="O95" t="s">
        <v>87</v>
      </c>
      <c r="P95" t="s">
        <v>88</v>
      </c>
      <c r="Q95" t="s">
        <v>171</v>
      </c>
      <c r="R95" t="s">
        <v>172</v>
      </c>
      <c r="S95" t="s">
        <v>171</v>
      </c>
      <c r="T95" t="s">
        <v>172</v>
      </c>
      <c r="U95" t="s">
        <v>312</v>
      </c>
      <c r="V95" t="s">
        <v>22</v>
      </c>
      <c r="X95" t="s">
        <v>251</v>
      </c>
      <c r="Y95" t="s">
        <v>95</v>
      </c>
      <c r="Z95" t="s">
        <v>252</v>
      </c>
      <c r="AA95" t="b">
        <v>0</v>
      </c>
      <c r="AB95" t="b">
        <v>0</v>
      </c>
      <c r="AD95">
        <v>269</v>
      </c>
      <c r="AE95" t="s">
        <v>313</v>
      </c>
      <c r="AH95" t="s">
        <v>353</v>
      </c>
      <c r="AJ95" t="s">
        <v>88</v>
      </c>
      <c r="AK95" t="s">
        <v>999</v>
      </c>
      <c r="AL95" t="s">
        <v>88</v>
      </c>
      <c r="AM95" t="s">
        <v>88</v>
      </c>
      <c r="AN95" t="s">
        <v>100</v>
      </c>
      <c r="AP95" t="s">
        <v>1000</v>
      </c>
      <c r="AQ95" t="s">
        <v>102</v>
      </c>
      <c r="AT95" t="s">
        <v>1001</v>
      </c>
      <c r="AU95" t="s">
        <v>1001</v>
      </c>
      <c r="AX95" t="s">
        <v>1002</v>
      </c>
      <c r="AY95" t="s">
        <v>1003</v>
      </c>
      <c r="AZ95" t="s">
        <v>102</v>
      </c>
      <c r="BA95" t="s">
        <v>1004</v>
      </c>
      <c r="BB95" t="s">
        <v>1005</v>
      </c>
      <c r="BC95" t="s">
        <v>1006</v>
      </c>
      <c r="BD95" t="s">
        <v>1006</v>
      </c>
      <c r="BE95" t="s">
        <v>141</v>
      </c>
      <c r="BF95" t="s">
        <v>1007</v>
      </c>
      <c r="BG95">
        <v>398101</v>
      </c>
      <c r="BH95" t="s">
        <v>1008</v>
      </c>
      <c r="BO95">
        <v>0</v>
      </c>
      <c r="BR95" t="s">
        <v>102</v>
      </c>
      <c r="BS95" t="s">
        <v>1009</v>
      </c>
      <c r="BT95" t="s">
        <v>1010</v>
      </c>
      <c r="BU95" t="s">
        <v>1006</v>
      </c>
      <c r="BV95" t="s">
        <v>1006</v>
      </c>
      <c r="BW95" t="s">
        <v>146</v>
      </c>
    </row>
    <row r="96" spans="1:75" x14ac:dyDescent="0.35">
      <c r="A96" t="s">
        <v>1011</v>
      </c>
      <c r="B96" s="1">
        <v>45987</v>
      </c>
      <c r="C96" s="2">
        <v>0.69525462962962958</v>
      </c>
      <c r="D96" t="s">
        <v>511</v>
      </c>
      <c r="E96" t="s">
        <v>512</v>
      </c>
      <c r="F96" t="s">
        <v>1012</v>
      </c>
      <c r="G96">
        <f>COUNTIF($F$2:$F$104,F96)</f>
        <v>1</v>
      </c>
      <c r="H96" t="s">
        <v>1013</v>
      </c>
      <c r="I96" t="s">
        <v>1014</v>
      </c>
      <c r="J96" t="s">
        <v>83</v>
      </c>
      <c r="K96" t="s">
        <v>120</v>
      </c>
      <c r="L96">
        <v>50053</v>
      </c>
      <c r="M96" t="s">
        <v>85</v>
      </c>
      <c r="N96" t="s">
        <v>121</v>
      </c>
      <c r="O96" t="s">
        <v>87</v>
      </c>
      <c r="P96" t="s">
        <v>88</v>
      </c>
      <c r="Q96" t="s">
        <v>124</v>
      </c>
      <c r="R96" t="s">
        <v>125</v>
      </c>
      <c r="S96" t="s">
        <v>124</v>
      </c>
      <c r="T96" t="s">
        <v>125</v>
      </c>
      <c r="U96" t="s">
        <v>334</v>
      </c>
      <c r="V96" t="s">
        <v>474</v>
      </c>
      <c r="Z96" t="s">
        <v>475</v>
      </c>
      <c r="AA96" t="b">
        <v>0</v>
      </c>
      <c r="AB96" t="b">
        <v>0</v>
      </c>
      <c r="AD96">
        <v>102</v>
      </c>
      <c r="AH96" t="s">
        <v>512</v>
      </c>
      <c r="AJ96" t="s">
        <v>88</v>
      </c>
      <c r="AK96" t="s">
        <v>1015</v>
      </c>
      <c r="AL96" t="s">
        <v>88</v>
      </c>
      <c r="AM96" t="s">
        <v>479</v>
      </c>
      <c r="AN96" t="s">
        <v>100</v>
      </c>
      <c r="AP96" t="s">
        <v>1016</v>
      </c>
      <c r="AQ96" t="s">
        <v>102</v>
      </c>
      <c r="AR96" t="s">
        <v>138</v>
      </c>
      <c r="AS96" t="s">
        <v>1017</v>
      </c>
      <c r="AT96" t="s">
        <v>502</v>
      </c>
      <c r="AU96" t="s">
        <v>502</v>
      </c>
      <c r="AX96" t="s">
        <v>503</v>
      </c>
      <c r="AY96" t="s">
        <v>1018</v>
      </c>
      <c r="AZ96" t="s">
        <v>102</v>
      </c>
      <c r="BA96" t="s">
        <v>138</v>
      </c>
      <c r="BB96" t="s">
        <v>139</v>
      </c>
      <c r="BC96" t="s">
        <v>506</v>
      </c>
      <c r="BD96" t="s">
        <v>978</v>
      </c>
      <c r="BF96" t="s">
        <v>507</v>
      </c>
      <c r="BG96">
        <v>7922</v>
      </c>
      <c r="BH96" t="s">
        <v>1019</v>
      </c>
      <c r="BO96">
        <v>15</v>
      </c>
      <c r="BR96" t="s">
        <v>102</v>
      </c>
      <c r="BS96" t="s">
        <v>1020</v>
      </c>
      <c r="BT96" t="s">
        <v>1021</v>
      </c>
      <c r="BU96" t="s">
        <v>506</v>
      </c>
      <c r="BV96" t="s">
        <v>978</v>
      </c>
      <c r="BW96" t="s">
        <v>411</v>
      </c>
    </row>
    <row r="97" spans="1:75" x14ac:dyDescent="0.35">
      <c r="A97" t="s">
        <v>1022</v>
      </c>
      <c r="B97" s="1">
        <v>45986</v>
      </c>
      <c r="C97" s="2">
        <v>0.57016203703703705</v>
      </c>
      <c r="D97" t="s">
        <v>246</v>
      </c>
      <c r="E97" t="s">
        <v>247</v>
      </c>
      <c r="F97" t="s">
        <v>1023</v>
      </c>
      <c r="G97">
        <f>COUNTIF($F$2:$F$104,F97)</f>
        <v>1</v>
      </c>
      <c r="H97" t="s">
        <v>1024</v>
      </c>
      <c r="I97" t="s">
        <v>1025</v>
      </c>
      <c r="J97" t="s">
        <v>1026</v>
      </c>
      <c r="K97" t="s">
        <v>120</v>
      </c>
      <c r="L97">
        <v>50126</v>
      </c>
      <c r="M97" t="s">
        <v>85</v>
      </c>
      <c r="N97" t="s">
        <v>121</v>
      </c>
      <c r="O97" t="s">
        <v>87</v>
      </c>
      <c r="P97" t="s">
        <v>88</v>
      </c>
      <c r="Q97" t="s">
        <v>171</v>
      </c>
      <c r="R97" t="s">
        <v>172</v>
      </c>
      <c r="S97" t="s">
        <v>171</v>
      </c>
      <c r="T97" t="s">
        <v>172</v>
      </c>
      <c r="U97" t="s">
        <v>211</v>
      </c>
      <c r="V97" t="s">
        <v>22</v>
      </c>
      <c r="X97" t="s">
        <v>251</v>
      </c>
      <c r="Y97" t="s">
        <v>95</v>
      </c>
      <c r="Z97" t="s">
        <v>252</v>
      </c>
      <c r="AA97" t="b">
        <v>0</v>
      </c>
      <c r="AB97" t="b">
        <v>0</v>
      </c>
      <c r="AD97">
        <v>301</v>
      </c>
      <c r="AE97" t="s">
        <v>213</v>
      </c>
      <c r="AH97" t="s">
        <v>247</v>
      </c>
      <c r="AJ97" t="s">
        <v>88</v>
      </c>
      <c r="AK97" t="s">
        <v>1027</v>
      </c>
      <c r="AL97" t="s">
        <v>88</v>
      </c>
      <c r="AM97" t="s">
        <v>88</v>
      </c>
      <c r="AN97" t="s">
        <v>100</v>
      </c>
      <c r="AP97" t="s">
        <v>1028</v>
      </c>
      <c r="AQ97" t="s">
        <v>1029</v>
      </c>
      <c r="AR97" t="s">
        <v>1030</v>
      </c>
      <c r="AS97" t="s">
        <v>1030</v>
      </c>
      <c r="AT97" t="s">
        <v>1031</v>
      </c>
      <c r="AU97" t="s">
        <v>1031</v>
      </c>
      <c r="AX97" t="s">
        <v>1032</v>
      </c>
      <c r="AY97" t="s">
        <v>1033</v>
      </c>
      <c r="AZ97" t="s">
        <v>102</v>
      </c>
      <c r="BA97" t="s">
        <v>1034</v>
      </c>
      <c r="BB97" t="s">
        <v>1035</v>
      </c>
      <c r="BC97" t="s">
        <v>1031</v>
      </c>
      <c r="BD97" t="s">
        <v>1031</v>
      </c>
      <c r="BE97" t="s">
        <v>141</v>
      </c>
      <c r="BF97" t="s">
        <v>1036</v>
      </c>
      <c r="BG97">
        <v>400464</v>
      </c>
      <c r="BH97" t="s">
        <v>1037</v>
      </c>
      <c r="BO97">
        <v>0</v>
      </c>
      <c r="BR97" t="s">
        <v>1029</v>
      </c>
      <c r="BS97" t="s">
        <v>1038</v>
      </c>
      <c r="BT97" t="s">
        <v>1030</v>
      </c>
      <c r="BU97" t="s">
        <v>1039</v>
      </c>
      <c r="BV97" t="s">
        <v>1039</v>
      </c>
      <c r="BW97" t="s">
        <v>146</v>
      </c>
    </row>
    <row r="98" spans="1:75" x14ac:dyDescent="0.35">
      <c r="A98" t="s">
        <v>1040</v>
      </c>
      <c r="B98" s="1">
        <v>45986</v>
      </c>
      <c r="C98" s="2">
        <v>0.49984953703703705</v>
      </c>
      <c r="D98" t="s">
        <v>469</v>
      </c>
      <c r="E98" t="s">
        <v>470</v>
      </c>
      <c r="F98" t="s">
        <v>471</v>
      </c>
      <c r="G98">
        <f>COUNTIF($F$2:$F$104,F98)</f>
        <v>5</v>
      </c>
      <c r="H98" t="s">
        <v>472</v>
      </c>
      <c r="I98" t="s">
        <v>473</v>
      </c>
      <c r="J98" t="s">
        <v>83</v>
      </c>
      <c r="K98" t="s">
        <v>84</v>
      </c>
      <c r="M98" t="s">
        <v>85</v>
      </c>
      <c r="N98" t="s">
        <v>121</v>
      </c>
      <c r="O98" t="s">
        <v>87</v>
      </c>
      <c r="P98" t="s">
        <v>88</v>
      </c>
      <c r="Q98" t="s">
        <v>124</v>
      </c>
      <c r="R98" t="s">
        <v>125</v>
      </c>
      <c r="S98" t="s">
        <v>124</v>
      </c>
      <c r="T98" t="s">
        <v>125</v>
      </c>
      <c r="U98" t="s">
        <v>93</v>
      </c>
      <c r="V98" t="s">
        <v>474</v>
      </c>
      <c r="Z98" t="s">
        <v>475</v>
      </c>
      <c r="AA98" t="b">
        <v>0</v>
      </c>
      <c r="AB98" t="b">
        <v>0</v>
      </c>
      <c r="AD98">
        <v>133</v>
      </c>
      <c r="AH98" t="s">
        <v>470</v>
      </c>
      <c r="AI98" t="s">
        <v>1041</v>
      </c>
      <c r="AJ98" t="s">
        <v>477</v>
      </c>
      <c r="AK98" t="s">
        <v>1042</v>
      </c>
      <c r="AL98" t="s">
        <v>88</v>
      </c>
      <c r="AM98" t="s">
        <v>479</v>
      </c>
      <c r="AN98" t="s">
        <v>100</v>
      </c>
      <c r="AO98">
        <v>1002</v>
      </c>
      <c r="AP98" t="s">
        <v>1043</v>
      </c>
      <c r="AQ98" t="s">
        <v>102</v>
      </c>
      <c r="AR98" t="s">
        <v>103</v>
      </c>
      <c r="AS98" t="s">
        <v>481</v>
      </c>
      <c r="AT98" t="s">
        <v>105</v>
      </c>
      <c r="AU98" t="s">
        <v>105</v>
      </c>
      <c r="AX98" t="s">
        <v>106</v>
      </c>
      <c r="AY98" t="s">
        <v>482</v>
      </c>
      <c r="AZ98" t="s">
        <v>102</v>
      </c>
      <c r="BA98" t="s">
        <v>483</v>
      </c>
      <c r="BB98" t="s">
        <v>484</v>
      </c>
      <c r="BC98" t="s">
        <v>108</v>
      </c>
      <c r="BD98" t="s">
        <v>485</v>
      </c>
      <c r="BF98" t="s">
        <v>109</v>
      </c>
      <c r="BG98">
        <v>7018</v>
      </c>
      <c r="BH98" t="s">
        <v>486</v>
      </c>
      <c r="BO98">
        <v>3</v>
      </c>
      <c r="BR98" t="s">
        <v>102</v>
      </c>
      <c r="BS98" t="s">
        <v>220</v>
      </c>
      <c r="BT98" t="s">
        <v>220</v>
      </c>
      <c r="BU98" t="s">
        <v>108</v>
      </c>
      <c r="BV98" t="s">
        <v>487</v>
      </c>
      <c r="BW98" t="s">
        <v>114</v>
      </c>
    </row>
    <row r="99" spans="1:75" x14ac:dyDescent="0.35">
      <c r="A99" t="s">
        <v>1044</v>
      </c>
      <c r="B99" s="1">
        <v>45986</v>
      </c>
      <c r="C99" s="2">
        <v>3.1689814814814816E-2</v>
      </c>
      <c r="D99" t="s">
        <v>306</v>
      </c>
      <c r="E99" t="s">
        <v>307</v>
      </c>
      <c r="F99" t="s">
        <v>1045</v>
      </c>
      <c r="G99">
        <f>COUNTIF($F$2:$F$104,F99)</f>
        <v>1</v>
      </c>
      <c r="H99" t="s">
        <v>1046</v>
      </c>
      <c r="I99" t="s">
        <v>741</v>
      </c>
      <c r="J99" t="s">
        <v>742</v>
      </c>
      <c r="K99" t="s">
        <v>120</v>
      </c>
      <c r="L99">
        <v>50053</v>
      </c>
      <c r="M99" t="s">
        <v>85</v>
      </c>
      <c r="N99" t="s">
        <v>121</v>
      </c>
      <c r="O99" t="s">
        <v>87</v>
      </c>
      <c r="P99" t="s">
        <v>88</v>
      </c>
      <c r="Q99" t="s">
        <v>171</v>
      </c>
      <c r="R99" t="s">
        <v>172</v>
      </c>
      <c r="S99" t="s">
        <v>171</v>
      </c>
      <c r="T99" t="s">
        <v>172</v>
      </c>
      <c r="U99" t="s">
        <v>312</v>
      </c>
      <c r="V99" t="s">
        <v>22</v>
      </c>
      <c r="X99" t="s">
        <v>251</v>
      </c>
      <c r="Y99" t="s">
        <v>95</v>
      </c>
      <c r="Z99" t="s">
        <v>252</v>
      </c>
      <c r="AA99" t="b">
        <v>0</v>
      </c>
      <c r="AB99" t="b">
        <v>0</v>
      </c>
      <c r="AD99">
        <v>254</v>
      </c>
      <c r="AE99" t="s">
        <v>313</v>
      </c>
      <c r="AH99" t="s">
        <v>307</v>
      </c>
      <c r="AJ99" t="s">
        <v>88</v>
      </c>
      <c r="AK99" t="s">
        <v>1047</v>
      </c>
      <c r="AL99" t="s">
        <v>88</v>
      </c>
      <c r="AM99" t="s">
        <v>88</v>
      </c>
      <c r="AN99" t="s">
        <v>100</v>
      </c>
      <c r="AP99" t="s">
        <v>1048</v>
      </c>
      <c r="AQ99" t="s">
        <v>745</v>
      </c>
      <c r="AR99" t="s">
        <v>1049</v>
      </c>
      <c r="AS99" t="s">
        <v>1050</v>
      </c>
      <c r="AT99" t="s">
        <v>1051</v>
      </c>
      <c r="AU99" t="s">
        <v>1051</v>
      </c>
      <c r="AX99" t="s">
        <v>1052</v>
      </c>
      <c r="AY99" t="s">
        <v>1053</v>
      </c>
      <c r="AZ99" t="s">
        <v>745</v>
      </c>
      <c r="BA99" t="s">
        <v>1054</v>
      </c>
      <c r="BB99" t="s">
        <v>1055</v>
      </c>
      <c r="BC99" t="s">
        <v>1056</v>
      </c>
      <c r="BD99" t="s">
        <v>1057</v>
      </c>
      <c r="BF99" t="s">
        <v>408</v>
      </c>
      <c r="BG99">
        <v>9829</v>
      </c>
      <c r="BH99" t="s">
        <v>1058</v>
      </c>
      <c r="BO99">
        <v>13</v>
      </c>
      <c r="BR99" t="s">
        <v>745</v>
      </c>
      <c r="BS99" t="s">
        <v>1059</v>
      </c>
      <c r="BT99" t="s">
        <v>1055</v>
      </c>
      <c r="BU99" t="s">
        <v>1060</v>
      </c>
      <c r="BW99" t="s">
        <v>411</v>
      </c>
    </row>
    <row r="100" spans="1:75" x14ac:dyDescent="0.35">
      <c r="A100" t="s">
        <v>1061</v>
      </c>
      <c r="B100" s="1">
        <v>45986</v>
      </c>
      <c r="C100" s="2">
        <v>1.6238425925925924E-2</v>
      </c>
      <c r="D100" t="s">
        <v>246</v>
      </c>
      <c r="E100" t="s">
        <v>247</v>
      </c>
      <c r="F100" t="s">
        <v>1062</v>
      </c>
      <c r="G100">
        <f>COUNTIF($F$2:$F$104,F100)</f>
        <v>1</v>
      </c>
      <c r="H100" t="s">
        <v>1063</v>
      </c>
      <c r="I100" t="s">
        <v>310</v>
      </c>
      <c r="J100" t="s">
        <v>311</v>
      </c>
      <c r="K100" t="s">
        <v>120</v>
      </c>
      <c r="L100">
        <v>50126</v>
      </c>
      <c r="M100" t="s">
        <v>85</v>
      </c>
      <c r="N100" t="s">
        <v>121</v>
      </c>
      <c r="O100" t="s">
        <v>87</v>
      </c>
      <c r="P100" t="s">
        <v>88</v>
      </c>
      <c r="Q100" t="s">
        <v>171</v>
      </c>
      <c r="R100" t="s">
        <v>172</v>
      </c>
      <c r="S100" t="s">
        <v>171</v>
      </c>
      <c r="T100" t="s">
        <v>172</v>
      </c>
      <c r="U100" t="s">
        <v>211</v>
      </c>
      <c r="V100" t="s">
        <v>22</v>
      </c>
      <c r="X100" t="s">
        <v>251</v>
      </c>
      <c r="Y100" t="s">
        <v>95</v>
      </c>
      <c r="Z100" t="s">
        <v>252</v>
      </c>
      <c r="AA100" t="b">
        <v>0</v>
      </c>
      <c r="AB100" t="b">
        <v>0</v>
      </c>
      <c r="AD100">
        <v>542</v>
      </c>
      <c r="AE100" t="s">
        <v>213</v>
      </c>
      <c r="AH100" t="s">
        <v>247</v>
      </c>
      <c r="AJ100" t="s">
        <v>88</v>
      </c>
      <c r="AK100" t="s">
        <v>1064</v>
      </c>
      <c r="AL100" t="s">
        <v>88</v>
      </c>
      <c r="AM100" t="s">
        <v>88</v>
      </c>
      <c r="AN100" t="s">
        <v>100</v>
      </c>
      <c r="AP100" t="s">
        <v>1065</v>
      </c>
      <c r="AQ100" t="s">
        <v>316</v>
      </c>
      <c r="AT100" t="s">
        <v>1066</v>
      </c>
      <c r="AU100" t="s">
        <v>1066</v>
      </c>
      <c r="AX100" t="s">
        <v>1067</v>
      </c>
      <c r="AY100" t="s">
        <v>1068</v>
      </c>
      <c r="AZ100" t="s">
        <v>316</v>
      </c>
      <c r="BA100" t="s">
        <v>1069</v>
      </c>
      <c r="BB100" t="s">
        <v>1070</v>
      </c>
      <c r="BC100" t="s">
        <v>1066</v>
      </c>
      <c r="BD100" t="s">
        <v>1066</v>
      </c>
      <c r="BE100" t="s">
        <v>141</v>
      </c>
      <c r="BF100" t="s">
        <v>1071</v>
      </c>
      <c r="BG100">
        <v>53055</v>
      </c>
      <c r="BH100" t="s">
        <v>1072</v>
      </c>
      <c r="BO100">
        <v>0</v>
      </c>
      <c r="BR100" t="s">
        <v>316</v>
      </c>
      <c r="BS100" t="s">
        <v>1073</v>
      </c>
      <c r="BT100" t="s">
        <v>322</v>
      </c>
      <c r="BU100" t="s">
        <v>1074</v>
      </c>
      <c r="BV100" t="s">
        <v>1075</v>
      </c>
      <c r="BW100" t="s">
        <v>146</v>
      </c>
    </row>
    <row r="101" spans="1:75" x14ac:dyDescent="0.35">
      <c r="A101" t="s">
        <v>1076</v>
      </c>
      <c r="B101" s="1">
        <v>45985</v>
      </c>
      <c r="C101" s="2">
        <v>0.9727662037037037</v>
      </c>
      <c r="D101" t="s">
        <v>352</v>
      </c>
      <c r="E101" t="s">
        <v>353</v>
      </c>
      <c r="F101" t="s">
        <v>1077</v>
      </c>
      <c r="G101">
        <f>COUNTIF($F$2:$F$104,F101)</f>
        <v>1</v>
      </c>
      <c r="H101" t="s">
        <v>1078</v>
      </c>
      <c r="I101" t="s">
        <v>1079</v>
      </c>
      <c r="J101" t="s">
        <v>83</v>
      </c>
      <c r="K101" t="s">
        <v>120</v>
      </c>
      <c r="L101">
        <v>50126</v>
      </c>
      <c r="M101" t="s">
        <v>85</v>
      </c>
      <c r="N101" t="s">
        <v>121</v>
      </c>
      <c r="O101" t="s">
        <v>87</v>
      </c>
      <c r="P101" t="s">
        <v>88</v>
      </c>
      <c r="Q101" t="s">
        <v>171</v>
      </c>
      <c r="R101" t="s">
        <v>172</v>
      </c>
      <c r="S101" t="s">
        <v>171</v>
      </c>
      <c r="T101" t="s">
        <v>172</v>
      </c>
      <c r="U101" t="s">
        <v>211</v>
      </c>
      <c r="V101" t="s">
        <v>22</v>
      </c>
      <c r="X101" t="s">
        <v>251</v>
      </c>
      <c r="Y101" t="s">
        <v>95</v>
      </c>
      <c r="Z101" t="s">
        <v>252</v>
      </c>
      <c r="AA101" t="b">
        <v>0</v>
      </c>
      <c r="AB101" t="b">
        <v>0</v>
      </c>
      <c r="AD101">
        <v>432</v>
      </c>
      <c r="AE101" t="s">
        <v>213</v>
      </c>
      <c r="AH101" t="s">
        <v>353</v>
      </c>
      <c r="AJ101" t="s">
        <v>88</v>
      </c>
      <c r="AK101" t="s">
        <v>1080</v>
      </c>
      <c r="AL101" t="s">
        <v>88</v>
      </c>
      <c r="AM101" t="s">
        <v>88</v>
      </c>
      <c r="AN101" t="s">
        <v>100</v>
      </c>
      <c r="AP101" t="s">
        <v>1081</v>
      </c>
      <c r="AQ101" t="s">
        <v>102</v>
      </c>
      <c r="AR101" t="s">
        <v>1082</v>
      </c>
      <c r="AT101" t="s">
        <v>255</v>
      </c>
      <c r="AU101" t="s">
        <v>255</v>
      </c>
      <c r="AX101" t="s">
        <v>256</v>
      </c>
      <c r="AY101" t="s">
        <v>1083</v>
      </c>
      <c r="AZ101" t="s">
        <v>102</v>
      </c>
      <c r="BA101" t="s">
        <v>220</v>
      </c>
      <c r="BB101" t="s">
        <v>221</v>
      </c>
      <c r="BC101" t="s">
        <v>255</v>
      </c>
      <c r="BD101" t="s">
        <v>258</v>
      </c>
      <c r="BF101" t="s">
        <v>259</v>
      </c>
      <c r="BG101">
        <v>22773</v>
      </c>
      <c r="BH101" t="s">
        <v>1084</v>
      </c>
      <c r="BO101">
        <v>14</v>
      </c>
      <c r="BR101" t="s">
        <v>102</v>
      </c>
      <c r="BS101" t="s">
        <v>1085</v>
      </c>
      <c r="BT101" t="s">
        <v>1086</v>
      </c>
      <c r="BU101" t="s">
        <v>255</v>
      </c>
      <c r="BV101" t="s">
        <v>258</v>
      </c>
      <c r="BW101" t="s">
        <v>114</v>
      </c>
    </row>
    <row r="102" spans="1:75" x14ac:dyDescent="0.35">
      <c r="A102" t="s">
        <v>1087</v>
      </c>
      <c r="B102" s="1">
        <v>45985</v>
      </c>
      <c r="C102" s="2">
        <v>0.8271412037037037</v>
      </c>
      <c r="D102" t="s">
        <v>206</v>
      </c>
      <c r="E102" t="s">
        <v>207</v>
      </c>
      <c r="F102" t="s">
        <v>1088</v>
      </c>
      <c r="G102">
        <f>COUNTIF($F$2:$F$104,F102)</f>
        <v>2</v>
      </c>
      <c r="H102" t="s">
        <v>563</v>
      </c>
      <c r="I102" t="s">
        <v>493</v>
      </c>
      <c r="J102" t="s">
        <v>83</v>
      </c>
      <c r="K102" t="s">
        <v>84</v>
      </c>
      <c r="M102" t="s">
        <v>85</v>
      </c>
      <c r="N102" t="s">
        <v>121</v>
      </c>
      <c r="O102" t="s">
        <v>87</v>
      </c>
      <c r="P102" t="s">
        <v>88</v>
      </c>
      <c r="Q102" t="s">
        <v>122</v>
      </c>
      <c r="R102" t="s">
        <v>123</v>
      </c>
      <c r="S102" t="s">
        <v>124</v>
      </c>
      <c r="T102" t="s">
        <v>125</v>
      </c>
      <c r="U102" t="s">
        <v>93</v>
      </c>
      <c r="V102" t="s">
        <v>22</v>
      </c>
      <c r="X102" t="s">
        <v>229</v>
      </c>
      <c r="Y102" t="s">
        <v>230</v>
      </c>
      <c r="Z102" t="s">
        <v>231</v>
      </c>
      <c r="AA102" t="b">
        <v>0</v>
      </c>
      <c r="AB102" t="b">
        <v>0</v>
      </c>
      <c r="AD102">
        <v>70</v>
      </c>
      <c r="AI102" t="s">
        <v>232</v>
      </c>
      <c r="AJ102" t="s">
        <v>88</v>
      </c>
      <c r="AK102" t="s">
        <v>1089</v>
      </c>
      <c r="AL102" t="s">
        <v>88</v>
      </c>
      <c r="AM102" t="s">
        <v>88</v>
      </c>
      <c r="AN102" t="s">
        <v>100</v>
      </c>
      <c r="AO102">
        <v>1002</v>
      </c>
      <c r="AP102" t="s">
        <v>1090</v>
      </c>
      <c r="AQ102" t="s">
        <v>102</v>
      </c>
      <c r="AR102" t="s">
        <v>427</v>
      </c>
      <c r="AS102" t="s">
        <v>570</v>
      </c>
      <c r="AT102" t="s">
        <v>502</v>
      </c>
      <c r="AU102" t="s">
        <v>502</v>
      </c>
      <c r="AX102" t="s">
        <v>503</v>
      </c>
      <c r="AY102" t="s">
        <v>504</v>
      </c>
      <c r="AZ102" t="s">
        <v>102</v>
      </c>
      <c r="BA102" t="s">
        <v>427</v>
      </c>
      <c r="BB102" t="s">
        <v>924</v>
      </c>
      <c r="BC102" t="s">
        <v>506</v>
      </c>
      <c r="BD102" t="s">
        <v>506</v>
      </c>
      <c r="BF102" t="s">
        <v>507</v>
      </c>
      <c r="BG102">
        <v>7922</v>
      </c>
      <c r="BH102" t="s">
        <v>508</v>
      </c>
      <c r="BO102">
        <v>5</v>
      </c>
      <c r="BR102" t="s">
        <v>102</v>
      </c>
      <c r="BS102" t="s">
        <v>569</v>
      </c>
      <c r="BT102" t="s">
        <v>570</v>
      </c>
      <c r="BU102" t="s">
        <v>506</v>
      </c>
      <c r="BV102" t="s">
        <v>506</v>
      </c>
      <c r="BW102" t="s">
        <v>411</v>
      </c>
    </row>
    <row r="103" spans="1:75" x14ac:dyDescent="0.35">
      <c r="A103" t="s">
        <v>1091</v>
      </c>
      <c r="B103" s="1">
        <v>45985</v>
      </c>
      <c r="C103" s="2">
        <v>0.82645833333333341</v>
      </c>
      <c r="D103" t="s">
        <v>206</v>
      </c>
      <c r="E103" t="s">
        <v>207</v>
      </c>
      <c r="F103" t="s">
        <v>1088</v>
      </c>
      <c r="G103">
        <f>COUNTIF($F$2:$F$104,F103)</f>
        <v>2</v>
      </c>
      <c r="H103" t="s">
        <v>563</v>
      </c>
      <c r="I103" t="s">
        <v>493</v>
      </c>
      <c r="J103" t="s">
        <v>83</v>
      </c>
      <c r="K103" t="s">
        <v>84</v>
      </c>
      <c r="M103" t="s">
        <v>85</v>
      </c>
      <c r="N103" t="s">
        <v>121</v>
      </c>
      <c r="O103" t="s">
        <v>87</v>
      </c>
      <c r="P103" t="s">
        <v>88</v>
      </c>
      <c r="Q103" t="s">
        <v>122</v>
      </c>
      <c r="R103" t="s">
        <v>123</v>
      </c>
      <c r="S103" t="s">
        <v>124</v>
      </c>
      <c r="T103" t="s">
        <v>125</v>
      </c>
      <c r="U103" t="s">
        <v>93</v>
      </c>
      <c r="V103" t="s">
        <v>22</v>
      </c>
      <c r="X103" t="s">
        <v>229</v>
      </c>
      <c r="Y103" t="s">
        <v>230</v>
      </c>
      <c r="Z103" t="s">
        <v>231</v>
      </c>
      <c r="AA103" t="b">
        <v>0</v>
      </c>
      <c r="AB103" t="b">
        <v>0</v>
      </c>
      <c r="AD103">
        <v>97</v>
      </c>
      <c r="AI103" t="s">
        <v>232</v>
      </c>
      <c r="AJ103" t="s">
        <v>88</v>
      </c>
      <c r="AK103" t="s">
        <v>1092</v>
      </c>
      <c r="AL103" t="s">
        <v>88</v>
      </c>
      <c r="AM103" t="s">
        <v>88</v>
      </c>
      <c r="AN103" t="s">
        <v>100</v>
      </c>
      <c r="AO103">
        <v>1002</v>
      </c>
      <c r="AP103" t="s">
        <v>1090</v>
      </c>
      <c r="AQ103" t="s">
        <v>102</v>
      </c>
      <c r="AR103" t="s">
        <v>427</v>
      </c>
      <c r="AS103" t="s">
        <v>570</v>
      </c>
      <c r="AT103" t="s">
        <v>502</v>
      </c>
      <c r="AU103" t="s">
        <v>502</v>
      </c>
      <c r="AX103" t="s">
        <v>503</v>
      </c>
      <c r="AY103" t="s">
        <v>504</v>
      </c>
      <c r="AZ103" t="s">
        <v>102</v>
      </c>
      <c r="BA103" t="s">
        <v>427</v>
      </c>
      <c r="BB103" t="s">
        <v>924</v>
      </c>
      <c r="BC103" t="s">
        <v>506</v>
      </c>
      <c r="BD103" t="s">
        <v>506</v>
      </c>
      <c r="BF103" t="s">
        <v>507</v>
      </c>
      <c r="BG103">
        <v>7922</v>
      </c>
      <c r="BH103" t="s">
        <v>508</v>
      </c>
      <c r="BO103">
        <v>5</v>
      </c>
      <c r="BR103" t="s">
        <v>102</v>
      </c>
      <c r="BS103" t="s">
        <v>569</v>
      </c>
      <c r="BT103" t="s">
        <v>570</v>
      </c>
      <c r="BU103" t="s">
        <v>506</v>
      </c>
      <c r="BV103" t="s">
        <v>506</v>
      </c>
      <c r="BW103" t="s">
        <v>411</v>
      </c>
    </row>
    <row r="104" spans="1:75" x14ac:dyDescent="0.35">
      <c r="A104" t="s">
        <v>1093</v>
      </c>
      <c r="B104" s="1">
        <v>45985</v>
      </c>
      <c r="C104" s="2">
        <v>0.67684027777777789</v>
      </c>
      <c r="D104" t="s">
        <v>469</v>
      </c>
      <c r="E104" t="s">
        <v>470</v>
      </c>
      <c r="F104" t="s">
        <v>471</v>
      </c>
      <c r="G104">
        <f>COUNTIF($F$2:$F$104,F104)</f>
        <v>5</v>
      </c>
      <c r="H104" t="s">
        <v>472</v>
      </c>
      <c r="I104" t="s">
        <v>473</v>
      </c>
      <c r="J104" t="s">
        <v>83</v>
      </c>
      <c r="K104" t="s">
        <v>84</v>
      </c>
      <c r="M104" t="s">
        <v>85</v>
      </c>
      <c r="N104" t="s">
        <v>121</v>
      </c>
      <c r="O104" t="s">
        <v>87</v>
      </c>
      <c r="P104" t="s">
        <v>88</v>
      </c>
      <c r="Q104" t="s">
        <v>124</v>
      </c>
      <c r="R104" t="s">
        <v>125</v>
      </c>
      <c r="S104" t="s">
        <v>124</v>
      </c>
      <c r="T104" t="s">
        <v>125</v>
      </c>
      <c r="U104" t="s">
        <v>93</v>
      </c>
      <c r="V104" t="s">
        <v>474</v>
      </c>
      <c r="Z104" t="s">
        <v>475</v>
      </c>
      <c r="AA104" t="b">
        <v>0</v>
      </c>
      <c r="AB104" t="b">
        <v>0</v>
      </c>
      <c r="AD104">
        <v>97</v>
      </c>
      <c r="AH104" t="s">
        <v>470</v>
      </c>
      <c r="AI104" t="s">
        <v>1094</v>
      </c>
      <c r="AJ104" t="s">
        <v>477</v>
      </c>
      <c r="AK104" t="s">
        <v>1095</v>
      </c>
      <c r="AL104" t="s">
        <v>88</v>
      </c>
      <c r="AM104" t="s">
        <v>479</v>
      </c>
      <c r="AN104" t="s">
        <v>100</v>
      </c>
      <c r="AO104">
        <v>1002</v>
      </c>
      <c r="AP104" t="s">
        <v>1096</v>
      </c>
      <c r="AQ104" t="s">
        <v>102</v>
      </c>
      <c r="AR104" t="s">
        <v>103</v>
      </c>
      <c r="AS104" t="s">
        <v>481</v>
      </c>
      <c r="AT104" t="s">
        <v>105</v>
      </c>
      <c r="AU104" t="s">
        <v>105</v>
      </c>
      <c r="AX104" t="s">
        <v>106</v>
      </c>
      <c r="AY104" t="s">
        <v>482</v>
      </c>
      <c r="AZ104" t="s">
        <v>102</v>
      </c>
      <c r="BA104" t="s">
        <v>483</v>
      </c>
      <c r="BB104" t="s">
        <v>484</v>
      </c>
      <c r="BC104" t="s">
        <v>108</v>
      </c>
      <c r="BD104" t="s">
        <v>485</v>
      </c>
      <c r="BF104" t="s">
        <v>109</v>
      </c>
      <c r="BG104">
        <v>7018</v>
      </c>
      <c r="BH104" t="s">
        <v>486</v>
      </c>
      <c r="BO104">
        <v>3</v>
      </c>
      <c r="BR104" t="s">
        <v>102</v>
      </c>
      <c r="BS104" t="s">
        <v>220</v>
      </c>
      <c r="BT104" t="s">
        <v>220</v>
      </c>
      <c r="BU104" t="s">
        <v>108</v>
      </c>
      <c r="BV104" t="s">
        <v>487</v>
      </c>
      <c r="BW104" t="s">
        <v>114</v>
      </c>
    </row>
  </sheetData>
  <autoFilter ref="A1:BZ104" xr:uid="{88CB09CD-8CF5-4BAA-9F09-9B7503F09B0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InteractiveSignIns_2025-11-24_2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Bitpusher</cp:lastModifiedBy>
  <dcterms:created xsi:type="dcterms:W3CDTF">2026-07-29T04:38:23Z</dcterms:created>
  <dcterms:modified xsi:type="dcterms:W3CDTF">2026-07-29T04:38:23Z</dcterms:modified>
</cp:coreProperties>
</file>