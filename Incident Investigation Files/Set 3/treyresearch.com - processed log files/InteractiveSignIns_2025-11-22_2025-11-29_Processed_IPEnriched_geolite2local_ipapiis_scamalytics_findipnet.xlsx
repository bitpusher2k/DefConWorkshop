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itpusher\Desktop\Incident Investigation Files\Scenario 1\1.3\treyresearch.com - log collection\"/>
    </mc:Choice>
  </mc:AlternateContent>
  <xr:revisionPtr revIDLastSave="0" documentId="8_{0E6C6491-783B-4178-82E0-73826986F982}" xr6:coauthVersionLast="47" xr6:coauthVersionMax="47" xr10:uidLastSave="{00000000-0000-0000-0000-000000000000}"/>
  <bookViews>
    <workbookView xWindow="30612" yWindow="-108" windowWidth="30936" windowHeight="16776" xr2:uid="{6B3E452C-8030-4496-8B2F-474AAEB0A68F}"/>
  </bookViews>
  <sheets>
    <sheet name="InteractiveSignIns_2025-11-22_2" sheetId="1" r:id="rId1"/>
  </sheets>
  <definedNames>
    <definedName name="_xlnm._FilterDatabase" localSheetId="0" hidden="1">'InteractiveSignIns_2025-11-22_2'!$A$1:$BZ$350</definedName>
  </definedNames>
  <calcPr calcId="0"/>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50" i="1" l="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<sst xmlns="http://schemas.openxmlformats.org/spreadsheetml/2006/main" count="17037" uniqueCount="1394">
  <si>
    <t>DateUTC</t>
  </si>
  <si>
    <t>DateOnly</t>
  </si>
  <si>
    <t>TimeOnly</t>
  </si>
  <si>
    <t>User</t>
  </si>
  <si>
    <t>Username</t>
  </si>
  <si>
    <t>IPaddress</t>
  </si>
  <si>
    <t>City</t>
  </si>
  <si>
    <t>Region</t>
  </si>
  <si>
    <t>Country</t>
  </si>
  <si>
    <t>Status</t>
  </si>
  <si>
    <t>SignInErrorCode</t>
  </si>
  <si>
    <t>UserType</t>
  </si>
  <si>
    <t>AuthRequirement</t>
  </si>
  <si>
    <t>ConditionalAccess</t>
  </si>
  <si>
    <t>TokenType</t>
  </si>
  <si>
    <t>Application</t>
  </si>
  <si>
    <t>ApplicationID</t>
  </si>
  <si>
    <t>Resource</t>
  </si>
  <si>
    <t>ResourceID</t>
  </si>
  <si>
    <t>FailureReason</t>
  </si>
  <si>
    <t>ClientApp</t>
  </si>
  <si>
    <t>DeviceID</t>
  </si>
  <si>
    <t>Browser</t>
  </si>
  <si>
    <t>OS</t>
  </si>
  <si>
    <t>UserAgent</t>
  </si>
  <si>
    <t>Compliant</t>
  </si>
  <si>
    <t>Managed</t>
  </si>
  <si>
    <t>JoinType</t>
  </si>
  <si>
    <t>Latency</t>
  </si>
  <si>
    <t>MFAResult</t>
  </si>
  <si>
    <t>MFAMethod</t>
  </si>
  <si>
    <t>MFADetail</t>
  </si>
  <si>
    <t>SignInIdentifier</t>
  </si>
  <si>
    <t>SessionID</t>
  </si>
  <si>
    <t>AuthenticationProtocol</t>
  </si>
  <si>
    <t>UniqueToken</t>
  </si>
  <si>
    <t>TransferMethod</t>
  </si>
  <si>
    <t>ClientCredential</t>
  </si>
  <si>
    <t>TokenProtectionSession</t>
  </si>
  <si>
    <t>TokenProtectionStatusCode</t>
  </si>
  <si>
    <t>CorrelationID</t>
  </si>
  <si>
    <t>IP_Country_geolite2local</t>
  </si>
  <si>
    <t>IP_Region_geolite2local</t>
  </si>
  <si>
    <t>IP_City_geolite2local</t>
  </si>
  <si>
    <t>IP_ISP_geolite2local</t>
  </si>
  <si>
    <t>IP_Org_geolite2local</t>
  </si>
  <si>
    <t>IP_Type_geolite2local</t>
  </si>
  <si>
    <t>IP_Score_geolite2local</t>
  </si>
  <si>
    <t>IP_ASN_geolite2local</t>
  </si>
  <si>
    <t>IP_Range_geolite2local</t>
  </si>
  <si>
    <t>IP_Country_ipapiis</t>
  </si>
  <si>
    <t>IP_Region_ipapiis</t>
  </si>
  <si>
    <t>IP_City_ipapiis</t>
  </si>
  <si>
    <t>IP_ISP_ipapiis</t>
  </si>
  <si>
    <t>IP_Org_ipapiis</t>
  </si>
  <si>
    <t>IP_Type_ipapiis</t>
  </si>
  <si>
    <t>IP_Score_ipapiis</t>
  </si>
  <si>
    <t>IP_ASN_ipapiis</t>
  </si>
  <si>
    <t>IP_Range_ipapiis</t>
  </si>
  <si>
    <t>IP_Country_scamalytics</t>
  </si>
  <si>
    <t>IP_Region_scamalytics</t>
  </si>
  <si>
    <t>IP_City_scamalytics</t>
  </si>
  <si>
    <t>IP_ISP_scamalytics</t>
  </si>
  <si>
    <t>IP_Org_scamalytics</t>
  </si>
  <si>
    <t>IP_Type_scamalytics</t>
  </si>
  <si>
    <t>IP_Score_scamalytics</t>
  </si>
  <si>
    <t>IP_ASN_scamalytics</t>
  </si>
  <si>
    <t>IP_Range_scamalytics</t>
  </si>
  <si>
    <t>IP_Country_findipnet</t>
  </si>
  <si>
    <t>IP_Region_findipnet</t>
  </si>
  <si>
    <t>IP_City_findipnet</t>
  </si>
  <si>
    <t>IP_ISP_findipnet</t>
  </si>
  <si>
    <t>IP_Org_findipnet</t>
  </si>
  <si>
    <t>IP_Type_findipnet</t>
  </si>
  <si>
    <t>IP_Score_findipnet</t>
  </si>
  <si>
    <t>IP_ASN_findipnet</t>
  </si>
  <si>
    <t>IP_Range_findipnet</t>
  </si>
  <si>
    <t>2025-11-29T20:56:26Z</t>
  </si>
  <si>
    <t>Matthew3 Ward</t>
  </si>
  <si>
    <t>harris4@treyresearch.com</t>
  </si>
  <si>
    <t>64.39.144.49</t>
  </si>
  <si>
    <t>Riverton 1</t>
  </si>
  <si>
    <t xml:space="preserve"> Coastal Region</t>
  </si>
  <si>
    <t xml:space="preserve"> US</t>
  </si>
  <si>
    <t>Success</t>
  </si>
  <si>
    <t>member</t>
  </si>
  <si>
    <t>Single-factor authentication</t>
  </si>
  <si>
    <t>Not Applied</t>
  </si>
  <si>
    <t>none</t>
  </si>
  <si>
    <t>One Outlook Web</t>
  </si>
  <si>
    <t>cdc8e5d8-63d8-4f32-8e40-b075edfcf6b4</t>
  </si>
  <si>
    <t>Office 365 Exchange Online</t>
  </si>
  <si>
    <t>00000002-0000-0ff1-ce00-000000000000</t>
  </si>
  <si>
    <t>Other.</t>
  </si>
  <si>
    <t>Chrome 141.0.0</t>
  </si>
  <si>
    <t>Windows10</t>
  </si>
  <si>
    <t>Mozilla/5.0 (Windows NT 10.0; Win64; x64) AppleWebKit/537.36 (KHTML, like Gecko) Chrome/141.0.0.247 Safari/537.36</t>
  </si>
  <si>
    <t>6f6c4791-e92c-4f04-8fbe-09c2fc516023</t>
  </si>
  <si>
    <t>PRb2Zax27kKMSRK1ptkXAA</t>
  </si>
  <si>
    <t>d8a34e3f-1edf-4958-8e2b-bdebdeb7dcf2</t>
  </si>
  <si>
    <t>US</t>
  </si>
  <si>
    <t>Georgia</t>
  </si>
  <si>
    <t>Thomasville</t>
  </si>
  <si>
    <t>CNSNext</t>
  </si>
  <si>
    <t>AS16700</t>
  </si>
  <si>
    <t>64.39.128.0-64.39.159.255</t>
  </si>
  <si>
    <t>CNS-Internet</t>
  </si>
  <si>
    <t>0.0026 (Low)</t>
  </si>
  <si>
    <t>64.39.128.0/19</t>
  </si>
  <si>
    <t>Georgia, Thomas</t>
  </si>
  <si>
    <t>business</t>
  </si>
  <si>
    <t>2025-11-29T20:44:41Z</t>
  </si>
  <si>
    <t>Julie3 Clark2</t>
  </si>
  <si>
    <t>larry6@treyresearch.com</t>
  </si>
  <si>
    <t>173.214.156.249</t>
  </si>
  <si>
    <t>Thornbury 1</t>
  </si>
  <si>
    <t>Multifactor authentication</t>
  </si>
  <si>
    <t>54d9cfbd-f813-4cca-8f66-086b292d7936</t>
  </si>
  <si>
    <t>4mjj2-hFGUiam44fT8a3AA</t>
  </si>
  <si>
    <t>7163f3dd-cb43-4a1f-87ab-bbe49dc79273</t>
  </si>
  <si>
    <t>Cairo</t>
  </si>
  <si>
    <t>173.214.144.0-173.214.159.255</t>
  </si>
  <si>
    <t>173.214.144.0/20</t>
  </si>
  <si>
    <t>City of Thomasville Utilities</t>
  </si>
  <si>
    <t>2025-11-29T19:58:46Z</t>
  </si>
  <si>
    <t>Rogers6 Admin</t>
  </si>
  <si>
    <t>admin@treyresearch.com</t>
  </si>
  <si>
    <t>47.220.159.76</t>
  </si>
  <si>
    <t>Kingsport</t>
  </si>
  <si>
    <t xml:space="preserve"> South Province</t>
  </si>
  <si>
    <t>Microsoft 365 Admin portal</t>
  </si>
  <si>
    <t>6fe2f814-bfe4-4cbb-8d9c-78b1503490ed</t>
  </si>
  <si>
    <t>Microsoft Graph</t>
  </si>
  <si>
    <t>00000003-0000-0000-c000-000000000000</t>
  </si>
  <si>
    <t>18337306-cd6a-43ac-8934-f242708d4966</t>
  </si>
  <si>
    <t>s5zE2RQH-UqN4DuYk-1iAA</t>
  </si>
  <si>
    <t>95f08db9-7c41-4efc-84b0-5b94b613bd19</t>
  </si>
  <si>
    <t>Texas</t>
  </si>
  <si>
    <t>Georgetown</t>
  </si>
  <si>
    <t>Optimum</t>
  </si>
  <si>
    <t>AS19108</t>
  </si>
  <si>
    <t>47.220.155.227-47.220.174.140</t>
  </si>
  <si>
    <t>Austin</t>
  </si>
  <si>
    <t>0.0001 (Very Low)</t>
  </si>
  <si>
    <t>47.220.0.0/14</t>
  </si>
  <si>
    <t>Texas, Travis</t>
  </si>
  <si>
    <t>Suddenlink Communications</t>
  </si>
  <si>
    <t>2025-11-29T19:58:44Z</t>
  </si>
  <si>
    <t>Microsoft Office 365 Portal</t>
  </si>
  <si>
    <t>00000006-0000-0ff1-ce00-000000000000</t>
  </si>
  <si>
    <t>Windows Azure Active Directory</t>
  </si>
  <si>
    <t>00000002-0000-0000-c000-000000000000</t>
  </si>
  <si>
    <t>XVilHy_FPEaYlpzTsCENAA</t>
  </si>
  <si>
    <t>3effbbe3-03a1-45bb-845e-7f51a1022678</t>
  </si>
  <si>
    <t>2025-11-29T19:58:30Z</t>
  </si>
  <si>
    <t>OfficeHome</t>
  </si>
  <si>
    <t>4765445b-32c6-49b0-83e6-1d93765276ca</t>
  </si>
  <si>
    <t>KbvbCYfD8kyyrWzjB3-QAA</t>
  </si>
  <si>
    <t>3804a832-2107-4713-85dd-26c61aa31ba1</t>
  </si>
  <si>
    <t>2025-11-29T19:58:29Z</t>
  </si>
  <si>
    <t>9B3ezhs8ukKXCgVLyGjEAA</t>
  </si>
  <si>
    <t>e8de5686-4487-4c97-8a40-c835dc591065</t>
  </si>
  <si>
    <t>9B3ezhs8ukKXCgVLsmjEAA</t>
  </si>
  <si>
    <t>8e0852fd-dc3b-4a7e-8072-f25536912ef9</t>
  </si>
  <si>
    <t>2025-11-29T19:58:24Z</t>
  </si>
  <si>
    <t>Interrupted</t>
  </si>
  <si>
    <t>This occurred due to 'Keep me signed in' interrupt when the user was signing in.</t>
  </si>
  <si>
    <t>This is an expected part of the login flow, where a user is asked if they want to remain signed into this browser to make further logins easier. For more details, see https://techcommunity.microsoft.com/t5/microsoft-entra/the-new-azure-ad-sign-in-and-keep-me-signed-in-experiences/td-p/128267</t>
  </si>
  <si>
    <t>XVilHy_FPEaYlpzT-x4NAA</t>
  </si>
  <si>
    <t>2025-11-29T19:50:07Z</t>
  </si>
  <si>
    <t>Carol2 Cox2</t>
  </si>
  <si>
    <t>murphy2@treyresearch.com</t>
  </si>
  <si>
    <t>173.214.157.177</t>
  </si>
  <si>
    <t>primaryRefreshToken</t>
  </si>
  <si>
    <t>External Application 1</t>
  </si>
  <si>
    <t>7ab7862c-4c57-491e-8a45-d52a7e023983</t>
  </si>
  <si>
    <t>c4145171-26d8-43cc-8492-f8f6dd1e3ad4</t>
  </si>
  <si>
    <t>Edge 141.0.0</t>
  </si>
  <si>
    <t>Mozilla/5.0 (Windows NT 10.0; Win64; x64) AppleWebKit/537.36 (KHTML, like Gecko) Chrome/141.0.0.247 Safari/537.36 Edg/141.0.0.247 OS/10.0.19045</t>
  </si>
  <si>
    <t>851cc711-02f1-4eb6-81b1-24f375c2c523</t>
  </si>
  <si>
    <t>vtW5kEU-C0CarBP434YyAA</t>
  </si>
  <si>
    <t>8a667529-52fc-49ed-825d-4421cc5787a2</t>
  </si>
  <si>
    <t>Georgia, Mitchell</t>
  </si>
  <si>
    <t>Pelham</t>
  </si>
  <si>
    <t>2025-11-29T19:45:10Z</t>
  </si>
  <si>
    <t>Office365 Shell WCSS-Client</t>
  </si>
  <si>
    <t>f8cc6824-4371-448d-8767-94d062735947</t>
  </si>
  <si>
    <t>Office365 Shell WCSS-Server</t>
  </si>
  <si>
    <t>1a431eca-db99-4815-8c5a-bf70f9a71d86</t>
  </si>
  <si>
    <t>Mozilla/5.0 (Windows NT 10.0; Win64; x64) AppleWebKit/537.36 (KHTML, like Gecko) Chrome/141.0.0.247 Safari/537.36 Edg/141.0.0.247</t>
  </si>
  <si>
    <t>jvIscWS54UKmaxAaK-IXAA</t>
  </si>
  <si>
    <t>8745b202-2332-4937-8365-09e7c13a3a04</t>
  </si>
  <si>
    <t>pDCGh2JMSEWwqZ34j7UBAA</t>
  </si>
  <si>
    <t>cc1f002e-808a-4f54-8035-cb12b1343cef</t>
  </si>
  <si>
    <t>YXuh6_Wly0af8-8dSNyqAA</t>
  </si>
  <si>
    <t>70877109-bf48-4130-8b4a-b65d40189d6d</t>
  </si>
  <si>
    <t>2025-11-29T19:45:06Z</t>
  </si>
  <si>
    <t>NaNQIkNbTUa6XHjIRe9bAA</t>
  </si>
  <si>
    <t>fd87b600-61f6-40e2-8c90-a6708a71c5ce</t>
  </si>
  <si>
    <t>'-S5sC2Lk00iDkygmDNMfAQ</t>
  </si>
  <si>
    <t>8059771b-63a4-48de-8b7a-01902967a20d</t>
  </si>
  <si>
    <t>6vXjaFUdfEuP6gplR_stAQ</t>
  </si>
  <si>
    <t>8ffa3a57-aa99-499c-8061-adcdb7d031c7</t>
  </si>
  <si>
    <t>2025-11-29T19:44:57Z</t>
  </si>
  <si>
    <t>Microsoft Flow Portal</t>
  </si>
  <si>
    <t>4d46c425-5a57-4f36-8a3b-0b9fde20aeb6</t>
  </si>
  <si>
    <t>oTrXMMxwuk-X3JXsm50BAA</t>
  </si>
  <si>
    <t>4cc3f418-4aff-4c5d-8c11-7607c0f6bf15</t>
  </si>
  <si>
    <t>2025-11-29T19:14:19Z</t>
  </si>
  <si>
    <t>Evelyn7 Jones7</t>
  </si>
  <si>
    <t>ramirez5@treyresearch.com</t>
  </si>
  <si>
    <t>Microsoft Forms</t>
  </si>
  <si>
    <t>a78dbc4a-839e-489c-82af-8ae94fe05d9f</t>
  </si>
  <si>
    <t>319072a0-9f03-4df1-8b57-0f4df05b8e8b</t>
  </si>
  <si>
    <t>8QnYWZ8y2ECpI5oS0Ay6AA</t>
  </si>
  <si>
    <t>463103ce-0f77-48ac-82bc-b69920ad48c6</t>
  </si>
  <si>
    <t>2025-11-29T19:14:17Z</t>
  </si>
  <si>
    <t>DLRfVFTdHkqEB-NKEBy6AA</t>
  </si>
  <si>
    <t>0ca5e915-c27d-4308-831d-e0c99448e30e</t>
  </si>
  <si>
    <t>2025-11-29T19:14:13Z</t>
  </si>
  <si>
    <t>Sharon2 Gutierrez3</t>
  </si>
  <si>
    <t>robert3@treyresearch.com</t>
  </si>
  <si>
    <t>Mozilla/5.0 (Windows NT 10.0; Win64; x64) AppleWebKit/537.36 (KHTML, like Gecko) Chrome/141.0.0.247 Safari/537.36 Edg/141.0.0.247 OS/10.0.26200</t>
  </si>
  <si>
    <t>9ba08fe5-07d3-41b6-83bd-55862561835c</t>
  </si>
  <si>
    <t>jjgs-1BFf0qPoeKWCxIUAA</t>
  </si>
  <si>
    <t>ec1061eb-2ddd-4684-8955-021ab9ac62d5</t>
  </si>
  <si>
    <t>2025-11-29T19:14:10Z</t>
  </si>
  <si>
    <t>tzdOJJ4kekqY6a-TrQFBAQ</t>
  </si>
  <si>
    <t>18a13cf0-fd30-4bbc-8468-faff807f0f49</t>
  </si>
  <si>
    <t>2025-11-29T18:56:17Z</t>
  </si>
  <si>
    <t>6fUOpZ74wUeXxxzZSBITAA</t>
  </si>
  <si>
    <t>2f4b1d41-193c-47d1-838a-5af83d4f4e9d</t>
  </si>
  <si>
    <t>2025-11-29T18:56:10Z</t>
  </si>
  <si>
    <t>DZDtU2L7FUCVDUImLbCsAA</t>
  </si>
  <si>
    <t>7e6c841c-e4f0-42fc-8731-4df80ac178f9</t>
  </si>
  <si>
    <t>1GXVfAcWakyZbBqJdsmhAA</t>
  </si>
  <si>
    <t>e286b20a-4c3e-439e-8dcc-7c09ba8bebc3</t>
  </si>
  <si>
    <t>iO_XZvTtgEefbjVaI8PiAA</t>
  </si>
  <si>
    <t>1270f447-75ef-4116-8e0a-b5eb2123a903</t>
  </si>
  <si>
    <t>2025-11-29T18:54:43Z</t>
  </si>
  <si>
    <t>7pCTbg3AQ0qaKDLKfWMHAA</t>
  </si>
  <si>
    <t>981f3ced-599b-4c6c-887e-3d2800fbbaf4</t>
  </si>
  <si>
    <t>_3B5lFHTW0ieTd5wtKQVAA</t>
  </si>
  <si>
    <t>f3a6214b-5a91-4ef6-86c5-bd942362d00f</t>
  </si>
  <si>
    <t>ntST2lO6I0mGczsFPpUCAA</t>
  </si>
  <si>
    <t>9300f91c-64e0-4f93-8d93-9e794dac790a</t>
  </si>
  <si>
    <t>2025-11-29T18:47:45Z</t>
  </si>
  <si>
    <t>7nw4Ur5piEelkghJpHOuAA</t>
  </si>
  <si>
    <t>7a3f6cf6-56cf-4777-8e49-41e97652558d</t>
  </si>
  <si>
    <t>2025-11-29T18:47:23Z</t>
  </si>
  <si>
    <t>7nw4Ur5piEelkghJAXGuAA</t>
  </si>
  <si>
    <t>a88b2012-4844-4906-8732-0cf027ca0f97</t>
  </si>
  <si>
    <t>9ysSpJfbYESO0u8RG4MEAA</t>
  </si>
  <si>
    <t>5507f933-a0bf-4222-86d6-3b2bb9de9acc</t>
  </si>
  <si>
    <t>Am2a-RZStECjo_rjON0UAQ</t>
  </si>
  <si>
    <t>b949ade9-95c0-42f8-8958-049d33f351d8</t>
  </si>
  <si>
    <t>2025-11-29T18:44:25Z</t>
  </si>
  <si>
    <t>0Ewk5PaKO0a3jSr10r04AQ</t>
  </si>
  <si>
    <t>1ad5d9ab-31e0-47ca-82d4-b457e9aac0c9</t>
  </si>
  <si>
    <t>KrX31_4Z_kiecc3pb0y5AA</t>
  </si>
  <si>
    <t>c838123f-307a-4c45-868e-a2c6118bce90</t>
  </si>
  <si>
    <t>aZrTFYyst06Bl2BMlmA9AQ</t>
  </si>
  <si>
    <t>58ca1b32-3317-4763-86e8-0b478fcbc324</t>
  </si>
  <si>
    <t>2025-11-29T18:43:44Z</t>
  </si>
  <si>
    <t>TVwbW4j7LUeCfW9oHlQBAA</t>
  </si>
  <si>
    <t>4b2985cb-c5f5-4266-80b4-21b50e369fe2</t>
  </si>
  <si>
    <t>'-00uPoR4W0WP-olcekMIAA</t>
  </si>
  <si>
    <t>43ed6a9b-cb54-467c-8316-1ace891f767b</t>
  </si>
  <si>
    <t>vhagAar-EUycXDT4s5KtAA</t>
  </si>
  <si>
    <t>cb3879b7-3964-4eda-848b-148965725e32</t>
  </si>
  <si>
    <t>2025-11-29T18:42:22Z</t>
  </si>
  <si>
    <t>1KXHnoVMd0-cDIOJvm0sAA</t>
  </si>
  <si>
    <t>f1844b08-497b-4399-860b-48828ac6064c</t>
  </si>
  <si>
    <t>bZmI6BQ3cUOHDDsHmkQWAA</t>
  </si>
  <si>
    <t>d15e1894-fd48-423c-88e6-c36e33540d54</t>
  </si>
  <si>
    <t>'-AX3kIQ5T0-USqUyPVUDAA</t>
  </si>
  <si>
    <t>fb0b918d-79d1-474a-83d5-e094af4b13c5</t>
  </si>
  <si>
    <t>2025-11-29T18:41:53Z</t>
  </si>
  <si>
    <t>nspeWnffakelgOICsswTAA</t>
  </si>
  <si>
    <t>64ef6144-583f-4868-8c0d-6a4409101c26</t>
  </si>
  <si>
    <t>vhagAar-EUycXDT4m4qtAA</t>
  </si>
  <si>
    <t>fe7a6bda-9847-4a95-8d31-5289cfcab2b1</t>
  </si>
  <si>
    <t>bZmI6BQ3cUOHDDsH9D8WAA</t>
  </si>
  <si>
    <t>d9516c9b-fc5c-4e32-8b9a-6c4edad4dad4</t>
  </si>
  <si>
    <t>2025-11-29T18:41:39Z</t>
  </si>
  <si>
    <t>GBLn_5m6CEOpOMn0zWIgAQ</t>
  </si>
  <si>
    <t>eac3fec0-cedd-4ae4-81dd-e2138a9fd277</t>
  </si>
  <si>
    <t>bZmI6BQ3cUOHDDsHvj0WAA</t>
  </si>
  <si>
    <t>b63dc442-aeae-4a8c-800f-3d6cb1396352</t>
  </si>
  <si>
    <t>ldeyU8jXUUy1xHpvAN3pAA</t>
  </si>
  <si>
    <t>29a39a88-9a70-4f00-8a02-10f561d74502</t>
  </si>
  <si>
    <t>2025-11-29T18:41:23Z</t>
  </si>
  <si>
    <t>'-p6h7r45Z0OPK3x9GXQ8AQ</t>
  </si>
  <si>
    <t>ee154e4a-bae5-45c6-8132-fca6d3a2df7d</t>
  </si>
  <si>
    <t>dqKJxjSgH0audDhNaPgIAA</t>
  </si>
  <si>
    <t>da8f2fba-ab7e-42ab-86ff-3c11f03f5a8a</t>
  </si>
  <si>
    <t>nOI3ieYyHkqTbu0zHG8TAA</t>
  </si>
  <si>
    <t>cdf3871f-c2df-4ccd-86be-d4dbbc1c05ea</t>
  </si>
  <si>
    <t>2025-11-29T18:32:59Z</t>
  </si>
  <si>
    <t>QTBZYAGorE--l9Nk05UHAA</t>
  </si>
  <si>
    <t>5d4713fd-78d4-4058-8101-d251f3f0829e</t>
  </si>
  <si>
    <t>jzdFalqNKEiUT9xE19gFAA</t>
  </si>
  <si>
    <t>03df3f19-e186-429b-8aa1-af10ff03f33d</t>
  </si>
  <si>
    <t>ij4nQfY7yEKUiCek6OArAQ</t>
  </si>
  <si>
    <t>b119baf8-fd31-421e-8ad5-adf1b202fdfe</t>
  </si>
  <si>
    <t>2025-11-29T18:30:16Z</t>
  </si>
  <si>
    <t>jkY5m_JtWUeGopbQI9xhAA</t>
  </si>
  <si>
    <t>5ed55638-dca5-4dd1-8083-9f4ba0d2eb28</t>
  </si>
  <si>
    <t>2025-11-29T18:29:56Z</t>
  </si>
  <si>
    <t>6eSZ3yIHu0OUno0NJVIAAA</t>
  </si>
  <si>
    <t>59289221-1667-4552-8a81-d8a0772608fe</t>
  </si>
  <si>
    <t>25P4rbI0L0Kcp33JNmYBAA</t>
  </si>
  <si>
    <t>07745cfe-4f4e-47bf-8333-b571a79c0665</t>
  </si>
  <si>
    <t>TvEEZkLg1Eyc2D153hstAQ</t>
  </si>
  <si>
    <t>4a26cb4e-ed79-4900-8039-0b9404d225ad</t>
  </si>
  <si>
    <t>2025-11-29T18:29:38Z</t>
  </si>
  <si>
    <t>PU4IKPck2kStJ1OwUKQTAA</t>
  </si>
  <si>
    <t>471ba96e-233e-461f-824c-248e718cf4d2</t>
  </si>
  <si>
    <t>mBtJ-QfuMUS46xz6_v1SAA</t>
  </si>
  <si>
    <t>66044a82-53ed-4dd5-8e53-96cc1d59c97c</t>
  </si>
  <si>
    <t>kCfxVHNOzk-thZJT268WAA</t>
  </si>
  <si>
    <t>2a929abe-8b6d-4fcd-8a95-24f6aca85d5b</t>
  </si>
  <si>
    <t>2025-11-29T18:29:37Z</t>
  </si>
  <si>
    <t>SharePoint Online Web Client Extensibility</t>
  </si>
  <si>
    <t>50fea615-d2e6-4fcf-8877-3c9c1e50d82c</t>
  </si>
  <si>
    <t>zSTgElP6dES47htG2sAFAA</t>
  </si>
  <si>
    <t>31acf91a-47d3-4f21-86c8-082306649d0f</t>
  </si>
  <si>
    <t>2025-11-29T18:29:32Z</t>
  </si>
  <si>
    <t>Office 365 SharePoint Online</t>
  </si>
  <si>
    <t>00000003-0000-0ff1-ce00-000000000000</t>
  </si>
  <si>
    <t>LI0F61A1E0CH9O5J9jUGAA</t>
  </si>
  <si>
    <t>88aec59a-659c-4106-8d01-ae1ca531d549</t>
  </si>
  <si>
    <t>2025-11-29T18:29:16Z</t>
  </si>
  <si>
    <t>LI0F61A1E0CH9O5JbjMGAA</t>
  </si>
  <si>
    <t>4fb6f556-cd5c-4a97-82e5-8d03d4cf654a</t>
  </si>
  <si>
    <t>2025-11-29T18:28:35Z</t>
  </si>
  <si>
    <t>ZcmOdjeQX0eOH3L8bewnAA</t>
  </si>
  <si>
    <t>2025-11-29T18:28:14Z</t>
  </si>
  <si>
    <t>AMAXj_CKFEaXikBL9QYmAA</t>
  </si>
  <si>
    <t>91743878-c955-4dad-8624-b0baf83e51db</t>
  </si>
  <si>
    <t>2025-11-29T18:27:00Z</t>
  </si>
  <si>
    <t>d07oURtUZ021p1WVIB4lAA</t>
  </si>
  <si>
    <t>494fec10-54f2-4e58-82c6-1d58f3396151</t>
  </si>
  <si>
    <t>A-CiV6CZXECQb1krevkUAQ</t>
  </si>
  <si>
    <t>700a98bc-7770-43ee-833b-cfc112e435e8</t>
  </si>
  <si>
    <t>ixly_FxPR0CHCzjVJ68HAA</t>
  </si>
  <si>
    <t>68f6c4e6-5358-46a5-8fbc-c3e2378cbfcf</t>
  </si>
  <si>
    <t>2025-11-29T18:25:00Z</t>
  </si>
  <si>
    <t>The password is expired.</t>
  </si>
  <si>
    <t>The user's password is expired, and therefore their login or session was ended. They will be offered the opportunity to reset it, or may ask an admin to reset it via https://learn.microsoft.com/entra/fundamentals/users-reset-password-azure-portal</t>
  </si>
  <si>
    <t>d583167b-9abf-4c5e-8826-523472054ca4</t>
  </si>
  <si>
    <t>ko-xvFZesk2jateGd50nAQ</t>
  </si>
  <si>
    <t>2025-11-29T18:08:30Z</t>
  </si>
  <si>
    <t>3KpNVj8ZJkWtPYKkct0XAQ</t>
  </si>
  <si>
    <t>8b7757e3-fff4-47b3-8076-cf5f8b9700b2</t>
  </si>
  <si>
    <t>2025-11-29T18:05:45Z</t>
  </si>
  <si>
    <t>Rivera5 Timothy3</t>
  </si>
  <si>
    <t>robinson4@treyresearch.com</t>
  </si>
  <si>
    <t>138.68.189.3</t>
  </si>
  <si>
    <t>Fairhaven</t>
  </si>
  <si>
    <t xml:space="preserve"> Lake District</t>
  </si>
  <si>
    <t>Failure</t>
  </si>
  <si>
    <t>Error validating credentials due to invalid username or password.</t>
  </si>
  <si>
    <t>Edge 111.0.1661</t>
  </si>
  <si>
    <t>Mozilla/5.0 (Windows NT 10.0; Win64; x64) AppleWebKit/537.36 (KHTML, like Gecko) Edg/111.0.1661.44 Safari/537.36</t>
  </si>
  <si>
    <t>The user didn't enter the right credentials. ?It's expected to see some number of these errors in your logs due to users making mistakes.</t>
  </si>
  <si>
    <t>RQEOPQoteU6y8zBaj9OQAA</t>
  </si>
  <si>
    <t>c8b1ed96-de0d-41e7-8020-5500b2cbd8d7</t>
  </si>
  <si>
    <t>GB</t>
  </si>
  <si>
    <t>England, Slough</t>
  </si>
  <si>
    <t>Slough</t>
  </si>
  <si>
    <t>"DigitalOcean, LLC"</t>
  </si>
  <si>
    <t>AS14061</t>
  </si>
  <si>
    <t>138.68.36.0-138.68.255.255</t>
  </si>
  <si>
    <t>England</t>
  </si>
  <si>
    <t>London</t>
  </si>
  <si>
    <t>DigitalOcean, LLC</t>
  </si>
  <si>
    <t>"is_datacenter"</t>
  </si>
  <si>
    <t>0.0712 (High)</t>
  </si>
  <si>
    <t>138.68.176.0/20</t>
  </si>
  <si>
    <t>hosting</t>
  </si>
  <si>
    <t>2025-11-29T18:05:44Z</t>
  </si>
  <si>
    <t>CJyOEyit1k-ddbhay7tZAA</t>
  </si>
  <si>
    <t>0aa522c1-a23a-471d-8a36-6158d4db8edf</t>
  </si>
  <si>
    <t>2025-11-29T17:55:55Z</t>
  </si>
  <si>
    <t>Edwards4 Perez8</t>
  </si>
  <si>
    <t>jenkins3@treyresearch.com</t>
  </si>
  <si>
    <t>Chrome 109.0.0</t>
  </si>
  <si>
    <t>Mozilla/5.0 (Windows NT 10.0; Win64; x64) AppleWebKit/537.36 (KHTML, like Gecko) Chrome/109.0.0.75 Safari/537.36</t>
  </si>
  <si>
    <t>1e8047ae-1914-477d-8a41-36ce7ed11aa1</t>
  </si>
  <si>
    <t>mBtJ-QfuMUS46xz6otRRAA</t>
  </si>
  <si>
    <t>80ef7525-badf-420a-8873-52a9a02fd0b5</t>
  </si>
  <si>
    <t>2025-11-29T17:27:32Z</t>
  </si>
  <si>
    <t>Ward3 Long3</t>
  </si>
  <si>
    <t>howard3@treyresearch.com</t>
  </si>
  <si>
    <t>5b7a9a1a-23d2-414c-856f-2841d1ece345</t>
  </si>
  <si>
    <t>r91OIPuIeEq4j-hnqWQlAA</t>
  </si>
  <si>
    <t>f8654d15-6dd8-408c-88f3-1b9285e2d456</t>
  </si>
  <si>
    <t>uvj5ms7TWECfCakiQcktAA</t>
  </si>
  <si>
    <t>2025-11-29T17:27:01Z</t>
  </si>
  <si>
    <t>qUK3BZScMkCWkGL3X902AA</t>
  </si>
  <si>
    <t>4d0e5ecc-8d2e-4916-8bfe-e5d73cdb406c</t>
  </si>
  <si>
    <t>2025-11-29T17:27:00Z</t>
  </si>
  <si>
    <t>6FxtoafqCkiBe8LaB8sZAQ</t>
  </si>
  <si>
    <t>0f04a552-9c15-475f-8e66-e552359dd160</t>
  </si>
  <si>
    <t>2025-11-29T17:25:51Z</t>
  </si>
  <si>
    <t>WV14WE2Lu0SpTtZxqhETAA</t>
  </si>
  <si>
    <t>41f3fb75-0ee1-4335-8f40-e64c753356bf</t>
  </si>
  <si>
    <t>2025-11-29T17:25:50Z</t>
  </si>
  <si>
    <t>E6xijtn2BEqwo4qcprUGAA</t>
  </si>
  <si>
    <t>2025-11-29T17:24:36Z</t>
  </si>
  <si>
    <t>309f8d5a-58b7-4138-8bec-b3d15bec09e8</t>
  </si>
  <si>
    <t>aSlmZhHKOEeNx-vC4dQTAA</t>
  </si>
  <si>
    <t>29ba8566-372c-418b-897e-c2a8536ac917</t>
  </si>
  <si>
    <t>lgf-2D3Zl0S2UvebWcHSAA</t>
  </si>
  <si>
    <t>2025-11-29T17:24:17Z</t>
  </si>
  <si>
    <t>For security reasons, user confirmation is required to sign in to this tenant.</t>
  </si>
  <si>
    <t>GuY7vXOXq0C4ACNlMxYXAQ</t>
  </si>
  <si>
    <t>2025-11-29T17:19:55Z</t>
  </si>
  <si>
    <t>2600:1700:ec84:51d:bb98:5826:54a9:83d8</t>
  </si>
  <si>
    <t>152f70ee-d035-41ad-87e3-53bf5ec61cd4</t>
  </si>
  <si>
    <t>Edge 138.0.0</t>
  </si>
  <si>
    <t>Mozilla/5.0 (Windows NT 10.0; Win64; x64) AppleWebKit/537.36 (KHTML, like Gecko) Chrome/138.0.0.17 Safari/537.36 Edg/138.0.0.17</t>
  </si>
  <si>
    <t>3d158a76-0901-43b2-8152-2eb45767751a</t>
  </si>
  <si>
    <t>9BTK_Iyzyk-8SvHvbAoRAA</t>
  </si>
  <si>
    <t>1be3f783-b532-45b1-8d65-0cf40a79fbb2</t>
  </si>
  <si>
    <t>"AT&amp;T Enterprises, LLC"</t>
  </si>
  <si>
    <t>AS7018</t>
  </si>
  <si>
    <t>2600:1700:ec30:4e21::-2600:1700:ece1:86ff:ffff:ffff:ffff:ffff</t>
  </si>
  <si>
    <t>AT&amp;T Enterprises, LLC</t>
  </si>
  <si>
    <t>2600:1700::/28</t>
  </si>
  <si>
    <t>AT&amp;T Internet Services</t>
  </si>
  <si>
    <t>2025-11-29T17:17:42Z</t>
  </si>
  <si>
    <t>anPM8b1e7Uy1hjRr3swDAA</t>
  </si>
  <si>
    <t>a40a3c8a-43b4-491f-857f-47c00f11e9b5</t>
  </si>
  <si>
    <t>It_5vlkmd0eOjeaa72YLAA</t>
  </si>
  <si>
    <t>34470f95-5256-4845-85dd-3dfedac61065</t>
  </si>
  <si>
    <t>s9PxS6jONUmL8sjzmVgCAQ</t>
  </si>
  <si>
    <t>c65a04db-62a6-45e0-8f4b-69a5ba63646c</t>
  </si>
  <si>
    <t>2025-11-29T17:16:30Z</t>
  </si>
  <si>
    <t>eiUMlOBqm0m-Wr4ox48DAA</t>
  </si>
  <si>
    <t>ba71cd39-0664-4042-8399-40b41a51f601</t>
  </si>
  <si>
    <t>2025-11-29T17:16:22Z</t>
  </si>
  <si>
    <t>YJb9TGqCHkGVDDhASw0GAA</t>
  </si>
  <si>
    <t>fbb925a4-dc31-413b-881c-199e0f4313a9</t>
  </si>
  <si>
    <t>2025-11-29T17:16:06Z</t>
  </si>
  <si>
    <t>2U2dh0QpRU2mhn2iJOEGAQ</t>
  </si>
  <si>
    <t>e4643ad0-5b43-467a-8978-96a0673b22c8</t>
  </si>
  <si>
    <t>'-znDcfhaA0mNhEnVBZuRAA</t>
  </si>
  <si>
    <t>89ab9e3a-0671-41b2-8f6d-09000bee7cd6</t>
  </si>
  <si>
    <t>odRrxXHQeE6GI1NjlGkAAA</t>
  </si>
  <si>
    <t>f4aff802-4582-43d5-80d1-c1adc39d08a0</t>
  </si>
  <si>
    <t>2025-11-29T17:14:29Z</t>
  </si>
  <si>
    <t>XqaCFpq3AU-ldyjuGrkQAA</t>
  </si>
  <si>
    <t>abf66766-7096-405d-8cf6-500840b4f852</t>
  </si>
  <si>
    <t>uyf-ehYTSUqjUUqyeJEQAA</t>
  </si>
  <si>
    <t>96134d9c-0bf3-4484-87c4-1b663254afb1</t>
  </si>
  <si>
    <t>tdTmGpLKhkKGMgn0CrYDAA</t>
  </si>
  <si>
    <t>05a1edcb-9acc-4ab8-8124-04fefc208e3c</t>
  </si>
  <si>
    <t>2025-11-29T17:00:29Z</t>
  </si>
  <si>
    <t>Rogers5 Flores</t>
  </si>
  <si>
    <t>howard4@treyresearch.com</t>
  </si>
  <si>
    <t>Chrome 142.0.0</t>
  </si>
  <si>
    <t>Mozilla/5.0 (Windows NT 10.0; Win64; x64) AppleWebKit/537.36 (KHTML, like Gecko) Chrome/142.0.0.101 Safari/537.36</t>
  </si>
  <si>
    <t>6ddba86b-352c-40d6-85a6-c9683cca6640</t>
  </si>
  <si>
    <t>kCfxVHNOzk-thZJTebITAA</t>
  </si>
  <si>
    <t>822e790f-0f15-4205-823b-82814f4e6560</t>
  </si>
  <si>
    <t>2025-11-29T16:59:45Z</t>
  </si>
  <si>
    <t>1KXHnoVMd0-cDIOJiCcpAA</t>
  </si>
  <si>
    <t>428fd80b-29a6-4d9a-821f-69a0a4c4e903</t>
  </si>
  <si>
    <t>2025-11-29T16:59:26Z</t>
  </si>
  <si>
    <t>K1QFEtD4P0u9A8bXnVMNAA</t>
  </si>
  <si>
    <t>bdc4f7ea-659d-4c28-8426-74772813c248</t>
  </si>
  <si>
    <t>D6emgSIiwUebgK4jnGcQAA</t>
  </si>
  <si>
    <t>493ab938-7df6-44b8-8162-110685b9bd2f</t>
  </si>
  <si>
    <t>2025-11-29T16:59:25Z</t>
  </si>
  <si>
    <t>ntNwYZmoQkSP8K65n7cMAA</t>
  </si>
  <si>
    <t>d2bba864-d921-4e10-84c1-099f8e6b2e58</t>
  </si>
  <si>
    <t>2025-11-29T16:55:13Z</t>
  </si>
  <si>
    <t>4UWwx0V28kK6QjhBDt0QAA</t>
  </si>
  <si>
    <t>4a00bf68-68ba-4b46-8a49-ba67f1f4acb4</t>
  </si>
  <si>
    <t>Fqs21dQRzEW3Hgb9vgsGAA</t>
  </si>
  <si>
    <t>8d8b70c8-b54f-4414-8634-f0150ead811a</t>
  </si>
  <si>
    <t>bHIWcjXYs0a6yXdpCQG6AA</t>
  </si>
  <si>
    <t>324b9359-0d79-4820-8df8-733f270cc0eb</t>
  </si>
  <si>
    <t>2025-11-29T16:54:11Z</t>
  </si>
  <si>
    <t>bUvvGWvsQUSD-jji-s0pAA</t>
  </si>
  <si>
    <t>5ed50712-5b5f-4a1b-8ebd-feec9af77759</t>
  </si>
  <si>
    <t>2025-11-29T16:53:07Z</t>
  </si>
  <si>
    <t>Fqs21dQRzEW3Hgb9TfgFAA</t>
  </si>
  <si>
    <t>94ee8da5-a20d-4f93-8545-f8ce5ff1bfbf</t>
  </si>
  <si>
    <t>wJzBqeCe50SMzsIeHPoDAA</t>
  </si>
  <si>
    <t>25321347-4982-4586-8db3-1ecaa00bd793</t>
  </si>
  <si>
    <t>bHIWcjXYs0a6yXdpJfG5AA</t>
  </si>
  <si>
    <t>0e3dd50b-0b57-4830-8eeb-3a5f602faf77</t>
  </si>
  <si>
    <t>2025-11-29T16:52:30Z</t>
  </si>
  <si>
    <t>dqI9hL6AtUeARO1K6UMdAQ</t>
  </si>
  <si>
    <t>9c96108e-2fc4-4792-8fd3-bdfd5a0617ec</t>
  </si>
  <si>
    <t>QzdlGNlcZUCoBJXHtZ0RAA</t>
  </si>
  <si>
    <t>bb8ffa76-fe12-4ea2-8fb8-9425629e06d3</t>
  </si>
  <si>
    <t>UWApKW6wmEGRRqY-W2wEAA</t>
  </si>
  <si>
    <t>31b73a8c-b69e-4dea-881f-c49995690f28</t>
  </si>
  <si>
    <t>2025-11-29T16:51:26Z</t>
  </si>
  <si>
    <t>rZ0bAIm8s0G81Taoy4MnAQ</t>
  </si>
  <si>
    <t>4ab243e9-7ce1-4e11-8f39-8991b0cc731b</t>
  </si>
  <si>
    <t>2025-11-29T16:50:07Z</t>
  </si>
  <si>
    <t>1UFmHANAE0yTozOCz4NgAQ</t>
  </si>
  <si>
    <t>0eb6846d-c110-4064-8b70-763fee92b16d</t>
  </si>
  <si>
    <t>9mJXqZ0qEUC3p2KD_zYSAA</t>
  </si>
  <si>
    <t>306dd774-e670-4f4d-82b6-aa08741ab815</t>
  </si>
  <si>
    <t>9mJXqZ0qEUC3p2KD8TYSAA</t>
  </si>
  <si>
    <t>58915344-27c8-4a3a-8116-c31f57e3eb44</t>
  </si>
  <si>
    <t>2025-11-29T16:49:10Z</t>
  </si>
  <si>
    <t>osw_rtIxCk2DOhJtDfABAA</t>
  </si>
  <si>
    <t>6426a779-f431-4ea0-8db5-6e543f5e4c0e</t>
  </si>
  <si>
    <t>wnZ80d8S-kilaMfxruMDAA</t>
  </si>
  <si>
    <t>12d73f72-03bc-43cb-82f3-f51ba76a44bf</t>
  </si>
  <si>
    <t>sEFGzqP48EOmjfeFOBEdAQ</t>
  </si>
  <si>
    <t>3bcc1235-f611-4ddc-85cb-07d4daadb545</t>
  </si>
  <si>
    <t>2025-11-29T16:48:52Z</t>
  </si>
  <si>
    <t>aibY0yCnjUCipXE80-EBAA</t>
  </si>
  <si>
    <t>3af1f77e-453f-4386-8487-73107ddd7806</t>
  </si>
  <si>
    <t>XdscV0DJaEGKic1hVvkFAA</t>
  </si>
  <si>
    <t>f49c85ae-aea6-4756-86b5-7b7ef80f59b9</t>
  </si>
  <si>
    <t>sOFzi1jqqEGV4qAMJlohAQ</t>
  </si>
  <si>
    <t>a908fd07-5c1e-4f5c-80c8-cfb1faec75cf</t>
  </si>
  <si>
    <t>2025-11-29T16:48:40Z</t>
  </si>
  <si>
    <t>MD4BfgYMTEyP0tlhgYekAA</t>
  </si>
  <si>
    <t>69ea664e-4119-483e-89dc-8a4c861f2028</t>
  </si>
  <si>
    <t>2025-11-29T16:46:08Z</t>
  </si>
  <si>
    <t>HBTmtTgPjkujt2TE9BMyAA</t>
  </si>
  <si>
    <t>02ad9a44-19dc-4193-87ee-73d1805bd10f</t>
  </si>
  <si>
    <t>2025-11-29T16:46:07Z</t>
  </si>
  <si>
    <t>HILMsUel-E6coIkxPCkCAA</t>
  </si>
  <si>
    <t>e0522a25-8a28-488c-889f-719330d9cb2e</t>
  </si>
  <si>
    <t>2025-11-29T16:45:30Z</t>
  </si>
  <si>
    <t>It2AoBkvo0eggofgLFYCAA</t>
  </si>
  <si>
    <t>bc0615a1-eae0-4781-8dda-69766185559a</t>
  </si>
  <si>
    <t>KfTdg3D_-k-klaUgr8oRAA</t>
  </si>
  <si>
    <t>cd174ea5-1e3c-4698-8e48-f6cd1c6d8d7d</t>
  </si>
  <si>
    <t>A96fJsUtPEyzArP8fQ5LAA</t>
  </si>
  <si>
    <t>7f114cd6-1b5c-4e81-8ca6-f897e228e2e4</t>
  </si>
  <si>
    <t>2025-11-29T16:45:29Z</t>
  </si>
  <si>
    <t>KfTdg3D_-k-klaUgbcoRAA</t>
  </si>
  <si>
    <t>7814eff9-7ef4-486e-87b6-3e420ff49baa</t>
  </si>
  <si>
    <t>2025-11-29T16:45:24Z</t>
  </si>
  <si>
    <t>2U0Kgw2alU6Pdsjd2YQbAQ</t>
  </si>
  <si>
    <t>4ab7218a-d9ee-4d78-8e4f-5afc3678d432</t>
  </si>
  <si>
    <t>2025-11-29T16:43:22Z</t>
  </si>
  <si>
    <t>Brooks2 Lee4</t>
  </si>
  <si>
    <t>brian2@treyresearch.com</t>
  </si>
  <si>
    <t>894ce781-160e-404f-8d14-cf0a328a8d94</t>
  </si>
  <si>
    <t>ZmJWkagjWES2MbB8Ato9AQ</t>
  </si>
  <si>
    <t>b2b22600-dc34-4e20-8392-76556a8d79d7</t>
  </si>
  <si>
    <t>6xnMDh78xkCxfeHmPZEDAA</t>
  </si>
  <si>
    <t>2025-11-29T16:42:04Z</t>
  </si>
  <si>
    <t>rMWPTuGD30q45nf-kZ4rAQ</t>
  </si>
  <si>
    <t>2025-11-29T16:41:17Z</t>
  </si>
  <si>
    <t>nOI3ieYyHkqTbu0z7BUPAA</t>
  </si>
  <si>
    <t>a3f7ce62-8425-4991-8f56-5c4521af0274</t>
  </si>
  <si>
    <t>2025-11-29T16:40:56Z</t>
  </si>
  <si>
    <t>k1NPfwrloEOlfwiTyhFHAA</t>
  </si>
  <si>
    <t>362afa27-2103-4c53-8396-3184a7c0d778</t>
  </si>
  <si>
    <t>2025-11-29T16:40:55Z</t>
  </si>
  <si>
    <t>T2NEi5NDM0GBjDO1bcIQAA</t>
  </si>
  <si>
    <t>52900a26-623b-4d9f-8b74-4a85dd2b16bd</t>
  </si>
  <si>
    <t>vnBfF20JE0S9xb3EwOAQAQ</t>
  </si>
  <si>
    <t>35f610c4-4fc3-4d09-83ce-87759221f90e</t>
  </si>
  <si>
    <t>2025-11-29T16:40:42Z</t>
  </si>
  <si>
    <t>u-pyQ7hvFU-3m-RNrgsQAA</t>
  </si>
  <si>
    <t>79cec41a-2adb-43bd-84c7-b14146423797</t>
  </si>
  <si>
    <t>6AFW4DGKfUqUuZcqa5IGAA</t>
  </si>
  <si>
    <t>bbf03372-5dc4-4e14-8254-586a69aa2494</t>
  </si>
  <si>
    <t>k1NPfwrloEOlfwiT3g5HAA</t>
  </si>
  <si>
    <t>bdc3c19d-a469-4821-8a2d-4b28f666590d</t>
  </si>
  <si>
    <t>2025-11-29T16:26:17Z</t>
  </si>
  <si>
    <t>ldeyU8jXUUy1xHpvKoDlAA</t>
  </si>
  <si>
    <t>1335f769-c495-4e09-8d28-42529a67ce9a</t>
  </si>
  <si>
    <t>SmbBw_25pUKm7euGSBoDAA</t>
  </si>
  <si>
    <t>4f93d3e0-ac5a-4ea3-871c-91fc911face9</t>
  </si>
  <si>
    <t>1KXHnoVMd0-cDIOJ6BYoAA</t>
  </si>
  <si>
    <t>21d68e65-bd66-458e-8b93-f1e29d28aed3</t>
  </si>
  <si>
    <t>2025-11-29T16:25:34Z</t>
  </si>
  <si>
    <t>SmbBw_25pUKm7euGLhIDAA</t>
  </si>
  <si>
    <t>a02fbef6-dd5b-4cec-8925-674a62c59bb6</t>
  </si>
  <si>
    <t>hqjwY4fkHUeAeYR77vYQAA</t>
  </si>
  <si>
    <t>932b0611-2159-41ae-8abe-5e17483350cb</t>
  </si>
  <si>
    <t>DMh1PinKQ0msQmu1qebJAA</t>
  </si>
  <si>
    <t>b7570e16-31ed-4f75-80f4-68abf8a858b2</t>
  </si>
  <si>
    <t>2025-11-29T16:23:43Z</t>
  </si>
  <si>
    <t>5z5EfY4t3EaaZHAzsjYHAQ</t>
  </si>
  <si>
    <t>67ba7b0c-ab79-4d80-888c-ee0ff7a1eb62</t>
  </si>
  <si>
    <t>8OT-AM6QOU2OUq06Y04LAQ</t>
  </si>
  <si>
    <t>74148538-70fa-4cf7-8045-d6015fdb84e9</t>
  </si>
  <si>
    <t>'-znDcfhaA0mNhEnV476PAA</t>
  </si>
  <si>
    <t>653784fe-2ef4-42ce-8f0d-c8b116eb55b2</t>
  </si>
  <si>
    <t>2025-11-29T16:10:22Z</t>
  </si>
  <si>
    <t>C2GAK7E560GtacI0_d0vAA</t>
  </si>
  <si>
    <t>f9d33a77-a404-4577-873f-47b1d8153760</t>
  </si>
  <si>
    <t>bwnmjHlZSkOd1SbkT68MAA</t>
  </si>
  <si>
    <t>7cfc9c4e-2e1d-46f7-8173-709407748e99</t>
  </si>
  <si>
    <t>G9Wsq9KzoUC459GCQdx4AA</t>
  </si>
  <si>
    <t>aa2ad358-af74-4636-89a5-6b2bda388db3</t>
  </si>
  <si>
    <t>2025-11-29T16:10:19Z</t>
  </si>
  <si>
    <t>AnrARDHTwkyV9IlaniQNAA</t>
  </si>
  <si>
    <t>b794ca3e-54e4-41dc-8357-cdcc0aed3e7a</t>
  </si>
  <si>
    <t>2025-11-29T16:10:10Z</t>
  </si>
  <si>
    <t>W8PH14CisEOaDSHS3O4AAQ</t>
  </si>
  <si>
    <t>764e60bc-a5e5-4d1f-881f-85c5f97219ff</t>
  </si>
  <si>
    <t>2025-11-29T15:51:27Z</t>
  </si>
  <si>
    <t>eNKOuCcwWUypObD9g1myAA</t>
  </si>
  <si>
    <t>b77d6962-2bb1-429a-87f7-83e75f9f6f64</t>
  </si>
  <si>
    <t>2025-11-29T15:51:14Z</t>
  </si>
  <si>
    <t>Authentication failed due to flow token expired.</t>
  </si>
  <si>
    <t>Expected - auth codes, refresh tokens, and sessions expire over time or are revoked by the user or an admin. The app will request a new login from the user.</t>
  </si>
  <si>
    <t>fjKl-GXs-kC9Kv9OGZZAAQ</t>
  </si>
  <si>
    <t>2025-11-29T15:41:54Z</t>
  </si>
  <si>
    <t>s5zE2RQH-UqN4DuYBK9ZAA</t>
  </si>
  <si>
    <t>264f0d44-56c6-4fa5-8e72-7ecac96f7d26</t>
  </si>
  <si>
    <t>yB8nWV-gXESeG7MqMrIqAQ</t>
  </si>
  <si>
    <t>c34ea19d-eb6b-41e2-87c1-d9ef148e5ba5</t>
  </si>
  <si>
    <t>GC-XKaNfmkOcR-vwmhUBAA</t>
  </si>
  <si>
    <t>568487bc-0dc0-4d46-8094-cad55bb862a8</t>
  </si>
  <si>
    <t>2025-11-29T15:41:50Z</t>
  </si>
  <si>
    <t>8_pVL8kSU0eSJjKI1GEAAA</t>
  </si>
  <si>
    <t>76cf4858-17cf-45d5-8398-b3e708113b74</t>
  </si>
  <si>
    <t>2025-11-29T15:41:48Z</t>
  </si>
  <si>
    <t>K1QFEtD4P0u9A8bXFekKAA</t>
  </si>
  <si>
    <t>15d4253a-44eb-4191-822a-4911b7ded50a</t>
  </si>
  <si>
    <t>2025-11-29T15:11:35Z</t>
  </si>
  <si>
    <t>2603:6080:d605:6d2d:ba95:b9f8:9833:19d</t>
  </si>
  <si>
    <t>Kingsport 1</t>
  </si>
  <si>
    <t xml:space="preserve"> Lake District 2</t>
  </si>
  <si>
    <t>a7e469ed-1113-41a9-8e9f-d56d95e56167</t>
  </si>
  <si>
    <t>uvj5ms7TWECfCakirfgoAA</t>
  </si>
  <si>
    <t>14a6fd1b-2097-41cf-81a6-1d411a21b69a</t>
  </si>
  <si>
    <t>South Carolina</t>
  </si>
  <si>
    <t>Lexington</t>
  </si>
  <si>
    <t>Charter Communications Inc</t>
  </si>
  <si>
    <t>AS11426</t>
  </si>
  <si>
    <t>2603:6080::-2603:6081:4c00:8f1c:ffff:ffff:ffff:ffff</t>
  </si>
  <si>
    <t>0.0004 (Very Low)</t>
  </si>
  <si>
    <t>2603:6080::/28</t>
  </si>
  <si>
    <t>South Carolina, Lexington</t>
  </si>
  <si>
    <t>Spectrum</t>
  </si>
  <si>
    <t>2025-11-29T15:11:31Z</t>
  </si>
  <si>
    <t>ec0Z4R0ky0Shlv6me6g2AQ</t>
  </si>
  <si>
    <t>7705c969-7867-495e-8622-c3fc11411da9</t>
  </si>
  <si>
    <t>2025-11-29T15:11:09Z</t>
  </si>
  <si>
    <t>jetmGcaB-0Gby9QkcscqAA</t>
  </si>
  <si>
    <t>480546c0-7c9d-4d73-846d-5c602a72a65b</t>
  </si>
  <si>
    <t>2025-11-29T15:11:08Z</t>
  </si>
  <si>
    <t>1SxzWrRrjkWaKUZxib0PAA</t>
  </si>
  <si>
    <t>2025-11-29T15:11:06Z</t>
  </si>
  <si>
    <t>_OeAChLkrEeVrOhO-p8uAA</t>
  </si>
  <si>
    <t>2025-11-29T14:30:10Z</t>
  </si>
  <si>
    <t>Fc1ieyjoOkKecz0YT4MgAA</t>
  </si>
  <si>
    <t>ee20a19b-c3a2-4893-8db3-39084218e619</t>
  </si>
  <si>
    <t>2025-11-29T14:27:03Z</t>
  </si>
  <si>
    <t>Nancy3 Jonathan4</t>
  </si>
  <si>
    <t>andrew6@treyresearch.com</t>
  </si>
  <si>
    <t>ca66ef58-1080-4082-8e08-732589db6daa</t>
  </si>
  <si>
    <t>bf015a10-b9cb-47c2-868c-ab4e740da904</t>
  </si>
  <si>
    <t>hpF5CAf1GUu_AeiKmQAOAA</t>
  </si>
  <si>
    <t>be27a02f-d375-4a61-8d13-11ef9fe44c37</t>
  </si>
  <si>
    <t>2025-11-29T13:52:34Z</t>
  </si>
  <si>
    <t>V6f9uZZTi0SF1snuFwZBAA</t>
  </si>
  <si>
    <t>5f373e76-1cfb-4323-8dbe-0441fea5be72</t>
  </si>
  <si>
    <t>2025-11-29T13:52:24Z</t>
  </si>
  <si>
    <t>Gd9Nrp6zKEmp4pdF5DELAA</t>
  </si>
  <si>
    <t>dcd43e50-57e8-48f1-8e7f-b84cedb7b6a5</t>
  </si>
  <si>
    <t>2025-11-29T13:52:19Z</t>
  </si>
  <si>
    <t>External Application 2</t>
  </si>
  <si>
    <t>995aba03-b33e-4dec-89ce-e3de62f40baa</t>
  </si>
  <si>
    <t>sEFGzqP48EOmjfeFwnkWAQ</t>
  </si>
  <si>
    <t>efd71cd1-8b92-4400-8de9-8a79bb676533</t>
  </si>
  <si>
    <t>2025-11-29T13:47:30Z</t>
  </si>
  <si>
    <t>69.61.31.142</t>
  </si>
  <si>
    <t>Thornbury</t>
  </si>
  <si>
    <t>848f5229-75c5-4414-8c1a-7d32c509422d</t>
  </si>
  <si>
    <t>fDLZ2OqNR0eYoCvkULsKAA</t>
  </si>
  <si>
    <t>89968806-1109-474c-8c19-cc89eb894483</t>
  </si>
  <si>
    <t>Atlanta</t>
  </si>
  <si>
    <t>Cyber Wurx LLC</t>
  </si>
  <si>
    <t>AS22653</t>
  </si>
  <si>
    <t>69.61.27.0-69.61.31.255</t>
  </si>
  <si>
    <t>0.0012 (Low)</t>
  </si>
  <si>
    <t>69.61.0.0/17</t>
  </si>
  <si>
    <t>Georgia, Fulton</t>
  </si>
  <si>
    <t>Atlanta (Fairlie-Poplar)</t>
  </si>
  <si>
    <t>2025-11-29T13:46:52Z</t>
  </si>
  <si>
    <t>Mozilla/5.0 (Windows NT 10.0; Win64; x64) AppleWebKit/537.36 (KHTML, like Gecko) Chrome/141.0.0.247 Safari/537.36 Edg/141.0.0.247 OS/10.0.20348</t>
  </si>
  <si>
    <t>whTeQs0rgkKeR0YDnd8GAA</t>
  </si>
  <si>
    <t>1fc8c8f1-915b-4379-8df9-8029a66892bb</t>
  </si>
  <si>
    <t>2025-11-29T13:46:50Z</t>
  </si>
  <si>
    <t>Ps-TJ_kKl0Cqbx3B-ccbAQ</t>
  </si>
  <si>
    <t>2025-11-29T13:46:37Z</t>
  </si>
  <si>
    <t>'-8YW6WrUFkmtf4FRy7EkAQ</t>
  </si>
  <si>
    <t>2025-11-29T13:08:58Z</t>
  </si>
  <si>
    <t>j-KtGJtN_kGzLjo1irESAQ</t>
  </si>
  <si>
    <t>9d8c561e-e5d8-4bb7-81b2-c7aa7df2827b</t>
  </si>
  <si>
    <t>2025-11-29T13:08:56Z</t>
  </si>
  <si>
    <t>Microsoft Office</t>
  </si>
  <si>
    <t>d3590ed6-52b3-4102-aeff-aad2292ab01c</t>
  </si>
  <si>
    <t>Mobile Apps and Desktop clients</t>
  </si>
  <si>
    <t>Edge 18.20348</t>
  </si>
  <si>
    <t>Mozilla/5.0 (Windows NT 10.0; Win64; x64; WebView/3.0) AppleWebKit/537.36 (KHTML, like Gecko) Chrome/70.0.3538.102 Safari/537.36 Edge/18.20348</t>
  </si>
  <si>
    <t>a4899bdd-e160-4dfc-8a9a-44ff7e7c3704</t>
  </si>
  <si>
    <t>P7HXKNfgmUSzA4P6z5B7AA</t>
  </si>
  <si>
    <t>51d4f564-f73b-429b-8001-5313a65dc5d8</t>
  </si>
  <si>
    <t>2025-11-29T12:53:25Z</t>
  </si>
  <si>
    <t>23WjJr5rVUaeOab0wuQ-AA</t>
  </si>
  <si>
    <t>1208738f-a34c-4452-891a-89ad85d933df</t>
  </si>
  <si>
    <t>2025-11-29T12:46:26Z</t>
  </si>
  <si>
    <t>ktEJii-GbUCeSg2jqxcnAQ</t>
  </si>
  <si>
    <t>49e19754-ce6c-45f4-804e-298298a0cde5</t>
  </si>
  <si>
    <t>2025-11-29T12:38:40Z</t>
  </si>
  <si>
    <t>2612u8lcQ0i41WWjkPsOAQ</t>
  </si>
  <si>
    <t>c12ec3f8-7506-4867-8f5a-b1c27277d088</t>
  </si>
  <si>
    <t>2025-11-29T12:07:39Z</t>
  </si>
  <si>
    <t>PJZRy0wRcUq6MAQdf5YDAA</t>
  </si>
  <si>
    <t>45ed69d3-83d4-4ab6-8452-00f88ee7847f</t>
  </si>
  <si>
    <t>2025-11-29T12:07:32Z</t>
  </si>
  <si>
    <t>OyWBYj4Itkm0HNlvK1JWAA</t>
  </si>
  <si>
    <t>afa13341-c70d-46bd-88df-d41d43565b19</t>
  </si>
  <si>
    <t>2025-11-29T12:07:29Z</t>
  </si>
  <si>
    <t>GwhqCXyMK0-ragMxpOGUAA</t>
  </si>
  <si>
    <t>a27717f5-ea2c-453f-8587-896bbcadb7d0</t>
  </si>
  <si>
    <t>2025-11-29T11:49:35Z</t>
  </si>
  <si>
    <t>Microsoft People Cards Service</t>
  </si>
  <si>
    <t>1f997606-7f29-4ce6-8bd2-ce1aab01972a</t>
  </si>
  <si>
    <t>be256288-1e77-41e2-806f-096da70a5555</t>
  </si>
  <si>
    <t>775b1160-58e7-4114-87c6-2bf08af3c6e2</t>
  </si>
  <si>
    <t>WcJ3nU4N60iFZ42fh6UpAA</t>
  </si>
  <si>
    <t>4c29b74c-5b27-488e-8e37-99db72e5b6b4</t>
  </si>
  <si>
    <t>2025-11-29T08:41:26Z</t>
  </si>
  <si>
    <t>S9oViBdCfke-cze9FeQUAA</t>
  </si>
  <si>
    <t>2ee29120-aa9b-4239-800d-b6ce074aad1f</t>
  </si>
  <si>
    <t>2025-11-29T08:35:40Z</t>
  </si>
  <si>
    <t>qN6HzXW0iUm50rn5TSoFAQ</t>
  </si>
  <si>
    <t>0f5ba5a1-c67d-43ba-8033-c604cb8668ac</t>
  </si>
  <si>
    <t>2025-11-29T04:36:26Z</t>
  </si>
  <si>
    <t>hr_K1Fb9rE6MkGemBq4vAQ</t>
  </si>
  <si>
    <t>19d4b5b3-7729-49b9-8b78-cb1b4deab9cc</t>
  </si>
  <si>
    <t>2025-11-29T04:32:40Z</t>
  </si>
  <si>
    <t>rpkjeNCFpkuK1LBbUwAWAA</t>
  </si>
  <si>
    <t>deea0e52-35a2-4ce6-8e9f-41aecce1a88f</t>
  </si>
  <si>
    <t>2025-11-29T00:59:17Z</t>
  </si>
  <si>
    <t>2601:b018:ff0a:3a79:2b09:670:505f:c0b9</t>
  </si>
  <si>
    <t>e46be192-7695-4ace-8e38-8a65bfb4a211</t>
  </si>
  <si>
    <t>uFAXXkGGVEufy1ySmimzAA</t>
  </si>
  <si>
    <t>6baba54f-2588-4ec3-8fba-587dcae680c7</t>
  </si>
  <si>
    <t>Conexon Connect</t>
  </si>
  <si>
    <t>AS399898</t>
  </si>
  <si>
    <t>2601:b001:2324::-2601:b058:ac:f6ff:ffff:ffff:ffff:ffff</t>
  </si>
  <si>
    <t>Camilla</t>
  </si>
  <si>
    <t>0.0002 (Very Low)</t>
  </si>
  <si>
    <t>2601:b018::/32</t>
  </si>
  <si>
    <t>Georgia, Brooks</t>
  </si>
  <si>
    <t>Quitman</t>
  </si>
  <si>
    <t>2025-11-29T00:59:13Z</t>
  </si>
  <si>
    <t>Nm6cn6IqPEKR9hgGn9U2AA</t>
  </si>
  <si>
    <t>2c053315-4eb4-4cef-80c9-92dd00ee7359</t>
  </si>
  <si>
    <t>2025-11-29T00:30:26Z</t>
  </si>
  <si>
    <t>V4ovwQM4dk27tOjdKIwCAQ</t>
  </si>
  <si>
    <t>78b4d01a-5757-41ad-8662-828a6ca8ff3f</t>
  </si>
  <si>
    <t>2025-11-29T00:29:39Z</t>
  </si>
  <si>
    <t>CsHAuNbio02PnRF9ibX3AA</t>
  </si>
  <si>
    <t>71c97c07-96d9-4ac3-8955-dc5a8846162e</t>
  </si>
  <si>
    <t>2025-11-28T20:26:39Z</t>
  </si>
  <si>
    <t>7Q1QUdOkgkiC8uMgu5grAA</t>
  </si>
  <si>
    <t>b89791f9-271d-4673-8366-68ebbd2fda33</t>
  </si>
  <si>
    <t>2025-11-28T20:25:26Z</t>
  </si>
  <si>
    <t>tN1xxUvsfkiYjdKI8Sc2AA</t>
  </si>
  <si>
    <t>cb4091d8-a7b3-4a91-832f-09ca6506877c</t>
  </si>
  <si>
    <t>2025-11-28T17:59:42Z</t>
  </si>
  <si>
    <t>tn5UYNb5Z0Kn1eBm9hIrAA</t>
  </si>
  <si>
    <t>6c17385b-d48c-47a6-8054-a1662d74d69e</t>
  </si>
  <si>
    <t>2025-11-28T17:07:06Z</t>
  </si>
  <si>
    <t>'-Qu09S4EV0mq7Uy9eRzzAA</t>
  </si>
  <si>
    <t>b6a174f3-8669-491d-8ed1-c87b87eb0b35</t>
  </si>
  <si>
    <t>2025-11-28T16:22:39Z</t>
  </si>
  <si>
    <t>xymOziVsR0eAiQeyEEoLAQ</t>
  </si>
  <si>
    <t>832ddb2f-11aa-4b35-8b57-90e31253086b</t>
  </si>
  <si>
    <t>2025-11-28T16:20:26Z</t>
  </si>
  <si>
    <t>Nh2Ir5xeXkSlrLAvBX4DAQ</t>
  </si>
  <si>
    <t>6a6bfdd5-98e5-43cd-837f-7d00e1c2884f</t>
  </si>
  <si>
    <t>2025-11-28T13:11:49Z</t>
  </si>
  <si>
    <t>JY5bM9i_gEGP6hcw8kr1AA</t>
  </si>
  <si>
    <t>ea595177-feed-4699-811a-e53d72c5c187</t>
  </si>
  <si>
    <t>2025-11-28T13:11:46Z</t>
  </si>
  <si>
    <t>B8WhTiSfEk2f0cyPIVkEAQ</t>
  </si>
  <si>
    <t>99c0aee0-cc53-43c3-879e-08fc70e18d34</t>
  </si>
  <si>
    <t>2025-11-28T13:10:56Z</t>
  </si>
  <si>
    <t>Dc7zMtm_zkivo0sEmpUAAA</t>
  </si>
  <si>
    <t>e42af6f9-3871-49b7-8a60-ef88a1a3e747</t>
  </si>
  <si>
    <t>2025-11-28T13:00:25Z</t>
  </si>
  <si>
    <t>S6cyvMxmOUuzHo6OtukQAA</t>
  </si>
  <si>
    <t>da823b3d-9302-451e-81f7-d22545db32ef</t>
  </si>
  <si>
    <t>2025-11-28T13:00:19Z</t>
  </si>
  <si>
    <t>KP9GYfWTDUqHzKOsv2UlAA</t>
  </si>
  <si>
    <t>865d1404-5199-4ea3-8218-40329eefe18a</t>
  </si>
  <si>
    <t>2025-11-28T12:19:39Z</t>
  </si>
  <si>
    <t>hEec8d7zc06ojX1wpoD9AA</t>
  </si>
  <si>
    <t>3ff700b8-fccc-4948-8b62-85c0a39462fa</t>
  </si>
  <si>
    <t>2025-11-28T12:15:26Z</t>
  </si>
  <si>
    <t>wTORw2R_KEOiYA9CieUCAA</t>
  </si>
  <si>
    <t>65928b16-cd13-4b0f-87b9-1580301bc702</t>
  </si>
  <si>
    <t>2025-11-28T12:13:31Z</t>
  </si>
  <si>
    <t>vxtQOfja6UidX2i1-tbxAA</t>
  </si>
  <si>
    <t>9f5256b5-c7fa-4d1b-8ca8-6146459dfe04</t>
  </si>
  <si>
    <t>2025-11-28T11:09:00Z</t>
  </si>
  <si>
    <t>3jXjq8FnU0SzQxWFcSAFAQ</t>
  </si>
  <si>
    <t>effe599e-edf3-4ca7-83ad-2489a0c822a2</t>
  </si>
  <si>
    <t>2025-11-28T08:16:38Z</t>
  </si>
  <si>
    <t>gHTPGm-A90WRoh9S0lnlAA</t>
  </si>
  <si>
    <t>9a2e8ca0-65a6-4f1a-8526-d868761276f8</t>
  </si>
  <si>
    <t>2025-11-28T08:10:25Z</t>
  </si>
  <si>
    <t>CGV73QJtykuSonAtZPIFAQ</t>
  </si>
  <si>
    <t>2cc5ee23-c221-4521-8c0d-f242ffaf981c</t>
  </si>
  <si>
    <t>2025-11-28T07:41:27Z</t>
  </si>
  <si>
    <t>5.180.252.69</t>
  </si>
  <si>
    <t>Riverton</t>
  </si>
  <si>
    <t xml:space="preserve"> Lowland Region 1</t>
  </si>
  <si>
    <t xml:space="preserve"> DE</t>
  </si>
  <si>
    <t>The account is locked, you've tried to sign in too many times with an incorrect user ID or password.</t>
  </si>
  <si>
    <t>Firefox 116.0</t>
  </si>
  <si>
    <t>Mozilla/5.0 (Windows NT 10.0; Win64; x64; rv:109.0) Gecko/20100101 Firefox/116.0</t>
  </si>
  <si>
    <t>This error can be returned for two reasons - the sign in could have come from a malicious IP address, or the account was locked due to repeated sign-in attempts. Only one error code is used to prevent an attacker from distinguishing between the states. In your Azure AD tenant, you can distinguish between these states by looking at the specific sign-in log entry for this request. For accounts locked for too many attempts, see https://learn.microsoft.com/entra/id-protection/howto-identity-protection-remediate-unblock</t>
  </si>
  <si>
    <t>8U5p2Tz5CU2IHQM_8ZHwAA</t>
  </si>
  <si>
    <t>3e34c194-9a15-41cc-8126-17f1ce9ace50</t>
  </si>
  <si>
    <t>DE</t>
  </si>
  <si>
    <t>Hesse</t>
  </si>
  <si>
    <t>Offenbach</t>
  </si>
  <si>
    <t>SYNLINQ</t>
  </si>
  <si>
    <t>AS44486</t>
  </si>
  <si>
    <t>5.180.252.0-5.180.255.255</t>
  </si>
  <si>
    <t>Bavaria</t>
  </si>
  <si>
    <t>Hengersberg</t>
  </si>
  <si>
    <t>Oliver Horscht is trading as SYNLINQ</t>
  </si>
  <si>
    <t>FameSystems GmbH &amp; Co. KG</t>
  </si>
  <si>
    <t>0.0232 (Elevated)</t>
  </si>
  <si>
    <t>5.180.252.0/23</t>
  </si>
  <si>
    <t>Hesse, Regierungsbezirk Darmstadt</t>
  </si>
  <si>
    <t>Frankfurt am Main</t>
  </si>
  <si>
    <t>Oliver Horscht is trading as "SYNLINQ"</t>
  </si>
  <si>
    <t>2025-11-28T04:13:37Z</t>
  </si>
  <si>
    <t>nHwbhpb2_0iWMQp5BZjtAA</t>
  </si>
  <si>
    <t>40382a7e-e8f2-49f0-88c7-0336eb8e6f2a</t>
  </si>
  <si>
    <t>2025-11-28T04:04:25Z</t>
  </si>
  <si>
    <t>l9QDIBH4fkC5SWN23QZoAA</t>
  </si>
  <si>
    <t>7d61ef4f-ecfa-4ae7-8630-ef78f35bd6fd</t>
  </si>
  <si>
    <t>2025-11-28T00:10:38Z</t>
  </si>
  <si>
    <t>Zx_mbKENyUyRcJ4qN4AKAA</t>
  </si>
  <si>
    <t>aea419ba-b222-4c68-848f-6997f7268689</t>
  </si>
  <si>
    <t>2025-11-27T23:59:25Z</t>
  </si>
  <si>
    <t>V6f9uZZTi0SF1snuj4wMAA</t>
  </si>
  <si>
    <t>b7401960-befd-4faa-850b-ccc5aad7c7c1</t>
  </si>
  <si>
    <t>2025-11-27T20:46:32Z</t>
  </si>
  <si>
    <t>faonkk5Lqk6g1UkbOwL0AA</t>
  </si>
  <si>
    <t>eb072316-e6ae-4e1a-8626-3e1309a7528b</t>
  </si>
  <si>
    <t>2025-11-27T20:11:37Z</t>
  </si>
  <si>
    <t>47.80.10.147</t>
  </si>
  <si>
    <t>Vandalia</t>
  </si>
  <si>
    <t xml:space="preserve"> Lowland Region</t>
  </si>
  <si>
    <t>HdQ7OCvM3US44uFWEbUOAA</t>
  </si>
  <si>
    <t>2935004d-e95d-4b76-8aed-affc4a02b583</t>
  </si>
  <si>
    <t>KR</t>
  </si>
  <si>
    <t>Seoul</t>
  </si>
  <si>
    <t>"Alibaba (US) Technology Co., Ltd."</t>
  </si>
  <si>
    <t>AS45102</t>
  </si>
  <si>
    <t>47.77.128.0-47.87.23.255</t>
  </si>
  <si>
    <t>Alibaba (US) Technology Co., Ltd.</t>
  </si>
  <si>
    <t>Alibaba Cloud LLC</t>
  </si>
  <si>
    <t>0.0049 (Low)</t>
  </si>
  <si>
    <t>47.80.0.0/19</t>
  </si>
  <si>
    <t>Seoul, Yongsan-gu</t>
  </si>
  <si>
    <t>Yongsan-dong</t>
  </si>
  <si>
    <t>Alibaba.com LLC</t>
  </si>
  <si>
    <t>Delta Centric LLC, Zenlayer Inc</t>
  </si>
  <si>
    <t>2025-11-27T20:07:37Z</t>
  </si>
  <si>
    <t>vc8BhOr-AU6t1OlyE7XEAA</t>
  </si>
  <si>
    <t>a77715de-2e63-4c19-868c-d5e9a89f922b</t>
  </si>
  <si>
    <t>2025-11-27T19:54:25Z</t>
  </si>
  <si>
    <t>9c68GDGQb0yOXJhQsU0GAA</t>
  </si>
  <si>
    <t>6d219f52-724c-4de7-8818-d3b3b25558b6</t>
  </si>
  <si>
    <t>2025-11-27T18:47:58Z</t>
  </si>
  <si>
    <t>Ewz6o9oNb0aJuu-fz2T9AA</t>
  </si>
  <si>
    <t>a90c59cb-94e5-4d3b-8217-5e472a53f274</t>
  </si>
  <si>
    <t>2025-11-27T18:14:18Z</t>
  </si>
  <si>
    <t>tX2lo5TmP0GH4ZnyTqZzAA</t>
  </si>
  <si>
    <t>738a7f1e-fa6b-4cba-8441-72c4ecb1daa8</t>
  </si>
  <si>
    <t>2025-11-27T17:55:44Z</t>
  </si>
  <si>
    <t>lU42i1zOm0yg8udrDi_CAA</t>
  </si>
  <si>
    <t>33e07e7f-c5e7-4e5a-880f-fa414228d0e5</t>
  </si>
  <si>
    <t>2025-11-27T16:04:36Z</t>
  </si>
  <si>
    <t>M3nArVL7VUCcMdls6zKAAA</t>
  </si>
  <si>
    <t>54241e19-bba0-4a47-8eaf-385102e5005c</t>
  </si>
  <si>
    <t>2025-11-27T15:49:25Z</t>
  </si>
  <si>
    <t>VXWrmWBYPUu48zZZQg0BAA</t>
  </si>
  <si>
    <t>6db1a1d3-ce97-4f64-8872-41f14c0fdc80</t>
  </si>
  <si>
    <t>2025-11-27T15:46:23Z</t>
  </si>
  <si>
    <t>Jason2 Ruth2</t>
  </si>
  <si>
    <t>christine3@treyresearch.com</t>
  </si>
  <si>
    <t>12.235.44.121</t>
  </si>
  <si>
    <t>Junction</t>
  </si>
  <si>
    <t>Microsoft Authentication Broker</t>
  </si>
  <si>
    <t>29d9ed98-a469-4536-ade2-f981bc1d605e</t>
  </si>
  <si>
    <t>5699ee4b-2e16-48ed-84bb-7601966ca519</t>
  </si>
  <si>
    <t>Mobile Safari 18.2</t>
  </si>
  <si>
    <t>Ios</t>
  </si>
  <si>
    <t>Mozilla/5.0 (iPhone; CPU iPhone OS 18_6_2 like Mac OS X) AppleWebKit/605.1.15 (KHTML, like Gecko) Mobile/15E148</t>
  </si>
  <si>
    <t>8RUU90wby0CoW6Us1b3fAA</t>
  </si>
  <si>
    <t>91790894-8b10-47c4-8c30-6e5728e9d4bb</t>
  </si>
  <si>
    <t>Augusta</t>
  </si>
  <si>
    <t>12.235.9.0-12.235.150.255</t>
  </si>
  <si>
    <t>Massachusetts</t>
  </si>
  <si>
    <t>Jeffries Point</t>
  </si>
  <si>
    <t>12.128.0.0/9</t>
  </si>
  <si>
    <t>Georgia, Muscogee</t>
  </si>
  <si>
    <t>Columbus</t>
  </si>
  <si>
    <t>PIEDMONT PAYMENT SERVICES, LLC</t>
  </si>
  <si>
    <t>2025-11-27T15:46:02Z</t>
  </si>
  <si>
    <t>lvZnRaXzZkGRgog7g2vkAA</t>
  </si>
  <si>
    <t>2025-11-27T15:45:43Z</t>
  </si>
  <si>
    <t>s0XnzT3jYkuDDW2iGkfxAA</t>
  </si>
  <si>
    <t>2025-11-27T15:40:25Z</t>
  </si>
  <si>
    <t>rI8V_zf3YkO6usrCV4HJAA</t>
  </si>
  <si>
    <t>6724632e-8ae1-40a8-8abb-af713d98f703</t>
  </si>
  <si>
    <t>2025-11-27T14:40:00Z</t>
  </si>
  <si>
    <t>rLU_ZNaZDUu1foycYPdtAA</t>
  </si>
  <si>
    <t>e489e3c5-edc6-439a-84c6-49b777849c2f</t>
  </si>
  <si>
    <t>2025-11-27T14:39:45Z</t>
  </si>
  <si>
    <t>TZm-mbKsvk68wp7eHl_eAA</t>
  </si>
  <si>
    <t>2025-11-27T14:39:43Z</t>
  </si>
  <si>
    <t>fkhRSQBVwUOeZPSqR4TUAA</t>
  </si>
  <si>
    <t>e361c71c-87e6-4b1d-8d94-18f91b5dea98</t>
  </si>
  <si>
    <t>2025-11-27T14:35:26Z</t>
  </si>
  <si>
    <t>xl72NV_AOE62TACFr4Z6AA</t>
  </si>
  <si>
    <t>556411cf-6f2d-48be-8917-b9a4015e3c4a</t>
  </si>
  <si>
    <t>2025-11-27T12:58:14Z</t>
  </si>
  <si>
    <t>Microsoft Teams Web Client</t>
  </si>
  <si>
    <t>5e3ce6c0-2b1f-4285-8d4b-75ee78787346</t>
  </si>
  <si>
    <t>Microsoft Teams Services</t>
  </si>
  <si>
    <t>b56d3cfe-e4b0-4b6b-8221-981643e22ba1</t>
  </si>
  <si>
    <t>Application '{appIdentifier}'({appName}) is disabled.</t>
  </si>
  <si>
    <t>https://learn.microsoft.com/troubleshoot/entra/entra-id/app-integration/error-code-aadsts7000112-application-is-disabled</t>
  </si>
  <si>
    <t>tohKCWJMQEm_J0gqw_2_AA</t>
  </si>
  <si>
    <t>3110def6-dc5b-4d52-8b1d-a02bc7ffeac6</t>
  </si>
  <si>
    <t>2025-11-27T12:57:12Z</t>
  </si>
  <si>
    <t>B7kF8bvP5EGflWMa-TyAAA</t>
  </si>
  <si>
    <t>509b8561-e39a-4674-8d1a-828e93e73332</t>
  </si>
  <si>
    <t>2025-11-27T12:56:26Z</t>
  </si>
  <si>
    <t>Ey9Tz8kDWUGiL3KAuOq8AA</t>
  </si>
  <si>
    <t>fd46e65e-b6e5-4ef3-88f2-bb3ca5bf2122</t>
  </si>
  <si>
    <t>2025-11-27T12:55:10Z</t>
  </si>
  <si>
    <t>c1thOM0Js0y02xbbnVVHAA</t>
  </si>
  <si>
    <t>250a09e7-a425-4453-8286-b13226b501ae</t>
  </si>
  <si>
    <t>2025-11-27T12:42:49Z</t>
  </si>
  <si>
    <t>2600:1700:ec84:55b2:b5f7:6dc9:8025:bd90</t>
  </si>
  <si>
    <t>77LNMR5olkm2sV_EOBK-AA</t>
  </si>
  <si>
    <t>d713e6ad-be70-42c7-8048-9c995b64ee30</t>
  </si>
  <si>
    <t>2025-11-27T12:39:24Z</t>
  </si>
  <si>
    <t>Microsoft 365 App Catalog Services</t>
  </si>
  <si>
    <t>9b8b8ff1-21ac-4ec3-851b-320acea33aec</t>
  </si>
  <si>
    <t>aIs_Rd9B0kaqnX6Yo9-cAA</t>
  </si>
  <si>
    <t>ca7cd2a1-ce22-4998-8bcf-2c6862444f4c</t>
  </si>
  <si>
    <t>2025-11-27T12:01:36Z</t>
  </si>
  <si>
    <t>_wqWzo-6tUaDEoUlkFCqAA</t>
  </si>
  <si>
    <t>9c34f2dd-c0ca-410f-84d7-3f5eb7256ed3</t>
  </si>
  <si>
    <t>2025-11-27T11:44:25Z</t>
  </si>
  <si>
    <t>qXDL1s1KDUiT8Db9KQmJAA</t>
  </si>
  <si>
    <t>34a8dc4f-07a3-481a-8ed5-559f58c6860a</t>
  </si>
  <si>
    <t>2025-11-27T11:21:01Z</t>
  </si>
  <si>
    <t>K087lBTjGUKEJ8FD4TrtAA</t>
  </si>
  <si>
    <t>7c585e30-1de4-48d6-8a62-5d3566b4d95f</t>
  </si>
  <si>
    <t>2025-11-27T07:58:36Z</t>
  </si>
  <si>
    <t>lkgwUb6SMkmITJEr_QTPAA</t>
  </si>
  <si>
    <t>fae04e1c-f253-4931-83ba-878cfa07b454</t>
  </si>
  <si>
    <t>2025-11-27T07:38:25Z</t>
  </si>
  <si>
    <t>hr_K1Fb9rE6MkGemxAzlAA</t>
  </si>
  <si>
    <t>f3d1c8bd-3912-46e9-8db7-9c2221874381</t>
  </si>
  <si>
    <t>2025-11-27T03:55:35Z</t>
  </si>
  <si>
    <t>E81UgcNkWEKhEviR1FtEAA</t>
  </si>
  <si>
    <t>968e2f7b-2d15-4a98-8222-081040b36763</t>
  </si>
  <si>
    <t>2025-11-27T03:33:25Z</t>
  </si>
  <si>
    <t>_EQQ_Afq7EewihTCEWrCAA</t>
  </si>
  <si>
    <t>0e53f9ae-87ac-4536-8393-cbc6a8759608</t>
  </si>
  <si>
    <t>2025-11-27T01:09:11Z</t>
  </si>
  <si>
    <t>173.214.159.180</t>
  </si>
  <si>
    <t>Microsoft Account Controls V2</t>
  </si>
  <si>
    <t>3fc62b20-9124-45d1-82b9-db9fca520c0d</t>
  </si>
  <si>
    <t>07ddac23-7651-4dcb-8d71-80d5b704212b</t>
  </si>
  <si>
    <t>Zs9184j8okaKzlJCyfWxAA</t>
  </si>
  <si>
    <t>fc6f0ddc-eb1f-4a32-8f38-034d5ab0a943</t>
  </si>
  <si>
    <t>2025-11-27T01:09:09Z</t>
  </si>
  <si>
    <t>Microsoft 365 Support Service</t>
  </si>
  <si>
    <t>8c97dcb6-df7a-4d1d-875b-ce887f42d2ec</t>
  </si>
  <si>
    <t>K5DcVspddUWCgiQuuNPQAA</t>
  </si>
  <si>
    <t>322b0df8-40bb-49eb-886c-66714a165507</t>
  </si>
  <si>
    <t>2025-11-26T23:51:35Z</t>
  </si>
  <si>
    <t>xpY9HeBHEUeuu8B5hXmqAA</t>
  </si>
  <si>
    <t>6b49d666-62eb-49a3-8581-3a942e57ba39</t>
  </si>
  <si>
    <t>2025-11-26T23:28:25Z</t>
  </si>
  <si>
    <t>iau6XBGLo0uZO5L2s9HnAA</t>
  </si>
  <si>
    <t>a7d0d3e2-0fac-479d-80f6-b85ce48f317a</t>
  </si>
  <si>
    <t>2025-11-26T19:48:35Z</t>
  </si>
  <si>
    <t>i5cKdP4eF0yWEcWgtVW2AA</t>
  </si>
  <si>
    <t>a78e547b-65db-4546-8d6f-330420b99df2</t>
  </si>
  <si>
    <t>2025-11-26T19:23:25Z</t>
  </si>
  <si>
    <t>fl7-a9peukOymcVTTO-PAA</t>
  </si>
  <si>
    <t>bc3a8bd1-4d45-4c80-8ed7-7bf4b1147376</t>
  </si>
  <si>
    <t>2025-11-26T15:45:34Z</t>
  </si>
  <si>
    <t>NBaqAtYXGU22AbbsOQCNAA</t>
  </si>
  <si>
    <t>3b2f7720-1d3c-4b26-838f-d5b19d58fa68</t>
  </si>
  <si>
    <t>2025-11-26T15:18:24Z</t>
  </si>
  <si>
    <t>O1kBlOPwqUuXk147vZuJAA</t>
  </si>
  <si>
    <t>f840accd-8d62-489e-826d-82ae7a6410e7</t>
  </si>
  <si>
    <t>2025-11-26T11:42:34Z</t>
  </si>
  <si>
    <t>Mt2t-WXuZUmUrjOVdYa3AA</t>
  </si>
  <si>
    <t>509a69d1-4c3b-4e00-80c2-a82ab12e17b5</t>
  </si>
  <si>
    <t>2025-11-26T11:12:24Z</t>
  </si>
  <si>
    <t>zHCfoogi0kqavyMSizPSAA</t>
  </si>
  <si>
    <t>b0b7a401-a2e2-4adf-8ac6-d88c660af5d8</t>
  </si>
  <si>
    <t>2025-11-26T07:39:34Z</t>
  </si>
  <si>
    <t>GUngQUinikijOLlSuLCWAA</t>
  </si>
  <si>
    <t>e5647782-9355-40e8-89aa-eb89bb05ec68</t>
  </si>
  <si>
    <t>2025-11-26T07:07:24Z</t>
  </si>
  <si>
    <t>nU6WzR0q40uoFaPEltXYAA</t>
  </si>
  <si>
    <t>3b3df099-e819-4cc9-8c28-f5428adfd38a</t>
  </si>
  <si>
    <t>2025-11-26T03:36:35Z</t>
  </si>
  <si>
    <t>ZmJWkagjWES2MbB8qFi0AA</t>
  </si>
  <si>
    <t>9596eb1f-743c-49ca-8b0c-b8a1c5797982</t>
  </si>
  <si>
    <t>2025-11-26T03:02:24Z</t>
  </si>
  <si>
    <t>flXRQEWl8EuVvTDiKASIAA</t>
  </si>
  <si>
    <t>c7b107f4-badc-46ca-835b-75d29266731d</t>
  </si>
  <si>
    <t>2025-11-25T23:33:33Z</t>
  </si>
  <si>
    <t>faonkk5Lqk6g1UkbifyuAA</t>
  </si>
  <si>
    <t>3f532519-e9b4-4bd6-8b95-fb02175d0877</t>
  </si>
  <si>
    <t>2025-11-25T22:57:24Z</t>
  </si>
  <si>
    <t>4kvNCTGUKkWBkeSzz3KJAA</t>
  </si>
  <si>
    <t>717093d5-0394-4430-8921-b6eb3de33f1b</t>
  </si>
  <si>
    <t>2025-11-25T20:27:46Z</t>
  </si>
  <si>
    <t>hh0B4UZdo0mPSDWNSwSMAA</t>
  </si>
  <si>
    <t>7372e0f1-6136-4e18-8116-c66947acf130</t>
  </si>
  <si>
    <t>2025-11-25T19:30:33Z</t>
  </si>
  <si>
    <t>N3Ln7vgnN0W6TPWoQEaJAA</t>
  </si>
  <si>
    <t>faf5c655-9e04-4011-8258-ee73952ab491</t>
  </si>
  <si>
    <t>2025-11-25T18:52:24Z</t>
  </si>
  <si>
    <t>NvbsJy6jsk6U1hrfrTXHAA</t>
  </si>
  <si>
    <t>5ed4ce5f-3324-4bb2-8d3d-94b48dcdf1e6</t>
  </si>
  <si>
    <t>2025-11-25T16:30:53Z</t>
  </si>
  <si>
    <t>fl7-a9peukOymcVT_zluAA</t>
  </si>
  <si>
    <t>4898baa1-e15c-4cc7-8a26-148638601006</t>
  </si>
  <si>
    <t>2025-11-25T15:27:33Z</t>
  </si>
  <si>
    <t>aZBFqAi_o0WSsX7pp8SJAA</t>
  </si>
  <si>
    <t>4c26221f-c121-4bb2-84c1-68ec59709ade</t>
  </si>
  <si>
    <t>2025-11-25T14:46:24Z</t>
  </si>
  <si>
    <t>tX2lo5TmP0GH4ZnygPU_AA</t>
  </si>
  <si>
    <t>e90c9167-7123-474f-8e13-8387e2dde645</t>
  </si>
  <si>
    <t>2025-11-25T13:10:41Z</t>
  </si>
  <si>
    <t>yG3oRZRT9kyaRh9oizmfAA</t>
  </si>
  <si>
    <t>12f224e6-b476-4f73-8e98-b2500a8326ae</t>
  </si>
  <si>
    <t>2025-11-25T12:29:37Z</t>
  </si>
  <si>
    <t>3u2-c2LXmE2AUs-oUT2LAA</t>
  </si>
  <si>
    <t>041d927e-94b3-4b14-8a85-b31234385e72</t>
  </si>
  <si>
    <t>2025-11-25T11:23:32Z</t>
  </si>
  <si>
    <t>UlNGVlb3WkSxYEl-C3t_AA</t>
  </si>
  <si>
    <t>23584cea-f7c3-40dc-8a71-80f9ed57bf16</t>
  </si>
  <si>
    <t>2025-11-25T10:41:24Z</t>
  </si>
  <si>
    <t>4nTTQI0L8UirnS72TLOfAA</t>
  </si>
  <si>
    <t>73201f7c-2ac1-4a4a-80d4-ac3aa5597f52</t>
  </si>
  <si>
    <t>2025-11-25T10:38:47Z</t>
  </si>
  <si>
    <t>31.10.61.34</t>
  </si>
  <si>
    <t>Fairhaven 1</t>
  </si>
  <si>
    <t xml:space="preserve"> Coastal Region 1</t>
  </si>
  <si>
    <t xml:space="preserve"> CZ</t>
  </si>
  <si>
    <t>MgSEuNHhBUeAPWrtKmAvAA</t>
  </si>
  <si>
    <t>ea05e6ee-8541-4c9e-8dc2-5afd793931ac</t>
  </si>
  <si>
    <t>CZ</t>
  </si>
  <si>
    <t>Pardubice Region, Usti nad Orlici District</t>
  </si>
  <si>
    <t>Lanskroun</t>
  </si>
  <si>
    <t>"O2 Czech Republic, a.s."</t>
  </si>
  <si>
    <t>AS42908</t>
  </si>
  <si>
    <t>31.10.56.0-31.10.63.255</t>
  </si>
  <si>
    <t>Prague</t>
  </si>
  <si>
    <t>O2 Czech Republic, a.s.</t>
  </si>
  <si>
    <t>Nordic Telecom Regional s.r.o. Admin Contact</t>
  </si>
  <si>
    <t>0.0017 (Low)</t>
  </si>
  <si>
    <t>31.10.56.0/21</t>
  </si>
  <si>
    <t>Prague, Prague</t>
  </si>
  <si>
    <t>Nordictelecomregional</t>
  </si>
  <si>
    <t>2025-11-25T10:38:27Z</t>
  </si>
  <si>
    <t>139.5.71.242</t>
  </si>
  <si>
    <t>Junction 1</t>
  </si>
  <si>
    <t xml:space="preserve"> Lake District 1</t>
  </si>
  <si>
    <t xml:space="preserve"> NP</t>
  </si>
  <si>
    <t>riXjtvg6kE-gZuuEgMbNAA</t>
  </si>
  <si>
    <t>7dcdb936-4274-4ece-8122-bda677e5b0fc</t>
  </si>
  <si>
    <t>NP</t>
  </si>
  <si>
    <t>WorldLink Communications Pvt Ltd</t>
  </si>
  <si>
    <t>AS17501</t>
  </si>
  <si>
    <t>139.5.68.0-139.5.75.255</t>
  </si>
  <si>
    <t>Bagmati Province</t>
  </si>
  <si>
    <t>Kathmandu</t>
  </si>
  <si>
    <t>WorldLink Communications</t>
  </si>
  <si>
    <t>Fiber Pool</t>
  </si>
  <si>
    <t>0.0068 (Low)</t>
  </si>
  <si>
    <t>139.5.71.0/24</t>
  </si>
  <si>
    <t>Bagmati Province, Lalitpur</t>
  </si>
  <si>
    <t>Patan (J?wal?khel)</t>
  </si>
  <si>
    <t>residential</t>
  </si>
  <si>
    <t>2025-11-25T10:37:50Z</t>
  </si>
  <si>
    <t>202.89.71.250</t>
  </si>
  <si>
    <t>Kestrel</t>
  </si>
  <si>
    <t xml:space="preserve"> North Province</t>
  </si>
  <si>
    <t xml:space="preserve"> IN</t>
  </si>
  <si>
    <t>cOgXRtpkDEmjoL0gmiwdAA</t>
  </si>
  <si>
    <t>e62f3f5d-7f64-46f4-88a0-8d63eee2eddd</t>
  </si>
  <si>
    <t>IN</t>
  </si>
  <si>
    <t>National Capital Territory of Delhi</t>
  </si>
  <si>
    <t>New Delhi</t>
  </si>
  <si>
    <t>AS Number for Interdomain Routing</t>
  </si>
  <si>
    <t>AS18002</t>
  </si>
  <si>
    <t>202.89.71.0-202.89.72.255</t>
  </si>
  <si>
    <t>Delhi</t>
  </si>
  <si>
    <t>LCO's, NCR</t>
  </si>
  <si>
    <t>0.006 (Low)</t>
  </si>
  <si>
    <t>202.89.71.0/24</t>
  </si>
  <si>
    <t>Delhi, New Delhi</t>
  </si>
  <si>
    <t>World Phone Internet Services Pvt. Ltd.</t>
  </si>
  <si>
    <t>Worldphone</t>
  </si>
  <si>
    <t>2025-11-25T08:28:36Z</t>
  </si>
  <si>
    <t>NcPfpQbe70Wp5WuQwkVBAA</t>
  </si>
  <si>
    <t>94809a18-35f5-43bc-81d4-8c2fc04fbf91</t>
  </si>
  <si>
    <t>2025-11-25T07:20:32Z</t>
  </si>
  <si>
    <t>bJI7Pbfg8E6u6okuFS8fAA</t>
  </si>
  <si>
    <t>ea598589-6b71-44dc-873c-d11333d6a64e</t>
  </si>
  <si>
    <t>2025-11-25T06:36:24Z</t>
  </si>
  <si>
    <t>a0kqWYGbgUavFf7sHHRxAA</t>
  </si>
  <si>
    <t>0eb98236-3d1b-4ec3-8dca-bdc667a2344c</t>
  </si>
  <si>
    <t>2025-11-25T04:27:35Z</t>
  </si>
  <si>
    <t>s_hWpHAFsUKP62xJN0deAA</t>
  </si>
  <si>
    <t>6f1adb9f-0e48-416e-8633-5f2ffd4fd9a0</t>
  </si>
  <si>
    <t>2025-11-25T03:17:31Z</t>
  </si>
  <si>
    <t>9ghrQlVBV0CISBVJDTeQAA</t>
  </si>
  <si>
    <t>7ee5d0e7-69aa-4961-85ec-417ffb7bd132</t>
  </si>
  <si>
    <t>2025-11-25T02:31:24Z</t>
  </si>
  <si>
    <t>BSYJ3EL_zUWK3L4qOYPDAA</t>
  </si>
  <si>
    <t>65445def-8a0c-4d6f-8078-ae94e59511ea</t>
  </si>
  <si>
    <t>2025-11-25T00:26:34Z</t>
  </si>
  <si>
    <t>AWhf2bRXhEKDlr2La9Z4AA</t>
  </si>
  <si>
    <t>2257fdb9-9071-4bb1-802b-bd000a4d4397</t>
  </si>
  <si>
    <t>2025-11-24T23:41:47Z</t>
  </si>
  <si>
    <t>173.214.158.104</t>
  </si>
  <si>
    <t>Chrome 140.0.0</t>
  </si>
  <si>
    <t>Mozilla/5.0 (X11; CrOS x86_64 14541.0.0) AppleWebKit/537.36 (KHTML, like Gecko) Chrome/140.0.0.149 Safari/537.36</t>
  </si>
  <si>
    <t>07805a9a-1b13-44e2-8963-89192ce94c46</t>
  </si>
  <si>
    <t>lgf-2D3Zl0S2UvebuzMdAA</t>
  </si>
  <si>
    <t>1223b3b2-8b19-4b1c-8bb2-3a039e21f22f</t>
  </si>
  <si>
    <t>2025-11-24T23:14:31Z</t>
  </si>
  <si>
    <t>_tIlK2ec0UCilBcfNUt1AA</t>
  </si>
  <si>
    <t>73fd2c21-1766-4ee8-8af6-00dfd26d3927</t>
  </si>
  <si>
    <t>2025-11-24T22:26:23Z</t>
  </si>
  <si>
    <t>eIHCe8Gi_0GBL_w1eRCEAA</t>
  </si>
  <si>
    <t>22830be0-444e-4ce0-8c14-ceaefd8afeaf</t>
  </si>
  <si>
    <t>2025-11-24T20:25:33Z</t>
  </si>
  <si>
    <t>0YRwnZ5nE0SElTo5cz5pAA</t>
  </si>
  <si>
    <t>6790ef54-9a27-4fe4-82e4-2e30686ae81e</t>
  </si>
  <si>
    <t>2025-11-24T19:38:01Z</t>
  </si>
  <si>
    <t>8dzD10O_bEW35zlP7QN7AA</t>
  </si>
  <si>
    <t>2c897350-0690-4dcd-8ae0-3be271219320</t>
  </si>
  <si>
    <t>2025-11-24T19:11:31Z</t>
  </si>
  <si>
    <t>rZ0bAIm8s0G81TaoRyx_AA</t>
  </si>
  <si>
    <t>433930e7-6d14-4a45-8446-48e70a952583</t>
  </si>
  <si>
    <t>2025-11-24T19:11:27Z</t>
  </si>
  <si>
    <t>K087lBTjGUKEJ8FDJB6TAA</t>
  </si>
  <si>
    <t>19f662c6-cfb9-4332-8010-502b15a08fd3</t>
  </si>
  <si>
    <t>2025-11-24T18:55:04Z</t>
  </si>
  <si>
    <t>198.177.253.180</t>
  </si>
  <si>
    <t>'-YNFsidKbUCktT-a6gYnAA</t>
  </si>
  <si>
    <t>f351cf03-329b-40d4-84b1-282a49c698bc</t>
  </si>
  <si>
    <t>NET2ATLANTA.COM LLC</t>
  </si>
  <si>
    <t>AS20081</t>
  </si>
  <si>
    <t>198.177.252.0-198.177.254.255</t>
  </si>
  <si>
    <t>Allerion, Inc.</t>
  </si>
  <si>
    <t>0.0036 (Low)</t>
  </si>
  <si>
    <t>198.177.252.0/23</t>
  </si>
  <si>
    <t>2025-11-24T18:28:44Z</t>
  </si>
  <si>
    <t>QOov8yx7jUqyycKuDOJmAA</t>
  </si>
  <si>
    <t>0b3ca71e-8282-4c82-8aed-3e3f84727661</t>
  </si>
  <si>
    <t>2025-11-24T18:28:32Z</t>
  </si>
  <si>
    <t>qlNLf1xq80CTRe_OvKBpAA</t>
  </si>
  <si>
    <t>27305f1b-ebd0-4326-8f70-1cbe33bc986a</t>
  </si>
  <si>
    <t>2025-11-24T18:20:23Z</t>
  </si>
  <si>
    <t>HraLNMVUM0uR-BgzdyIoAA</t>
  </si>
  <si>
    <t>efdc1dba-b01b-4845-856d-271eff682453</t>
  </si>
  <si>
    <t>2025-11-24T18:13:17Z</t>
  </si>
  <si>
    <t>2600:1700:ec84:7aa:5a20:a1ed:8763:cf2d</t>
  </si>
  <si>
    <t>oFhBI6IxAkmx8IhaNg9cAA</t>
  </si>
  <si>
    <t>b80c7429-e210-4029-8d12-dbf5a40b1491</t>
  </si>
  <si>
    <t>2025-11-24T16:27:05Z</t>
  </si>
  <si>
    <t>fKEgwbvVZ0yKClOPjqOIAA</t>
  </si>
  <si>
    <t>5148897b-eea2-44c6-8c90-329c1a54f249</t>
  </si>
  <si>
    <t>2025-11-24T16:24:33Z</t>
  </si>
  <si>
    <t>MgSEuNHhBUeAPWrt2BETAA</t>
  </si>
  <si>
    <t>9e077f83-34f5-49fe-8fc1-5a141becdee7</t>
  </si>
  <si>
    <t>2025-11-24T15:08:30Z</t>
  </si>
  <si>
    <t>'-Qu09S4EV0mq7Uy9F01rAA</t>
  </si>
  <si>
    <t>04ee8ad3-e295-429a-8afa-92980fce73ba</t>
  </si>
  <si>
    <t>2025-11-24T14:51:22Z</t>
  </si>
  <si>
    <t>rkT_4uYluUymTV2OwyNoAA</t>
  </si>
  <si>
    <t>62719932-d9b1-417e-8758-0da8271195d8</t>
  </si>
  <si>
    <t>2025-11-24T14:15:07Z</t>
  </si>
  <si>
    <t>6Z7jLH6kiE6H3dCZt6ieAA</t>
  </si>
  <si>
    <t>1eada21d-6e4a-429d-8d6d-508bd6f39790</t>
  </si>
  <si>
    <t>2025-11-24T13:56:24Z</t>
  </si>
  <si>
    <t>90a2b24d-9a45-4a43-8728-1b5d616dc301</t>
  </si>
  <si>
    <t>BFUJwk5QxUCfMkZPip-gAA</t>
  </si>
  <si>
    <t>dea8f875-e8d5-4f4c-84b4-c3268becf3c6</t>
  </si>
  <si>
    <t>2025-11-24T13:55:17Z</t>
  </si>
  <si>
    <t>2yrIH5ZZn0C4cCOG6B9uAA</t>
  </si>
  <si>
    <t>2025-11-24T12:50:11Z</t>
  </si>
  <si>
    <t>Edge 109.0.1518</t>
  </si>
  <si>
    <t>Windows7</t>
  </si>
  <si>
    <t>Mozilla/5.0 (Windows NT 6.1; Win64; x64) AppleWebKit/537.36 (KHTML, like Gecko) Chrome/109.0.0.75 Safari/537.36 Edg/109.0.1518.140</t>
  </si>
  <si>
    <t>fa132a9f-7551-4697-86fc-1b5b7fad1b0e</t>
  </si>
  <si>
    <t>32AjscYsxU2NgK4ZaOA1AA</t>
  </si>
  <si>
    <t>e9475f8e-1f1e-4b72-8ca3-5c2698694c6d</t>
  </si>
  <si>
    <t>2025-11-24T12:39:25Z</t>
  </si>
  <si>
    <t>D96R2th0uk6ZsQd7EOERAA</t>
  </si>
  <si>
    <t>ea33cba6-c35a-44a2-8f7c-e323967b2eec</t>
  </si>
  <si>
    <t>2025-11-24T12:23:18Z</t>
  </si>
  <si>
    <t>L9JH3RKaU0yWyqoo3TptAA</t>
  </si>
  <si>
    <t>380f4703-b842-4153-846c-e00eeaf0947e</t>
  </si>
  <si>
    <t>2025-11-24T12:23:13Z</t>
  </si>
  <si>
    <t>8eqD5R5PDEOQcJJSjfATAA</t>
  </si>
  <si>
    <t>d822fd50-a3e3-4dfc-8406-a909c5409656</t>
  </si>
  <si>
    <t>2025-11-24T12:14:20Z</t>
  </si>
  <si>
    <t>2600:1700:ec84:c6e1:54c8:ddf9:8e28:9c97</t>
  </si>
  <si>
    <t>58RgxOyu3UaUgZuv2Vh8AA</t>
  </si>
  <si>
    <t>0b7ebd27-a2d7-42e0-8422-f4a4423365d3</t>
  </si>
  <si>
    <t>2025-11-24T11:05:30Z</t>
  </si>
  <si>
    <t>13hSWYBHiUO2GQHpvC6LAA</t>
  </si>
  <si>
    <t>130c07d6-0301-4b84-8f17-13d0df3ae216</t>
  </si>
  <si>
    <t>2025-11-24T10:47:48Z</t>
  </si>
  <si>
    <t>WGlyL71zb066OgAaDm2XAA</t>
  </si>
  <si>
    <t>c82aed6e-a10f-4422-83d0-b226f8a3633d</t>
  </si>
  <si>
    <t>2025-11-24T10:09:55Z</t>
  </si>
  <si>
    <t>V2mH3MUK2kWTGj5pSKdYAA</t>
  </si>
  <si>
    <t>e1b40cf6-1e79-4ca5-8b60-6bd5913fe6a7</t>
  </si>
  <si>
    <t>2025-11-24T08:40:40Z</t>
  </si>
  <si>
    <t>_CKQm8znzkyNOLdl6ooTAA</t>
  </si>
  <si>
    <t>caf47cc7-ca84-4200-8c8f-f2a59fc2179f</t>
  </si>
  <si>
    <t>2025-11-24T07:02:29Z</t>
  </si>
  <si>
    <t>flXRQEWl8EuVvTDiKOxUAA</t>
  </si>
  <si>
    <t>ff4f829b-1e99-4219-8d9b-6775d28529ea</t>
  </si>
  <si>
    <t>2025-11-24T06:44:14Z</t>
  </si>
  <si>
    <t>Cv7fqO9TZE6muUFpDMlcAA</t>
  </si>
  <si>
    <t>615ce576-fa90-4796-8b38-20d880ea78e8</t>
  </si>
  <si>
    <t>2025-11-24T06:04:43Z</t>
  </si>
  <si>
    <t>5p8wf9VgAEWIMKqBxOR6AA</t>
  </si>
  <si>
    <t>709a6ec3-25ac-4d75-8ab5-5f1273aeba8c</t>
  </si>
  <si>
    <t>2025-11-24T04:31:09Z</t>
  </si>
  <si>
    <t>e0qxe-ZJJEOWRkzIMegNAA</t>
  </si>
  <si>
    <t>95d57681-60ea-479a-8bbb-82fb2e3394b0</t>
  </si>
  <si>
    <t>2025-11-24T02:59:30Z</t>
  </si>
  <si>
    <t>SwdcQjDR2E6qve8mwytuAA</t>
  </si>
  <si>
    <t>7e9184ee-6c4f-4ee6-80bc-b2312e7a4201</t>
  </si>
  <si>
    <t>2025-11-24T02:40:40Z</t>
  </si>
  <si>
    <t>yG3oRZRT9kyaRh9oh55tAA</t>
  </si>
  <si>
    <t>9837392f-5806-4ef5-8ab3-8960820638f2</t>
  </si>
  <si>
    <t>2025-11-24T01:59:32Z</t>
  </si>
  <si>
    <t>iZ_OOsgfOkOU16PsBHhwAA</t>
  </si>
  <si>
    <t>9a308833-2f3a-4f30-8ca0-a74ff69787e5</t>
  </si>
  <si>
    <t>2025-11-24T00:21:38Z</t>
  </si>
  <si>
    <t>YlVRqRniEU-c5NTva09tAA</t>
  </si>
  <si>
    <t>1c7efecb-92c4-4a0d-87ed-1fb098835b0b</t>
  </si>
  <si>
    <t>2025-11-23T22:55:29Z</t>
  </si>
  <si>
    <t>bESrZGam8k6pZ5y74vMKAA</t>
  </si>
  <si>
    <t>c7768f92-5d46-4bbc-8490-7cc11780e4cc</t>
  </si>
  <si>
    <t>2025-11-23T22:37:06Z</t>
  </si>
  <si>
    <t>wdVsb4NDiEWDp90Wo_h7AA</t>
  </si>
  <si>
    <t>b0b9000d-1c17-4d74-8bad-40cc4d0e9044</t>
  </si>
  <si>
    <t>2025-11-23T21:54:20Z</t>
  </si>
  <si>
    <t>up197tbR9kenVscEVxsgAA</t>
  </si>
  <si>
    <t>080e9fc3-211d-4468-85e0-c226ab883165</t>
  </si>
  <si>
    <t>2025-11-23T20:12:07Z</t>
  </si>
  <si>
    <t>aal9h85UTkiA8Nrnz9WKAA</t>
  </si>
  <si>
    <t>f48c18c1-715d-4d8e-87fb-0e22cb4fd18f</t>
  </si>
  <si>
    <t>2025-11-23T19:31:32Z</t>
  </si>
  <si>
    <t>GKrnA8uEM069mFNXEkOPAA</t>
  </si>
  <si>
    <t>6dfb5ce7-7890-4edd-8a82-c7ccb8555a1a</t>
  </si>
  <si>
    <t>2025-11-23T19:31:26Z</t>
  </si>
  <si>
    <t>s6Yb7neknUyNjZN419FfAA</t>
  </si>
  <si>
    <t>7b28206f-908d-4bdd-8a08-aca0bd440f59</t>
  </si>
  <si>
    <t>2025-11-23T18:52:29Z</t>
  </si>
  <si>
    <t>xpY9HeBHEUeuu8B5AIxPAA</t>
  </si>
  <si>
    <t>11e8f5bb-8403-4444-84a0-301d170631b6</t>
  </si>
  <si>
    <t>2025-11-23T18:33:38Z</t>
  </si>
  <si>
    <t>oLwHPfFXcUeipOh1iPZaAA</t>
  </si>
  <si>
    <t>23c930df-4623-4758-8fdf-db3a040a92f9</t>
  </si>
  <si>
    <t>2025-11-23T18:27:45Z</t>
  </si>
  <si>
    <t>The user account does not exist in the directory or the user hasn't been explicitly added to the tenant. To sign into this application, the account must be added to the directory.</t>
  </si>
  <si>
    <t>Unknown</t>
  </si>
  <si>
    <t>Invite the user to the tenant, or ignore this error if the user isn't supposed to be a member of the tenant. This can be the case when someone is sent to a login URL for your tenant without being a member, or picks the wrong user account.</t>
  </si>
  <si>
    <t>USGh71MPn06hDDvrVHQHAA</t>
  </si>
  <si>
    <t>7fd65632-cb1a-45dd-86ae-7f01f3e60b41</t>
  </si>
  <si>
    <t>2025-11-23T18:27:41Z</t>
  </si>
  <si>
    <t>V7VzqNIhv0aWmAy1hvcMAA</t>
  </si>
  <si>
    <t>2025-11-23T18:27:34Z</t>
  </si>
  <si>
    <t>olKfKd2CnUS97tuB_AZfAA</t>
  </si>
  <si>
    <t>2025-11-23T17:49:08Z</t>
  </si>
  <si>
    <t>tRfaEA5DAk2a1Dhmm0pfAA</t>
  </si>
  <si>
    <t>e807557f-6b7c-4c90-852f-eb190649620f</t>
  </si>
  <si>
    <t>2025-11-23T17:33:35Z</t>
  </si>
  <si>
    <t>VYL4sEZeg0Sd6ywDbsGCAA</t>
  </si>
  <si>
    <t>8a4a38f9-3ebb-45f0-80fc-7556155f5fce</t>
  </si>
  <si>
    <t>2025-11-23T16:59:40Z</t>
  </si>
  <si>
    <t>2600:1700:ec84:c1ed:c534:844b:df1a:98aa</t>
  </si>
  <si>
    <t>ZmJWkagjWES2MbB8YUZcAA</t>
  </si>
  <si>
    <t>a9bf0e17-ff14-4c5b-8222-0d6d1d2a060a</t>
  </si>
  <si>
    <t>2025-11-23T16:16:35Z</t>
  </si>
  <si>
    <t>CbV9Auic3kS_MsOKtSU5AA</t>
  </si>
  <si>
    <t>2243220e-c9f3-4d07-8485-c15067308ed8</t>
  </si>
  <si>
    <t>2025-11-23T16:02:35Z</t>
  </si>
  <si>
    <t>SplrBe4IMU6FHj8EWMhCAA</t>
  </si>
  <si>
    <t>fe1d43a6-184b-40e0-877c-e5d6e920e41f</t>
  </si>
  <si>
    <t>2025-11-23T15:01:12Z</t>
  </si>
  <si>
    <t>x4LifgP_ZU-GcXfAlSM9AA</t>
  </si>
  <si>
    <t>af5bb54a-ef0d-4b98-85aa-d8a96ba9cd43</t>
  </si>
  <si>
    <t>2025-11-23T14:49:13Z</t>
  </si>
  <si>
    <t>iDFKSDUa2E2p58NSxblWAA</t>
  </si>
  <si>
    <t>e4f3ec39-773c-423c-88fd-1013d2d948ed</t>
  </si>
  <si>
    <t>2025-11-23T14:18:42Z</t>
  </si>
  <si>
    <t>OCaaS Client Interaction Service</t>
  </si>
  <si>
    <t>756d31ab-c724-4a41-8628-7a3ace1c11cf</t>
  </si>
  <si>
    <t>c9xbEz-uLEWJvXuXUotrAA</t>
  </si>
  <si>
    <t>2db9a0be-1639-4036-83fd-f52ebffa146e</t>
  </si>
  <si>
    <t>2025-11-23T13:43:54Z</t>
  </si>
  <si>
    <t>Lu2FK5mh4ka3FxLm2kZzAA</t>
  </si>
  <si>
    <t>933e952e-553a-4263-808c-ab69753cc577</t>
  </si>
  <si>
    <t>2025-11-23T13:19:10Z</t>
  </si>
  <si>
    <t>9AvY1F7Sf0KOJ-ZJ3x6EAA</t>
  </si>
  <si>
    <t>18499c04-dd4f-4cbd-8a63-63968174118d</t>
  </si>
  <si>
    <t>2025-11-23T13:05:57Z</t>
  </si>
  <si>
    <t>2600:1700:ec84:8a7f:8c59:156a:67a1:a3e9</t>
  </si>
  <si>
    <t>RW7WTPEiDUCH44ijf8pDAA</t>
  </si>
  <si>
    <t>59ff49f0-eac8-48b3-8fbe-0ea5da774971</t>
  </si>
  <si>
    <t>mV7o0-rZOE67VZba03dOAA</t>
  </si>
  <si>
    <t>6f8c030c-4f53-4889-8d0c-92bb21427699</t>
  </si>
  <si>
    <t>2025-11-23T12:44:12Z</t>
  </si>
  <si>
    <t>y36RPAxdFkC-0DNfqvI4AA</t>
  </si>
  <si>
    <t>894e330a-b032-400d-8ad1-e6aaa83d43c5</t>
  </si>
  <si>
    <t>2025-11-23T12:39:38Z</t>
  </si>
  <si>
    <t>735cb495-3277-473d-874d-32fd0660c0ad</t>
  </si>
  <si>
    <t>QUARSRgOLUuNXlIC37QCAA</t>
  </si>
  <si>
    <t>fe9d912b-8d15-4261-853d-d17faad84b7f</t>
  </si>
  <si>
    <t>2025-11-23T12:39:37Z</t>
  </si>
  <si>
    <t>iDFKSDUa2E2p58NSy7NQAA</t>
  </si>
  <si>
    <t>2025-11-23T12:09:58Z</t>
  </si>
  <si>
    <t>DYlI55umok2hn6k1_c0hAA</t>
  </si>
  <si>
    <t>eadbd4e0-6815-426c-801c-fc199553e786</t>
  </si>
  <si>
    <t>2025-11-23T12:09:53Z</t>
  </si>
  <si>
    <t>zppxwM2r9EeT7HlU93kgAA</t>
  </si>
  <si>
    <t>7d5291f6-e5e2-4fb3-8153-0042becedbcf</t>
  </si>
  <si>
    <t>2025-11-23T11:53:36Z</t>
  </si>
  <si>
    <t>'-TRfqAuMr0GbU4Gv0XhSAA</t>
  </si>
  <si>
    <t>085a6d66-3272-4d24-8b5e-5b5c6174d4dd</t>
  </si>
  <si>
    <t>2025-11-23T11:53:04Z</t>
  </si>
  <si>
    <t>rZ0bAIm8s0G81TaoceRCAA</t>
  </si>
  <si>
    <t>8847cd63-d09a-4098-8c4c-9af440888452</t>
  </si>
  <si>
    <t>2025-11-23T10:46:28Z</t>
  </si>
  <si>
    <t>RfrFU6cja0algykgxkQ8AA</t>
  </si>
  <si>
    <t>438d597e-3a67-4e44-851a-a34574f96f45</t>
  </si>
  <si>
    <t>2025-11-23T07:43:33Z</t>
  </si>
  <si>
    <t>t4uNZobcKU6lTU7WmMAVAA</t>
  </si>
  <si>
    <t>f686c201-1a6f-4134-8d82-56a73ee15eab</t>
  </si>
  <si>
    <t>2025-11-23T06:43:27Z</t>
  </si>
  <si>
    <t>CXTEXvwY-0aoCaw5LwQxAA</t>
  </si>
  <si>
    <t>ebd8316c-9d17-498b-8212-79a976fe44cc</t>
  </si>
  <si>
    <t>2025-11-23T03:34:02Z</t>
  </si>
  <si>
    <t>5JSa0Cm0JUet6o3IoOUOAA</t>
  </si>
  <si>
    <t>eae71231-1727-424b-863c-74a15c11055a</t>
  </si>
  <si>
    <t>2025-11-23T02:40:27Z</t>
  </si>
  <si>
    <t>517V94ssnkK-2UGJliJDAA</t>
  </si>
  <si>
    <t>7b885482-b9b7-44d3-8b59-1f5245caaecf</t>
  </si>
  <si>
    <t>2025-11-22T23:24:36Z</t>
  </si>
  <si>
    <t>t1kvyi4UBkedQLKImJ9oAA</t>
  </si>
  <si>
    <t>eb9376b0-7b98-4123-8c6f-a5a8900e584f</t>
  </si>
  <si>
    <t>2025-11-22T22:37:27Z</t>
  </si>
  <si>
    <t>rn4GIJPAGkGizPQO7rcqAA</t>
  </si>
  <si>
    <t>4db2dce9-5a40-4936-8e52-7cea42b69242</t>
  </si>
  <si>
    <t>IPaddressFrequency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</si>
</sst>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CB"/>
        <bgColor indexed="64"/>
      </patternFill>
    </fill>
    <fill>
      <patternFill patternType="solid">
        <fgColor rgb="FFDB7093"/>
        <bgColor indexed="64"/>
      </patternFill>
    </fill>
    <fill>
      <patternFill patternType="solid">
        <fgColor rgb="FF98FB98"/>
        <bgColor indexed="64"/>
      </patternFill>
    </fill>
    <fill>
      <patternFill patternType="solid">
        <fgColor rgb="FFAFEEE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21" fontId="0" fillId="0" borderId="0" xfId="0" applyNumberFormat="1"/>
    <xf numFmtId="11" fontId="0" fillId="0" borderId="0" xfId="0" applyNumberFormat="1"/>
    <xf numFmtId="0" fontId="0" fillId="33" borderId="0" xfId="0" applyFill="1"/>
    <xf numFmtId="14" fontId="0" fillId="33" borderId="0" xfId="0" applyNumberFormat="1" applyFill="1"/>
    <xf numFmtId="21" fontId="0" fillId="33" borderId="0" xfId="0" applyNumberFormat="1" applyFill="1"/>
    <xf numFmtId="0" fontId="0" fillId="34" borderId="0" xfId="0" applyFill="1"/>
    <xf numFmtId="0" fontId="0" fillId="35" borderId="0" xfId="0" applyFill="1"/>
    <xf numFmtId="14" fontId="0" fillId="35" borderId="0" xfId="0" applyNumberFormat="1" applyFill="1"/>
    <xf numFmtId="21" fontId="0" fillId="35" borderId="0" xfId="0" applyNumberFormat="1" applyFill="1"/>
    <xf numFmtId="0" fontId="0" fillId="36" borderId="0" xfId="0" applyFill="1"/>
    <xf numFmtId="11" fontId="0" fillId="35"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B3D39-9C89-438E-B41C-C398CF40AD0F}">
  <dimension ref="A1:BZ350"/>
  <sheetViews>
    <sheetView tabSelected="1" workbookViewId="0">
      <pane ySplit="1" topLeftCell="A2" activePane="bottomLeft" state="frozenSplit"/>
      <selection pane="bottomLeft" activeCell="F257" sqref="F257"/>
    </sheetView>
  </sheetViews>
  <sheetFormatPr defaultRowHeight="14.5" x14ac:dyDescent="0.35"/>
  <cols>
    <col min="1" max="1" width="19.1796875" bestFit="1" customWidth="1"/>
    <col min="2" max="2" width="10.08984375" bestFit="1" customWidth="1"/>
    <col min="3" max="3" width="8.36328125" bestFit="1" customWidth="1"/>
    <col min="4" max="4" width="16.36328125" bestFit="1" customWidth="1"/>
    <col min="5" max="5" width="25.26953125" bestFit="1" customWidth="1"/>
    <col min="6" max="6" width="36.7265625" bestFit="1" customWidth="1"/>
    <col min="7" max="7" width="19.7265625" bestFit="1" customWidth="1"/>
    <col min="8" max="8" width="10.1796875" bestFit="1" customWidth="1"/>
    <col min="9" max="9" width="15.08984375" bestFit="1" customWidth="1"/>
    <col min="10" max="10" width="7.1796875" bestFit="1" customWidth="1"/>
    <col min="11" max="11" width="9.81640625" bestFit="1" customWidth="1"/>
    <col min="12" max="12" width="13.90625" bestFit="1" customWidth="1"/>
    <col min="13" max="13" width="8.36328125" bestFit="1" customWidth="1"/>
    <col min="14" max="14" width="23.54296875" bestFit="1" customWidth="1"/>
    <col min="15" max="15" width="16.08984375" bestFit="1" customWidth="1"/>
    <col min="16" max="16" width="18.08984375" bestFit="1" customWidth="1"/>
    <col min="17" max="17" width="35" bestFit="1" customWidth="1"/>
    <col min="18" max="18" width="35.90625" hidden="1" customWidth="1"/>
    <col min="19" max="19" width="29.54296875" bestFit="1" customWidth="1"/>
    <col min="20" max="20" width="35.90625" hidden="1" customWidth="1"/>
    <col min="21" max="21" width="50.6328125" customWidth="1"/>
    <col min="22" max="22" width="27.1796875" bestFit="1" customWidth="1"/>
    <col min="23" max="23" width="35.453125" hidden="1" customWidth="1"/>
    <col min="24" max="24" width="15.1796875" bestFit="1" customWidth="1"/>
    <col min="25" max="25" width="10.08984375" bestFit="1" customWidth="1"/>
    <col min="26" max="26" width="50.6328125" customWidth="1"/>
    <col min="27" max="27" width="9.1796875" bestFit="1" customWidth="1"/>
    <col min="28" max="28" width="8.1796875" hidden="1" customWidth="1"/>
    <col min="29" max="29" width="7.6328125" bestFit="1" customWidth="1"/>
    <col min="30" max="30" width="7.1796875" bestFit="1" customWidth="1"/>
    <col min="31" max="31" width="50.6328125" customWidth="1"/>
    <col min="32" max="32" width="10.453125" hidden="1" customWidth="1"/>
    <col min="33" max="33" width="9.1796875" hidden="1" customWidth="1"/>
    <col min="34" max="34" width="25.26953125" bestFit="1" customWidth="1"/>
    <col min="35" max="35" width="35.90625" hidden="1" customWidth="1"/>
    <col min="36" max="36" width="19.7265625" bestFit="1" customWidth="1"/>
    <col min="37" max="37" width="26.90625" bestFit="1" customWidth="1"/>
    <col min="38" max="38" width="13.6328125" bestFit="1" customWidth="1"/>
    <col min="39" max="39" width="14.1796875" bestFit="1" customWidth="1"/>
    <col min="40" max="40" width="20.54296875" bestFit="1" customWidth="1"/>
    <col min="41" max="41" width="23.81640625" bestFit="1" customWidth="1"/>
    <col min="42" max="42" width="35.90625" hidden="1" customWidth="1"/>
    <col min="43" max="43" width="20.90625" bestFit="1" customWidth="1"/>
    <col min="44" max="44" width="34" bestFit="1" customWidth="1"/>
    <col min="45" max="45" width="17.7265625" bestFit="1" customWidth="1"/>
    <col min="46" max="47" width="29.26953125" bestFit="1" customWidth="1"/>
    <col min="48" max="48" width="18.26953125" hidden="1" customWidth="1"/>
    <col min="49" max="49" width="19.1796875" hidden="1" customWidth="1"/>
    <col min="50" max="50" width="17.90625" bestFit="1" customWidth="1"/>
    <col min="51" max="51" width="48.6328125" bestFit="1" customWidth="1"/>
    <col min="52" max="52" width="15.7265625" bestFit="1" customWidth="1"/>
    <col min="53" max="53" width="14.90625" bestFit="1" customWidth="1"/>
    <col min="54" max="54" width="12.453125" bestFit="1" customWidth="1"/>
    <col min="55" max="55" width="30.453125" bestFit="1" customWidth="1"/>
    <col min="56" max="56" width="38.26953125" bestFit="1" customWidth="1"/>
    <col min="57" max="57" width="13.26953125" bestFit="1" customWidth="1"/>
    <col min="58" max="58" width="15.1796875" bestFit="1" customWidth="1"/>
    <col min="59" max="59" width="12.6328125" bestFit="1" customWidth="1"/>
    <col min="60" max="60" width="15.1796875" bestFit="1" customWidth="1"/>
    <col min="61" max="61" width="20.26953125" hidden="1" customWidth="1"/>
    <col min="62" max="62" width="19.36328125" hidden="1" customWidth="1"/>
    <col min="63" max="63" width="17.08984375" hidden="1" customWidth="1"/>
    <col min="64" max="64" width="16.36328125" hidden="1" customWidth="1"/>
    <col min="65" max="65" width="16.7265625" hidden="1" customWidth="1"/>
    <col min="66" max="66" width="17.6328125" hidden="1" customWidth="1"/>
    <col min="67" max="67" width="18.54296875" bestFit="1" customWidth="1"/>
    <col min="68" max="68" width="17.26953125" hidden="1" customWidth="1"/>
    <col min="69" max="69" width="18.90625" hidden="1" customWidth="1"/>
    <col min="70" max="70" width="17.6328125" bestFit="1" customWidth="1"/>
    <col min="71" max="71" width="30" bestFit="1" customWidth="1"/>
    <col min="72" max="72" width="19.26953125" bestFit="1" customWidth="1"/>
    <col min="73" max="73" width="32.26953125" bestFit="1" customWidth="1"/>
    <col min="74" max="74" width="30.54296875" bestFit="1" customWidth="1"/>
    <col min="75" max="75" width="14.90625" bestFit="1" customWidth="1"/>
    <col min="76" max="76" width="15.81640625" hidden="1" customWidth="1"/>
    <col min="77" max="77" width="14.54296875" hidden="1" customWidth="1"/>
    <col min="78" max="78" width="16.1796875" hidden="1" customWidth="1"/>
  </cols>
  <sheetData>
    <row r="1" spans="1:78" x14ac:dyDescent="0.35">
      <c r="A1" t="s">
        <v>0</v>
      </c>
      <c r="B1" t="s">
        <v>1</v>
      </c>
      <c r="C1" t="s">
        <v>2</v>
      </c>
      <c r="D1" t="s">
        <v>3</v>
      </c>
      <c r="E1" t="s">
        <v>4</v>
      </c>
      <c r="F1" t="s">
        <v>5</v>
      </c>
      <c r="G1" t="s">
        <v>1393</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row>
    <row r="2" spans="1:78" s="8" customFormat="1" x14ac:dyDescent="0.35">
      <c r="A2" s="8" t="s">
        <v>77</v>
      </c>
      <c r="B2" s="9">
        <v>45990</v>
      </c>
      <c r="C2" s="10">
        <v>0.87252314814814813</v>
      </c>
      <c r="D2" s="8" t="s">
        <v>78</v>
      </c>
      <c r="E2" s="8" t="s">
        <v>79</v>
      </c>
      <c r="F2" s="11" t="s">
        <v>80</v>
      </c>
      <c r="G2" s="8">
        <f>COUNTIF($F$2:$F$350,F2)</f>
        <v>38</v>
      </c>
      <c r="H2" s="8" t="s">
        <v>81</v>
      </c>
      <c r="I2" s="8" t="s">
        <v>82</v>
      </c>
      <c r="J2" s="8" t="s">
        <v>83</v>
      </c>
      <c r="K2" s="8" t="s">
        <v>84</v>
      </c>
      <c r="M2" s="8" t="s">
        <v>85</v>
      </c>
      <c r="N2" s="8" t="s">
        <v>86</v>
      </c>
      <c r="O2" s="8" t="s">
        <v>87</v>
      </c>
      <c r="P2" s="8" t="s">
        <v>88</v>
      </c>
      <c r="Q2" s="8" t="s">
        <v>89</v>
      </c>
      <c r="R2" s="8" t="s">
        <v>90</v>
      </c>
      <c r="S2" s="8" t="s">
        <v>91</v>
      </c>
      <c r="T2" s="8" t="s">
        <v>92</v>
      </c>
      <c r="U2" s="8" t="s">
        <v>93</v>
      </c>
      <c r="V2" s="8" t="s">
        <v>22</v>
      </c>
      <c r="X2" s="8" t="s">
        <v>94</v>
      </c>
      <c r="Y2" s="8" t="s">
        <v>95</v>
      </c>
      <c r="Z2" s="8" t="s">
        <v>96</v>
      </c>
      <c r="AA2" s="8" t="b">
        <v>0</v>
      </c>
      <c r="AC2" s="8">
        <v>0</v>
      </c>
      <c r="AD2" s="8">
        <v>84</v>
      </c>
      <c r="AI2" s="8" t="s">
        <v>97</v>
      </c>
      <c r="AJ2" s="8" t="s">
        <v>88</v>
      </c>
      <c r="AK2" s="8" t="s">
        <v>98</v>
      </c>
      <c r="AL2" s="8" t="s">
        <v>88</v>
      </c>
      <c r="AM2" s="8" t="s">
        <v>88</v>
      </c>
      <c r="AN2" s="8" t="s">
        <v>88</v>
      </c>
      <c r="AO2" s="8">
        <v>1002</v>
      </c>
      <c r="AP2" s="8" t="s">
        <v>99</v>
      </c>
      <c r="AQ2" s="8" t="s">
        <v>100</v>
      </c>
      <c r="AR2" s="8" t="s">
        <v>101</v>
      </c>
      <c r="AS2" s="8" t="s">
        <v>102</v>
      </c>
      <c r="AT2" s="8" t="s">
        <v>103</v>
      </c>
      <c r="AU2" s="8" t="s">
        <v>103</v>
      </c>
      <c r="AX2" s="8" t="s">
        <v>104</v>
      </c>
      <c r="AY2" s="8" t="s">
        <v>105</v>
      </c>
      <c r="AZ2" s="8" t="s">
        <v>100</v>
      </c>
      <c r="BA2" s="8" t="s">
        <v>101</v>
      </c>
      <c r="BB2" s="8" t="s">
        <v>102</v>
      </c>
      <c r="BC2" s="8" t="s">
        <v>103</v>
      </c>
      <c r="BD2" s="8" t="s">
        <v>106</v>
      </c>
      <c r="BF2" s="8" t="s">
        <v>107</v>
      </c>
      <c r="BG2" s="8">
        <v>16700</v>
      </c>
      <c r="BH2" s="8" t="s">
        <v>108</v>
      </c>
      <c r="BO2" s="8">
        <v>0</v>
      </c>
      <c r="BR2" s="8" t="s">
        <v>100</v>
      </c>
      <c r="BS2" s="8" t="s">
        <v>109</v>
      </c>
      <c r="BT2" s="8" t="s">
        <v>102</v>
      </c>
      <c r="BU2" s="8" t="s">
        <v>103</v>
      </c>
      <c r="BV2" s="8" t="s">
        <v>106</v>
      </c>
      <c r="BW2" s="8" t="s">
        <v>110</v>
      </c>
    </row>
    <row r="3" spans="1:78" x14ac:dyDescent="0.35">
      <c r="A3" t="s">
        <v>111</v>
      </c>
      <c r="B3" s="1">
        <v>45990</v>
      </c>
      <c r="C3" s="2">
        <v>0.86436342592592597</v>
      </c>
      <c r="D3" t="s">
        <v>112</v>
      </c>
      <c r="E3" t="s">
        <v>113</v>
      </c>
      <c r="F3" t="s">
        <v>114</v>
      </c>
      <c r="G3">
        <f>COUNTIF($F$2:$F$350,F3)</f>
        <v>42</v>
      </c>
      <c r="H3" t="s">
        <v>115</v>
      </c>
      <c r="I3" t="s">
        <v>82</v>
      </c>
      <c r="J3" t="s">
        <v>83</v>
      </c>
      <c r="K3" t="s">
        <v>84</v>
      </c>
      <c r="M3" t="s">
        <v>85</v>
      </c>
      <c r="N3" t="s">
        <v>116</v>
      </c>
      <c r="O3" t="s">
        <v>87</v>
      </c>
      <c r="P3" t="s">
        <v>88</v>
      </c>
      <c r="Q3" t="s">
        <v>89</v>
      </c>
      <c r="R3" t="s">
        <v>90</v>
      </c>
      <c r="S3" t="s">
        <v>91</v>
      </c>
      <c r="T3" t="s">
        <v>92</v>
      </c>
      <c r="U3" t="s">
        <v>93</v>
      </c>
      <c r="V3" t="s">
        <v>22</v>
      </c>
      <c r="X3" t="s">
        <v>94</v>
      </c>
      <c r="Y3" t="s">
        <v>95</v>
      </c>
      <c r="Z3" t="s">
        <v>96</v>
      </c>
      <c r="AA3" t="b">
        <v>0</v>
      </c>
      <c r="AC3">
        <v>0</v>
      </c>
      <c r="AD3">
        <v>129</v>
      </c>
      <c r="AI3" t="s">
        <v>117</v>
      </c>
      <c r="AJ3" t="s">
        <v>88</v>
      </c>
      <c r="AK3" t="s">
        <v>118</v>
      </c>
      <c r="AL3" t="s">
        <v>88</v>
      </c>
      <c r="AM3" t="s">
        <v>88</v>
      </c>
      <c r="AN3" t="s">
        <v>88</v>
      </c>
      <c r="AO3">
        <v>1002</v>
      </c>
      <c r="AP3" t="s">
        <v>119</v>
      </c>
      <c r="AQ3" t="s">
        <v>100</v>
      </c>
      <c r="AR3" t="s">
        <v>101</v>
      </c>
      <c r="AS3" t="s">
        <v>120</v>
      </c>
      <c r="AT3" t="s">
        <v>103</v>
      </c>
      <c r="AU3" t="s">
        <v>103</v>
      </c>
      <c r="AX3" t="s">
        <v>104</v>
      </c>
      <c r="AY3" t="s">
        <v>121</v>
      </c>
      <c r="AZ3" t="s">
        <v>100</v>
      </c>
      <c r="BA3" t="s">
        <v>101</v>
      </c>
      <c r="BB3" t="s">
        <v>102</v>
      </c>
      <c r="BC3" t="s">
        <v>103</v>
      </c>
      <c r="BD3" t="s">
        <v>103</v>
      </c>
      <c r="BF3" t="s">
        <v>107</v>
      </c>
      <c r="BG3">
        <v>16700</v>
      </c>
      <c r="BH3" t="s">
        <v>122</v>
      </c>
      <c r="BO3">
        <v>12</v>
      </c>
      <c r="BR3" t="s">
        <v>100</v>
      </c>
      <c r="BS3" t="s">
        <v>109</v>
      </c>
      <c r="BT3" t="s">
        <v>102</v>
      </c>
      <c r="BU3" t="s">
        <v>106</v>
      </c>
      <c r="BV3" t="s">
        <v>123</v>
      </c>
      <c r="BW3" t="s">
        <v>110</v>
      </c>
    </row>
    <row r="4" spans="1:78" x14ac:dyDescent="0.35">
      <c r="A4" t="s">
        <v>124</v>
      </c>
      <c r="B4" s="1">
        <v>45990</v>
      </c>
      <c r="C4" s="2">
        <v>0.83247685185185183</v>
      </c>
      <c r="D4" t="s">
        <v>125</v>
      </c>
      <c r="E4" t="s">
        <v>126</v>
      </c>
      <c r="F4" t="s">
        <v>127</v>
      </c>
      <c r="G4">
        <f>COUNTIF($F$2:$F$350,F4)</f>
        <v>6</v>
      </c>
      <c r="H4" t="s">
        <v>128</v>
      </c>
      <c r="I4" t="s">
        <v>129</v>
      </c>
      <c r="J4" t="s">
        <v>83</v>
      </c>
      <c r="K4" t="s">
        <v>84</v>
      </c>
      <c r="M4" t="s">
        <v>85</v>
      </c>
      <c r="N4" t="s">
        <v>116</v>
      </c>
      <c r="O4" t="s">
        <v>87</v>
      </c>
      <c r="P4" t="s">
        <v>88</v>
      </c>
      <c r="Q4" t="s">
        <v>130</v>
      </c>
      <c r="R4" t="s">
        <v>131</v>
      </c>
      <c r="S4" t="s">
        <v>132</v>
      </c>
      <c r="T4" t="s">
        <v>133</v>
      </c>
      <c r="U4" t="s">
        <v>93</v>
      </c>
      <c r="V4" t="s">
        <v>22</v>
      </c>
      <c r="X4" t="s">
        <v>94</v>
      </c>
      <c r="Y4" t="s">
        <v>95</v>
      </c>
      <c r="Z4" t="s">
        <v>96</v>
      </c>
      <c r="AA4" t="b">
        <v>0</v>
      </c>
      <c r="AC4">
        <v>0</v>
      </c>
      <c r="AD4">
        <v>92</v>
      </c>
      <c r="AI4" t="s">
        <v>134</v>
      </c>
      <c r="AJ4" t="s">
        <v>88</v>
      </c>
      <c r="AK4" t="s">
        <v>135</v>
      </c>
      <c r="AL4" t="s">
        <v>88</v>
      </c>
      <c r="AM4" t="s">
        <v>88</v>
      </c>
      <c r="AN4" t="s">
        <v>88</v>
      </c>
      <c r="AO4">
        <v>1002</v>
      </c>
      <c r="AP4" t="s">
        <v>136</v>
      </c>
      <c r="AQ4" t="s">
        <v>100</v>
      </c>
      <c r="AR4" t="s">
        <v>137</v>
      </c>
      <c r="AS4" t="s">
        <v>138</v>
      </c>
      <c r="AT4" t="s">
        <v>139</v>
      </c>
      <c r="AU4" t="s">
        <v>139</v>
      </c>
      <c r="AX4" t="s">
        <v>140</v>
      </c>
      <c r="AY4" t="s">
        <v>141</v>
      </c>
      <c r="AZ4" t="s">
        <v>100</v>
      </c>
      <c r="BA4" t="s">
        <v>137</v>
      </c>
      <c r="BB4" t="s">
        <v>142</v>
      </c>
      <c r="BC4" t="s">
        <v>139</v>
      </c>
      <c r="BD4" t="s">
        <v>139</v>
      </c>
      <c r="BF4" t="s">
        <v>143</v>
      </c>
      <c r="BG4">
        <v>19108</v>
      </c>
      <c r="BH4" t="s">
        <v>144</v>
      </c>
      <c r="BO4">
        <v>7</v>
      </c>
      <c r="BR4" t="s">
        <v>100</v>
      </c>
      <c r="BS4" t="s">
        <v>145</v>
      </c>
      <c r="BT4" t="s">
        <v>142</v>
      </c>
      <c r="BU4" t="s">
        <v>146</v>
      </c>
      <c r="BV4" t="s">
        <v>139</v>
      </c>
      <c r="BW4" t="s">
        <v>110</v>
      </c>
    </row>
    <row r="5" spans="1:78" x14ac:dyDescent="0.35">
      <c r="A5" t="s">
        <v>147</v>
      </c>
      <c r="B5" s="1">
        <v>45990</v>
      </c>
      <c r="C5" s="2">
        <v>0.83245370370370375</v>
      </c>
      <c r="D5" t="s">
        <v>125</v>
      </c>
      <c r="E5" t="s">
        <v>126</v>
      </c>
      <c r="F5" t="s">
        <v>127</v>
      </c>
      <c r="G5">
        <f>COUNTIF($F$2:$F$350,F5)</f>
        <v>6</v>
      </c>
      <c r="H5" t="s">
        <v>128</v>
      </c>
      <c r="I5" t="s">
        <v>129</v>
      </c>
      <c r="J5" t="s">
        <v>83</v>
      </c>
      <c r="K5" t="s">
        <v>84</v>
      </c>
      <c r="M5" t="s">
        <v>85</v>
      </c>
      <c r="N5" t="s">
        <v>116</v>
      </c>
      <c r="O5" t="s">
        <v>87</v>
      </c>
      <c r="P5" t="s">
        <v>88</v>
      </c>
      <c r="Q5" t="s">
        <v>148</v>
      </c>
      <c r="R5" t="s">
        <v>149</v>
      </c>
      <c r="S5" t="s">
        <v>150</v>
      </c>
      <c r="T5" t="s">
        <v>151</v>
      </c>
      <c r="U5" t="s">
        <v>93</v>
      </c>
      <c r="V5" t="s">
        <v>22</v>
      </c>
      <c r="X5" t="s">
        <v>94</v>
      </c>
      <c r="Y5" t="s">
        <v>95</v>
      </c>
      <c r="Z5" t="s">
        <v>96</v>
      </c>
      <c r="AA5" t="b">
        <v>0</v>
      </c>
      <c r="AC5">
        <v>0</v>
      </c>
      <c r="AD5">
        <v>77</v>
      </c>
      <c r="AI5" t="s">
        <v>134</v>
      </c>
      <c r="AJ5" t="s">
        <v>88</v>
      </c>
      <c r="AK5" t="s">
        <v>152</v>
      </c>
      <c r="AL5" t="s">
        <v>88</v>
      </c>
      <c r="AM5" t="s">
        <v>88</v>
      </c>
      <c r="AN5" t="s">
        <v>88</v>
      </c>
      <c r="AO5">
        <v>1002</v>
      </c>
      <c r="AP5" t="s">
        <v>153</v>
      </c>
      <c r="AQ5" t="s">
        <v>100</v>
      </c>
      <c r="AR5" t="s">
        <v>137</v>
      </c>
      <c r="AS5" t="s">
        <v>138</v>
      </c>
      <c r="AT5" t="s">
        <v>139</v>
      </c>
      <c r="AU5" t="s">
        <v>139</v>
      </c>
      <c r="AX5" t="s">
        <v>140</v>
      </c>
      <c r="AY5" t="s">
        <v>141</v>
      </c>
      <c r="AZ5" t="s">
        <v>100</v>
      </c>
      <c r="BA5" t="s">
        <v>137</v>
      </c>
      <c r="BB5" t="s">
        <v>142</v>
      </c>
      <c r="BC5" t="s">
        <v>139</v>
      </c>
      <c r="BD5" t="s">
        <v>139</v>
      </c>
      <c r="BF5" t="s">
        <v>143</v>
      </c>
      <c r="BG5">
        <v>19108</v>
      </c>
      <c r="BH5" t="s">
        <v>144</v>
      </c>
      <c r="BO5">
        <v>7</v>
      </c>
      <c r="BR5" t="s">
        <v>100</v>
      </c>
      <c r="BS5" t="s">
        <v>145</v>
      </c>
      <c r="BT5" t="s">
        <v>142</v>
      </c>
      <c r="BU5" t="s">
        <v>146</v>
      </c>
      <c r="BV5" t="s">
        <v>139</v>
      </c>
      <c r="BW5" t="s">
        <v>110</v>
      </c>
    </row>
    <row r="6" spans="1:78" x14ac:dyDescent="0.35">
      <c r="A6" t="s">
        <v>154</v>
      </c>
      <c r="B6" s="1">
        <v>45990</v>
      </c>
      <c r="C6" s="2">
        <v>0.83229166666666676</v>
      </c>
      <c r="D6" t="s">
        <v>125</v>
      </c>
      <c r="E6" t="s">
        <v>126</v>
      </c>
      <c r="F6" t="s">
        <v>127</v>
      </c>
      <c r="G6">
        <f>COUNTIF($F$2:$F$350,F6)</f>
        <v>6</v>
      </c>
      <c r="H6" t="s">
        <v>128</v>
      </c>
      <c r="I6" t="s">
        <v>129</v>
      </c>
      <c r="J6" t="s">
        <v>83</v>
      </c>
      <c r="K6" t="s">
        <v>84</v>
      </c>
      <c r="M6" t="s">
        <v>85</v>
      </c>
      <c r="N6" t="s">
        <v>116</v>
      </c>
      <c r="O6" t="s">
        <v>87</v>
      </c>
      <c r="P6" t="s">
        <v>88</v>
      </c>
      <c r="Q6" t="s">
        <v>155</v>
      </c>
      <c r="R6" t="s">
        <v>156</v>
      </c>
      <c r="S6" t="s">
        <v>155</v>
      </c>
      <c r="T6" t="s">
        <v>156</v>
      </c>
      <c r="U6" t="s">
        <v>93</v>
      </c>
      <c r="V6" t="s">
        <v>22</v>
      </c>
      <c r="X6" t="s">
        <v>94</v>
      </c>
      <c r="Y6" t="s">
        <v>95</v>
      </c>
      <c r="Z6" t="s">
        <v>96</v>
      </c>
      <c r="AA6" t="b">
        <v>0</v>
      </c>
      <c r="AC6">
        <v>0</v>
      </c>
      <c r="AD6">
        <v>58</v>
      </c>
      <c r="AI6" t="s">
        <v>134</v>
      </c>
      <c r="AJ6" t="s">
        <v>88</v>
      </c>
      <c r="AK6" t="s">
        <v>157</v>
      </c>
      <c r="AL6" t="s">
        <v>88</v>
      </c>
      <c r="AM6" t="s">
        <v>88</v>
      </c>
      <c r="AN6" t="s">
        <v>88</v>
      </c>
      <c r="AO6">
        <v>1002</v>
      </c>
      <c r="AP6" t="s">
        <v>158</v>
      </c>
      <c r="AQ6" t="s">
        <v>100</v>
      </c>
      <c r="AR6" t="s">
        <v>137</v>
      </c>
      <c r="AS6" t="s">
        <v>138</v>
      </c>
      <c r="AT6" t="s">
        <v>139</v>
      </c>
      <c r="AU6" t="s">
        <v>139</v>
      </c>
      <c r="AX6" t="s">
        <v>140</v>
      </c>
      <c r="AY6" t="s">
        <v>141</v>
      </c>
      <c r="AZ6" t="s">
        <v>100</v>
      </c>
      <c r="BA6" t="s">
        <v>137</v>
      </c>
      <c r="BB6" t="s">
        <v>142</v>
      </c>
      <c r="BC6" t="s">
        <v>139</v>
      </c>
      <c r="BD6" t="s">
        <v>139</v>
      </c>
      <c r="BF6" t="s">
        <v>143</v>
      </c>
      <c r="BG6">
        <v>19108</v>
      </c>
      <c r="BH6" t="s">
        <v>144</v>
      </c>
      <c r="BO6">
        <v>7</v>
      </c>
      <c r="BR6" t="s">
        <v>100</v>
      </c>
      <c r="BS6" t="s">
        <v>145</v>
      </c>
      <c r="BT6" t="s">
        <v>142</v>
      </c>
      <c r="BU6" t="s">
        <v>146</v>
      </c>
      <c r="BV6" t="s">
        <v>139</v>
      </c>
      <c r="BW6" t="s">
        <v>110</v>
      </c>
    </row>
    <row r="7" spans="1:78" x14ac:dyDescent="0.35">
      <c r="A7" t="s">
        <v>159</v>
      </c>
      <c r="B7" s="1">
        <v>45990</v>
      </c>
      <c r="C7" s="2">
        <v>0.83228009259259261</v>
      </c>
      <c r="D7" t="s">
        <v>125</v>
      </c>
      <c r="E7" t="s">
        <v>126</v>
      </c>
      <c r="F7" t="s">
        <v>127</v>
      </c>
      <c r="G7">
        <f>COUNTIF($F$2:$F$350,F7)</f>
        <v>6</v>
      </c>
      <c r="H7" t="s">
        <v>128</v>
      </c>
      <c r="I7" t="s">
        <v>129</v>
      </c>
      <c r="J7" t="s">
        <v>83</v>
      </c>
      <c r="K7" t="s">
        <v>84</v>
      </c>
      <c r="M7" t="s">
        <v>85</v>
      </c>
      <c r="N7" t="s">
        <v>116</v>
      </c>
      <c r="O7" t="s">
        <v>87</v>
      </c>
      <c r="P7" t="s">
        <v>88</v>
      </c>
      <c r="Q7" t="s">
        <v>155</v>
      </c>
      <c r="R7" t="s">
        <v>156</v>
      </c>
      <c r="S7" t="s">
        <v>155</v>
      </c>
      <c r="T7" t="s">
        <v>156</v>
      </c>
      <c r="U7" t="s">
        <v>93</v>
      </c>
      <c r="V7" t="s">
        <v>22</v>
      </c>
      <c r="X7" t="s">
        <v>94</v>
      </c>
      <c r="Y7" t="s">
        <v>95</v>
      </c>
      <c r="Z7" t="s">
        <v>96</v>
      </c>
      <c r="AA7" t="b">
        <v>0</v>
      </c>
      <c r="AC7">
        <v>0</v>
      </c>
      <c r="AD7">
        <v>55</v>
      </c>
      <c r="AI7" t="s">
        <v>134</v>
      </c>
      <c r="AJ7" t="s">
        <v>88</v>
      </c>
      <c r="AK7" t="s">
        <v>160</v>
      </c>
      <c r="AL7" t="s">
        <v>88</v>
      </c>
      <c r="AM7" t="s">
        <v>88</v>
      </c>
      <c r="AN7" t="s">
        <v>88</v>
      </c>
      <c r="AO7">
        <v>1002</v>
      </c>
      <c r="AP7" t="s">
        <v>161</v>
      </c>
      <c r="AQ7" t="s">
        <v>100</v>
      </c>
      <c r="AR7" t="s">
        <v>137</v>
      </c>
      <c r="AS7" t="s">
        <v>138</v>
      </c>
      <c r="AT7" t="s">
        <v>139</v>
      </c>
      <c r="AU7" t="s">
        <v>139</v>
      </c>
      <c r="AX7" t="s">
        <v>140</v>
      </c>
      <c r="AY7" t="s">
        <v>141</v>
      </c>
      <c r="AZ7" t="s">
        <v>100</v>
      </c>
      <c r="BA7" t="s">
        <v>137</v>
      </c>
      <c r="BB7" t="s">
        <v>142</v>
      </c>
      <c r="BC7" t="s">
        <v>139</v>
      </c>
      <c r="BD7" t="s">
        <v>139</v>
      </c>
      <c r="BF7" t="s">
        <v>143</v>
      </c>
      <c r="BG7">
        <v>19108</v>
      </c>
      <c r="BH7" t="s">
        <v>144</v>
      </c>
      <c r="BO7">
        <v>7</v>
      </c>
      <c r="BR7" t="s">
        <v>100</v>
      </c>
      <c r="BS7" t="s">
        <v>145</v>
      </c>
      <c r="BT7" t="s">
        <v>142</v>
      </c>
      <c r="BU7" t="s">
        <v>146</v>
      </c>
      <c r="BV7" t="s">
        <v>139</v>
      </c>
      <c r="BW7" t="s">
        <v>110</v>
      </c>
    </row>
    <row r="8" spans="1:78" x14ac:dyDescent="0.35">
      <c r="A8" t="s">
        <v>159</v>
      </c>
      <c r="B8" s="1">
        <v>45990</v>
      </c>
      <c r="C8" s="2">
        <v>0.83228009259259261</v>
      </c>
      <c r="D8" t="s">
        <v>125</v>
      </c>
      <c r="E8" t="s">
        <v>126</v>
      </c>
      <c r="F8" t="s">
        <v>127</v>
      </c>
      <c r="G8">
        <f>COUNTIF($F$2:$F$350,F8)</f>
        <v>6</v>
      </c>
      <c r="H8" t="s">
        <v>128</v>
      </c>
      <c r="I8" t="s">
        <v>129</v>
      </c>
      <c r="J8" t="s">
        <v>83</v>
      </c>
      <c r="K8" t="s">
        <v>84</v>
      </c>
      <c r="M8" t="s">
        <v>85</v>
      </c>
      <c r="N8" t="s">
        <v>116</v>
      </c>
      <c r="O8" t="s">
        <v>87</v>
      </c>
      <c r="P8" t="s">
        <v>88</v>
      </c>
      <c r="Q8" t="s">
        <v>155</v>
      </c>
      <c r="R8" t="s">
        <v>156</v>
      </c>
      <c r="S8" t="s">
        <v>155</v>
      </c>
      <c r="T8" t="s">
        <v>156</v>
      </c>
      <c r="U8" t="s">
        <v>93</v>
      </c>
      <c r="V8" t="s">
        <v>22</v>
      </c>
      <c r="X8" t="s">
        <v>94</v>
      </c>
      <c r="Y8" t="s">
        <v>95</v>
      </c>
      <c r="Z8" t="s">
        <v>96</v>
      </c>
      <c r="AA8" t="b">
        <v>0</v>
      </c>
      <c r="AC8">
        <v>0</v>
      </c>
      <c r="AD8">
        <v>95</v>
      </c>
      <c r="AH8" t="s">
        <v>126</v>
      </c>
      <c r="AI8" t="s">
        <v>134</v>
      </c>
      <c r="AJ8" t="s">
        <v>88</v>
      </c>
      <c r="AK8" t="s">
        <v>162</v>
      </c>
      <c r="AL8" t="s">
        <v>88</v>
      </c>
      <c r="AM8" t="s">
        <v>88</v>
      </c>
      <c r="AN8" t="s">
        <v>88</v>
      </c>
      <c r="AO8">
        <v>1002</v>
      </c>
      <c r="AP8" s="3" t="s">
        <v>163</v>
      </c>
      <c r="AQ8" t="s">
        <v>100</v>
      </c>
      <c r="AR8" t="s">
        <v>137</v>
      </c>
      <c r="AS8" t="s">
        <v>138</v>
      </c>
      <c r="AT8" t="s">
        <v>139</v>
      </c>
      <c r="AU8" t="s">
        <v>139</v>
      </c>
      <c r="AX8" t="s">
        <v>140</v>
      </c>
      <c r="AY8" t="s">
        <v>141</v>
      </c>
      <c r="AZ8" t="s">
        <v>100</v>
      </c>
      <c r="BA8" t="s">
        <v>137</v>
      </c>
      <c r="BB8" t="s">
        <v>142</v>
      </c>
      <c r="BC8" t="s">
        <v>139</v>
      </c>
      <c r="BD8" t="s">
        <v>139</v>
      </c>
      <c r="BF8" t="s">
        <v>143</v>
      </c>
      <c r="BG8">
        <v>19108</v>
      </c>
      <c r="BH8" t="s">
        <v>144</v>
      </c>
      <c r="BO8">
        <v>7</v>
      </c>
      <c r="BR8" t="s">
        <v>100</v>
      </c>
      <c r="BS8" t="s">
        <v>145</v>
      </c>
      <c r="BT8" t="s">
        <v>142</v>
      </c>
      <c r="BU8" t="s">
        <v>146</v>
      </c>
      <c r="BV8" t="s">
        <v>139</v>
      </c>
      <c r="BW8" t="s">
        <v>110</v>
      </c>
    </row>
    <row r="9" spans="1:78" x14ac:dyDescent="0.35">
      <c r="A9" t="s">
        <v>164</v>
      </c>
      <c r="B9" s="1">
        <v>45990</v>
      </c>
      <c r="C9" s="2">
        <v>0.8322222222222222</v>
      </c>
      <c r="D9" t="s">
        <v>125</v>
      </c>
      <c r="E9" t="s">
        <v>126</v>
      </c>
      <c r="F9" t="s">
        <v>127</v>
      </c>
      <c r="G9">
        <f>COUNTIF($F$2:$F$350,F9)</f>
        <v>6</v>
      </c>
      <c r="H9" t="s">
        <v>128</v>
      </c>
      <c r="I9" t="s">
        <v>129</v>
      </c>
      <c r="J9" t="s">
        <v>83</v>
      </c>
      <c r="K9" t="s">
        <v>165</v>
      </c>
      <c r="L9">
        <v>50140</v>
      </c>
      <c r="M9" t="s">
        <v>85</v>
      </c>
      <c r="N9" t="s">
        <v>116</v>
      </c>
      <c r="O9" t="s">
        <v>87</v>
      </c>
      <c r="P9" t="s">
        <v>88</v>
      </c>
      <c r="Q9" t="s">
        <v>155</v>
      </c>
      <c r="R9" t="s">
        <v>156</v>
      </c>
      <c r="S9" t="s">
        <v>155</v>
      </c>
      <c r="T9" t="s">
        <v>156</v>
      </c>
      <c r="U9" t="s">
        <v>166</v>
      </c>
      <c r="V9" t="s">
        <v>22</v>
      </c>
      <c r="X9" t="s">
        <v>94</v>
      </c>
      <c r="Y9" t="s">
        <v>95</v>
      </c>
      <c r="Z9" t="s">
        <v>96</v>
      </c>
      <c r="AA9" t="b">
        <v>0</v>
      </c>
      <c r="AC9">
        <v>0</v>
      </c>
      <c r="AD9">
        <v>92</v>
      </c>
      <c r="AE9" t="s">
        <v>167</v>
      </c>
      <c r="AH9" t="s">
        <v>126</v>
      </c>
      <c r="AI9" t="s">
        <v>134</v>
      </c>
      <c r="AJ9" t="s">
        <v>88</v>
      </c>
      <c r="AK9" t="s">
        <v>168</v>
      </c>
      <c r="AL9" t="s">
        <v>88</v>
      </c>
      <c r="AM9" t="s">
        <v>88</v>
      </c>
      <c r="AN9" t="s">
        <v>88</v>
      </c>
      <c r="AO9">
        <v>1002</v>
      </c>
      <c r="AP9" s="3" t="s">
        <v>163</v>
      </c>
      <c r="AQ9" t="s">
        <v>100</v>
      </c>
      <c r="AR9" t="s">
        <v>137</v>
      </c>
      <c r="AS9" t="s">
        <v>138</v>
      </c>
      <c r="AT9" t="s">
        <v>139</v>
      </c>
      <c r="AU9" t="s">
        <v>139</v>
      </c>
      <c r="AX9" t="s">
        <v>140</v>
      </c>
      <c r="AY9" t="s">
        <v>141</v>
      </c>
      <c r="AZ9" t="s">
        <v>100</v>
      </c>
      <c r="BA9" t="s">
        <v>137</v>
      </c>
      <c r="BB9" t="s">
        <v>142</v>
      </c>
      <c r="BC9" t="s">
        <v>139</v>
      </c>
      <c r="BD9" t="s">
        <v>139</v>
      </c>
      <c r="BF9" t="s">
        <v>143</v>
      </c>
      <c r="BG9">
        <v>19108</v>
      </c>
      <c r="BH9" t="s">
        <v>144</v>
      </c>
      <c r="BO9">
        <v>7</v>
      </c>
      <c r="BR9" t="s">
        <v>100</v>
      </c>
      <c r="BS9" t="s">
        <v>145</v>
      </c>
      <c r="BT9" t="s">
        <v>142</v>
      </c>
      <c r="BU9" t="s">
        <v>146</v>
      </c>
      <c r="BV9" t="s">
        <v>139</v>
      </c>
      <c r="BW9" t="s">
        <v>110</v>
      </c>
    </row>
    <row r="10" spans="1:78" s="8" customFormat="1" x14ac:dyDescent="0.35">
      <c r="A10" s="8" t="s">
        <v>169</v>
      </c>
      <c r="B10" s="9">
        <v>45990</v>
      </c>
      <c r="C10" s="10">
        <v>0.82646990740740733</v>
      </c>
      <c r="D10" s="8" t="s">
        <v>170</v>
      </c>
      <c r="E10" s="8" t="s">
        <v>171</v>
      </c>
      <c r="F10" s="11" t="s">
        <v>172</v>
      </c>
      <c r="G10" s="8">
        <f>COUNTIF($F$2:$F$350,F10)</f>
        <v>213</v>
      </c>
      <c r="H10" s="8" t="s">
        <v>115</v>
      </c>
      <c r="I10" s="8" t="s">
        <v>82</v>
      </c>
      <c r="J10" s="8" t="s">
        <v>83</v>
      </c>
      <c r="K10" s="8" t="s">
        <v>84</v>
      </c>
      <c r="M10" s="8" t="s">
        <v>85</v>
      </c>
      <c r="N10" s="8" t="s">
        <v>116</v>
      </c>
      <c r="O10" s="8" t="s">
        <v>87</v>
      </c>
      <c r="P10" s="8" t="s">
        <v>173</v>
      </c>
      <c r="Q10" s="8" t="s">
        <v>174</v>
      </c>
      <c r="R10" s="8" t="s">
        <v>175</v>
      </c>
      <c r="S10" s="8" t="s">
        <v>132</v>
      </c>
      <c r="T10" s="8" t="s">
        <v>133</v>
      </c>
      <c r="U10" s="8" t="s">
        <v>93</v>
      </c>
      <c r="V10" s="8" t="s">
        <v>22</v>
      </c>
      <c r="W10" s="8" t="s">
        <v>176</v>
      </c>
      <c r="X10" s="8" t="s">
        <v>177</v>
      </c>
      <c r="Y10" s="8" t="s">
        <v>95</v>
      </c>
      <c r="Z10" s="8" t="s">
        <v>178</v>
      </c>
      <c r="AA10" s="8" t="b">
        <v>0</v>
      </c>
      <c r="AC10" s="8">
        <v>0</v>
      </c>
      <c r="AD10" s="8">
        <v>250</v>
      </c>
      <c r="AI10" s="8" t="s">
        <v>179</v>
      </c>
      <c r="AJ10" s="8" t="s">
        <v>88</v>
      </c>
      <c r="AK10" s="8" t="s">
        <v>180</v>
      </c>
      <c r="AL10" s="8" t="s">
        <v>88</v>
      </c>
      <c r="AM10" s="8" t="s">
        <v>88</v>
      </c>
      <c r="AN10" s="8" t="s">
        <v>88</v>
      </c>
      <c r="AP10" s="8" t="s">
        <v>181</v>
      </c>
      <c r="AQ10" s="8" t="s">
        <v>100</v>
      </c>
      <c r="AR10" s="8" t="s">
        <v>101</v>
      </c>
      <c r="AS10" s="8" t="s">
        <v>120</v>
      </c>
      <c r="AT10" s="8" t="s">
        <v>103</v>
      </c>
      <c r="AU10" s="8" t="s">
        <v>103</v>
      </c>
      <c r="AX10" s="8" t="s">
        <v>104</v>
      </c>
      <c r="AY10" s="8" t="s">
        <v>121</v>
      </c>
      <c r="AZ10" s="8" t="s">
        <v>100</v>
      </c>
      <c r="BA10" s="8" t="s">
        <v>101</v>
      </c>
      <c r="BB10" s="8" t="s">
        <v>102</v>
      </c>
      <c r="BC10" s="8" t="s">
        <v>103</v>
      </c>
      <c r="BD10" s="8" t="s">
        <v>103</v>
      </c>
      <c r="BF10" s="8" t="s">
        <v>107</v>
      </c>
      <c r="BG10" s="8">
        <v>16700</v>
      </c>
      <c r="BH10" s="8" t="s">
        <v>122</v>
      </c>
      <c r="BO10" s="8">
        <v>12</v>
      </c>
      <c r="BR10" s="8" t="s">
        <v>100</v>
      </c>
      <c r="BS10" s="8" t="s">
        <v>182</v>
      </c>
      <c r="BT10" s="8" t="s">
        <v>183</v>
      </c>
      <c r="BU10" s="8" t="s">
        <v>106</v>
      </c>
      <c r="BV10" s="8" t="s">
        <v>123</v>
      </c>
      <c r="BW10" s="8" t="s">
        <v>110</v>
      </c>
    </row>
    <row r="11" spans="1:78" s="8" customFormat="1" x14ac:dyDescent="0.35">
      <c r="A11" s="8" t="s">
        <v>184</v>
      </c>
      <c r="B11" s="9">
        <v>45990</v>
      </c>
      <c r="C11" s="10">
        <v>0.82303240740740735</v>
      </c>
      <c r="D11" s="8" t="s">
        <v>170</v>
      </c>
      <c r="E11" s="8" t="s">
        <v>171</v>
      </c>
      <c r="F11" s="11" t="s">
        <v>172</v>
      </c>
      <c r="G11" s="8">
        <f>COUNTIF($F$2:$F$350,F11)</f>
        <v>213</v>
      </c>
      <c r="H11" s="8" t="s">
        <v>115</v>
      </c>
      <c r="I11" s="8" t="s">
        <v>82</v>
      </c>
      <c r="J11" s="8" t="s">
        <v>83</v>
      </c>
      <c r="K11" s="8" t="s">
        <v>84</v>
      </c>
      <c r="M11" s="8" t="s">
        <v>85</v>
      </c>
      <c r="N11" s="8" t="s">
        <v>116</v>
      </c>
      <c r="O11" s="8" t="s">
        <v>87</v>
      </c>
      <c r="P11" s="8" t="s">
        <v>173</v>
      </c>
      <c r="Q11" s="8" t="s">
        <v>185</v>
      </c>
      <c r="R11" s="8" t="s">
        <v>186</v>
      </c>
      <c r="S11" s="8" t="s">
        <v>187</v>
      </c>
      <c r="T11" s="8" t="s">
        <v>188</v>
      </c>
      <c r="U11" s="8" t="s">
        <v>93</v>
      </c>
      <c r="V11" s="8" t="s">
        <v>22</v>
      </c>
      <c r="W11" s="8" t="s">
        <v>176</v>
      </c>
      <c r="X11" s="8" t="s">
        <v>177</v>
      </c>
      <c r="Y11" s="8" t="s">
        <v>95</v>
      </c>
      <c r="Z11" s="8" t="s">
        <v>189</v>
      </c>
      <c r="AA11" s="8" t="b">
        <v>0</v>
      </c>
      <c r="AC11" s="8">
        <v>0</v>
      </c>
      <c r="AD11" s="8">
        <v>109</v>
      </c>
      <c r="AI11" s="8" t="s">
        <v>179</v>
      </c>
      <c r="AJ11" s="8" t="s">
        <v>88</v>
      </c>
      <c r="AK11" s="8" t="s">
        <v>190</v>
      </c>
      <c r="AL11" s="8" t="s">
        <v>88</v>
      </c>
      <c r="AM11" s="8" t="s">
        <v>88</v>
      </c>
      <c r="AN11" s="8" t="s">
        <v>88</v>
      </c>
      <c r="AP11" s="8" t="s">
        <v>191</v>
      </c>
      <c r="AQ11" s="8" t="s">
        <v>100</v>
      </c>
      <c r="AR11" s="8" t="s">
        <v>101</v>
      </c>
      <c r="AS11" s="8" t="s">
        <v>120</v>
      </c>
      <c r="AT11" s="8" t="s">
        <v>103</v>
      </c>
      <c r="AU11" s="8" t="s">
        <v>103</v>
      </c>
      <c r="AX11" s="8" t="s">
        <v>104</v>
      </c>
      <c r="AY11" s="8" t="s">
        <v>121</v>
      </c>
      <c r="AZ11" s="8" t="s">
        <v>100</v>
      </c>
      <c r="BA11" s="8" t="s">
        <v>101</v>
      </c>
      <c r="BB11" s="8" t="s">
        <v>102</v>
      </c>
      <c r="BC11" s="8" t="s">
        <v>103</v>
      </c>
      <c r="BD11" s="8" t="s">
        <v>103</v>
      </c>
      <c r="BF11" s="8" t="s">
        <v>107</v>
      </c>
      <c r="BG11" s="8">
        <v>16700</v>
      </c>
      <c r="BH11" s="8" t="s">
        <v>122</v>
      </c>
      <c r="BO11" s="8">
        <v>12</v>
      </c>
      <c r="BR11" s="8" t="s">
        <v>100</v>
      </c>
      <c r="BS11" s="8" t="s">
        <v>182</v>
      </c>
      <c r="BT11" s="8" t="s">
        <v>183</v>
      </c>
      <c r="BU11" s="8" t="s">
        <v>106</v>
      </c>
      <c r="BV11" s="8" t="s">
        <v>123</v>
      </c>
      <c r="BW11" s="8" t="s">
        <v>110</v>
      </c>
    </row>
    <row r="12" spans="1:78" s="8" customFormat="1" x14ac:dyDescent="0.35">
      <c r="A12" s="8" t="s">
        <v>184</v>
      </c>
      <c r="B12" s="9">
        <v>45990</v>
      </c>
      <c r="C12" s="10">
        <v>0.82303240740740735</v>
      </c>
      <c r="D12" s="8" t="s">
        <v>170</v>
      </c>
      <c r="E12" s="8" t="s">
        <v>171</v>
      </c>
      <c r="F12" s="11" t="s">
        <v>172</v>
      </c>
      <c r="G12" s="8">
        <f>COUNTIF($F$2:$F$350,F12)</f>
        <v>213</v>
      </c>
      <c r="H12" s="8" t="s">
        <v>115</v>
      </c>
      <c r="I12" s="8" t="s">
        <v>82</v>
      </c>
      <c r="J12" s="8" t="s">
        <v>83</v>
      </c>
      <c r="K12" s="8" t="s">
        <v>84</v>
      </c>
      <c r="M12" s="8" t="s">
        <v>85</v>
      </c>
      <c r="N12" s="8" t="s">
        <v>116</v>
      </c>
      <c r="O12" s="8" t="s">
        <v>87</v>
      </c>
      <c r="P12" s="8" t="s">
        <v>173</v>
      </c>
      <c r="Q12" s="8" t="s">
        <v>185</v>
      </c>
      <c r="R12" s="8" t="s">
        <v>186</v>
      </c>
      <c r="S12" s="8" t="s">
        <v>132</v>
      </c>
      <c r="T12" s="8" t="s">
        <v>133</v>
      </c>
      <c r="U12" s="8" t="s">
        <v>93</v>
      </c>
      <c r="V12" s="8" t="s">
        <v>22</v>
      </c>
      <c r="W12" s="8" t="s">
        <v>176</v>
      </c>
      <c r="X12" s="8" t="s">
        <v>177</v>
      </c>
      <c r="Y12" s="8" t="s">
        <v>95</v>
      </c>
      <c r="Z12" s="8" t="s">
        <v>189</v>
      </c>
      <c r="AA12" s="8" t="b">
        <v>0</v>
      </c>
      <c r="AC12" s="8">
        <v>0</v>
      </c>
      <c r="AD12" s="8">
        <v>117</v>
      </c>
      <c r="AI12" s="8" t="s">
        <v>179</v>
      </c>
      <c r="AJ12" s="8" t="s">
        <v>88</v>
      </c>
      <c r="AK12" s="8" t="s">
        <v>192</v>
      </c>
      <c r="AL12" s="8" t="s">
        <v>88</v>
      </c>
      <c r="AM12" s="8" t="s">
        <v>88</v>
      </c>
      <c r="AN12" s="8" t="s">
        <v>88</v>
      </c>
      <c r="AP12" s="8" t="s">
        <v>193</v>
      </c>
      <c r="AQ12" s="8" t="s">
        <v>100</v>
      </c>
      <c r="AR12" s="8" t="s">
        <v>101</v>
      </c>
      <c r="AS12" s="8" t="s">
        <v>120</v>
      </c>
      <c r="AT12" s="8" t="s">
        <v>103</v>
      </c>
      <c r="AU12" s="8" t="s">
        <v>103</v>
      </c>
      <c r="AX12" s="8" t="s">
        <v>104</v>
      </c>
      <c r="AY12" s="8" t="s">
        <v>121</v>
      </c>
      <c r="AZ12" s="8" t="s">
        <v>100</v>
      </c>
      <c r="BA12" s="8" t="s">
        <v>101</v>
      </c>
      <c r="BB12" s="8" t="s">
        <v>102</v>
      </c>
      <c r="BC12" s="8" t="s">
        <v>103</v>
      </c>
      <c r="BD12" s="8" t="s">
        <v>103</v>
      </c>
      <c r="BF12" s="8" t="s">
        <v>107</v>
      </c>
      <c r="BG12" s="8">
        <v>16700</v>
      </c>
      <c r="BH12" s="8" t="s">
        <v>122</v>
      </c>
      <c r="BO12" s="8">
        <v>12</v>
      </c>
      <c r="BR12" s="8" t="s">
        <v>100</v>
      </c>
      <c r="BS12" s="8" t="s">
        <v>182</v>
      </c>
      <c r="BT12" s="8" t="s">
        <v>183</v>
      </c>
      <c r="BU12" s="8" t="s">
        <v>106</v>
      </c>
      <c r="BV12" s="8" t="s">
        <v>123</v>
      </c>
      <c r="BW12" s="8" t="s">
        <v>110</v>
      </c>
    </row>
    <row r="13" spans="1:78" s="8" customFormat="1" x14ac:dyDescent="0.35">
      <c r="A13" s="8" t="s">
        <v>184</v>
      </c>
      <c r="B13" s="9">
        <v>45990</v>
      </c>
      <c r="C13" s="10">
        <v>0.82303240740740735</v>
      </c>
      <c r="D13" s="8" t="s">
        <v>170</v>
      </c>
      <c r="E13" s="8" t="s">
        <v>171</v>
      </c>
      <c r="F13" s="11" t="s">
        <v>172</v>
      </c>
      <c r="G13" s="8">
        <f>COUNTIF($F$2:$F$350,F13)</f>
        <v>213</v>
      </c>
      <c r="H13" s="8" t="s">
        <v>115</v>
      </c>
      <c r="I13" s="8" t="s">
        <v>82</v>
      </c>
      <c r="J13" s="8" t="s">
        <v>83</v>
      </c>
      <c r="K13" s="8" t="s">
        <v>84</v>
      </c>
      <c r="M13" s="8" t="s">
        <v>85</v>
      </c>
      <c r="N13" s="8" t="s">
        <v>116</v>
      </c>
      <c r="O13" s="8" t="s">
        <v>87</v>
      </c>
      <c r="P13" s="8" t="s">
        <v>173</v>
      </c>
      <c r="Q13" s="8" t="s">
        <v>185</v>
      </c>
      <c r="R13" s="8" t="s">
        <v>186</v>
      </c>
      <c r="S13" s="8" t="s">
        <v>132</v>
      </c>
      <c r="T13" s="8" t="s">
        <v>133</v>
      </c>
      <c r="U13" s="8" t="s">
        <v>93</v>
      </c>
      <c r="V13" s="8" t="s">
        <v>22</v>
      </c>
      <c r="W13" s="8" t="s">
        <v>176</v>
      </c>
      <c r="X13" s="8" t="s">
        <v>177</v>
      </c>
      <c r="Y13" s="8" t="s">
        <v>95</v>
      </c>
      <c r="Z13" s="8" t="s">
        <v>189</v>
      </c>
      <c r="AA13" s="8" t="b">
        <v>0</v>
      </c>
      <c r="AC13" s="8">
        <v>0</v>
      </c>
      <c r="AD13" s="8">
        <v>75</v>
      </c>
      <c r="AI13" s="8" t="s">
        <v>179</v>
      </c>
      <c r="AJ13" s="8" t="s">
        <v>88</v>
      </c>
      <c r="AK13" s="8" t="s">
        <v>194</v>
      </c>
      <c r="AL13" s="8" t="s">
        <v>88</v>
      </c>
      <c r="AM13" s="8" t="s">
        <v>88</v>
      </c>
      <c r="AN13" s="8" t="s">
        <v>88</v>
      </c>
      <c r="AP13" s="8" t="s">
        <v>195</v>
      </c>
      <c r="AQ13" s="8" t="s">
        <v>100</v>
      </c>
      <c r="AR13" s="8" t="s">
        <v>101</v>
      </c>
      <c r="AS13" s="8" t="s">
        <v>120</v>
      </c>
      <c r="AT13" s="8" t="s">
        <v>103</v>
      </c>
      <c r="AU13" s="8" t="s">
        <v>103</v>
      </c>
      <c r="AX13" s="8" t="s">
        <v>104</v>
      </c>
      <c r="AY13" s="8" t="s">
        <v>121</v>
      </c>
      <c r="AZ13" s="8" t="s">
        <v>100</v>
      </c>
      <c r="BA13" s="8" t="s">
        <v>101</v>
      </c>
      <c r="BB13" s="8" t="s">
        <v>102</v>
      </c>
      <c r="BC13" s="8" t="s">
        <v>103</v>
      </c>
      <c r="BD13" s="8" t="s">
        <v>103</v>
      </c>
      <c r="BF13" s="8" t="s">
        <v>107</v>
      </c>
      <c r="BG13" s="8">
        <v>16700</v>
      </c>
      <c r="BH13" s="8" t="s">
        <v>122</v>
      </c>
      <c r="BO13" s="8">
        <v>12</v>
      </c>
      <c r="BR13" s="8" t="s">
        <v>100</v>
      </c>
      <c r="BS13" s="8" t="s">
        <v>182</v>
      </c>
      <c r="BT13" s="8" t="s">
        <v>183</v>
      </c>
      <c r="BU13" s="8" t="s">
        <v>106</v>
      </c>
      <c r="BV13" s="8" t="s">
        <v>123</v>
      </c>
      <c r="BW13" s="8" t="s">
        <v>110</v>
      </c>
    </row>
    <row r="14" spans="1:78" s="8" customFormat="1" x14ac:dyDescent="0.35">
      <c r="A14" s="8" t="s">
        <v>196</v>
      </c>
      <c r="B14" s="9">
        <v>45990</v>
      </c>
      <c r="C14" s="10">
        <v>0.82298611111111108</v>
      </c>
      <c r="D14" s="8" t="s">
        <v>170</v>
      </c>
      <c r="E14" s="8" t="s">
        <v>171</v>
      </c>
      <c r="F14" s="11" t="s">
        <v>172</v>
      </c>
      <c r="G14" s="8">
        <f>COUNTIF($F$2:$F$350,F14)</f>
        <v>213</v>
      </c>
      <c r="H14" s="8" t="s">
        <v>115</v>
      </c>
      <c r="I14" s="8" t="s">
        <v>82</v>
      </c>
      <c r="J14" s="8" t="s">
        <v>83</v>
      </c>
      <c r="K14" s="8" t="s">
        <v>84</v>
      </c>
      <c r="M14" s="8" t="s">
        <v>85</v>
      </c>
      <c r="N14" s="8" t="s">
        <v>116</v>
      </c>
      <c r="O14" s="8" t="s">
        <v>87</v>
      </c>
      <c r="P14" s="8" t="s">
        <v>173</v>
      </c>
      <c r="Q14" s="8" t="s">
        <v>185</v>
      </c>
      <c r="R14" s="8" t="s">
        <v>186</v>
      </c>
      <c r="S14" s="8" t="s">
        <v>132</v>
      </c>
      <c r="T14" s="8" t="s">
        <v>133</v>
      </c>
      <c r="U14" s="8" t="s">
        <v>93</v>
      </c>
      <c r="V14" s="8" t="s">
        <v>22</v>
      </c>
      <c r="W14" s="8" t="s">
        <v>176</v>
      </c>
      <c r="X14" s="8" t="s">
        <v>177</v>
      </c>
      <c r="Y14" s="8" t="s">
        <v>95</v>
      </c>
      <c r="Z14" s="8" t="s">
        <v>189</v>
      </c>
      <c r="AA14" s="8" t="b">
        <v>0</v>
      </c>
      <c r="AC14" s="8">
        <v>0</v>
      </c>
      <c r="AD14" s="8">
        <v>132</v>
      </c>
      <c r="AI14" s="8" t="s">
        <v>179</v>
      </c>
      <c r="AJ14" s="8" t="s">
        <v>88</v>
      </c>
      <c r="AK14" s="8" t="s">
        <v>197</v>
      </c>
      <c r="AL14" s="8" t="s">
        <v>88</v>
      </c>
      <c r="AM14" s="8" t="s">
        <v>88</v>
      </c>
      <c r="AN14" s="8" t="s">
        <v>88</v>
      </c>
      <c r="AP14" s="8" t="s">
        <v>198</v>
      </c>
      <c r="AQ14" s="8" t="s">
        <v>100</v>
      </c>
      <c r="AR14" s="8" t="s">
        <v>101</v>
      </c>
      <c r="AS14" s="8" t="s">
        <v>120</v>
      </c>
      <c r="AT14" s="8" t="s">
        <v>103</v>
      </c>
      <c r="AU14" s="8" t="s">
        <v>103</v>
      </c>
      <c r="AX14" s="8" t="s">
        <v>104</v>
      </c>
      <c r="AY14" s="8" t="s">
        <v>121</v>
      </c>
      <c r="AZ14" s="8" t="s">
        <v>100</v>
      </c>
      <c r="BA14" s="8" t="s">
        <v>101</v>
      </c>
      <c r="BB14" s="8" t="s">
        <v>102</v>
      </c>
      <c r="BC14" s="8" t="s">
        <v>103</v>
      </c>
      <c r="BD14" s="8" t="s">
        <v>103</v>
      </c>
      <c r="BF14" s="8" t="s">
        <v>107</v>
      </c>
      <c r="BG14" s="8">
        <v>16700</v>
      </c>
      <c r="BH14" s="8" t="s">
        <v>122</v>
      </c>
      <c r="BO14" s="8">
        <v>12</v>
      </c>
      <c r="BR14" s="8" t="s">
        <v>100</v>
      </c>
      <c r="BS14" s="8" t="s">
        <v>182</v>
      </c>
      <c r="BT14" s="8" t="s">
        <v>183</v>
      </c>
      <c r="BU14" s="8" t="s">
        <v>106</v>
      </c>
      <c r="BV14" s="8" t="s">
        <v>123</v>
      </c>
      <c r="BW14" s="8" t="s">
        <v>110</v>
      </c>
    </row>
    <row r="15" spans="1:78" s="8" customFormat="1" x14ac:dyDescent="0.35">
      <c r="A15" s="8" t="s">
        <v>196</v>
      </c>
      <c r="B15" s="9">
        <v>45990</v>
      </c>
      <c r="C15" s="10">
        <v>0.82298611111111108</v>
      </c>
      <c r="D15" s="8" t="s">
        <v>170</v>
      </c>
      <c r="E15" s="8" t="s">
        <v>171</v>
      </c>
      <c r="F15" s="11" t="s">
        <v>172</v>
      </c>
      <c r="G15" s="8">
        <f>COUNTIF($F$2:$F$350,F15)</f>
        <v>213</v>
      </c>
      <c r="H15" s="8" t="s">
        <v>115</v>
      </c>
      <c r="I15" s="8" t="s">
        <v>82</v>
      </c>
      <c r="J15" s="8" t="s">
        <v>83</v>
      </c>
      <c r="K15" s="8" t="s">
        <v>84</v>
      </c>
      <c r="M15" s="8" t="s">
        <v>85</v>
      </c>
      <c r="N15" s="8" t="s">
        <v>116</v>
      </c>
      <c r="O15" s="8" t="s">
        <v>87</v>
      </c>
      <c r="P15" s="8" t="s">
        <v>173</v>
      </c>
      <c r="Q15" s="8" t="s">
        <v>185</v>
      </c>
      <c r="R15" s="8" t="s">
        <v>186</v>
      </c>
      <c r="S15" s="8" t="s">
        <v>132</v>
      </c>
      <c r="T15" s="8" t="s">
        <v>133</v>
      </c>
      <c r="U15" s="8" t="s">
        <v>93</v>
      </c>
      <c r="V15" s="8" t="s">
        <v>22</v>
      </c>
      <c r="W15" s="8" t="s">
        <v>176</v>
      </c>
      <c r="X15" s="8" t="s">
        <v>177</v>
      </c>
      <c r="Y15" s="8" t="s">
        <v>95</v>
      </c>
      <c r="Z15" s="8" t="s">
        <v>189</v>
      </c>
      <c r="AA15" s="8" t="b">
        <v>0</v>
      </c>
      <c r="AC15" s="8">
        <v>0</v>
      </c>
      <c r="AD15" s="8">
        <v>82</v>
      </c>
      <c r="AI15" s="8" t="s">
        <v>179</v>
      </c>
      <c r="AJ15" s="8" t="s">
        <v>88</v>
      </c>
      <c r="AK15" s="8" t="s">
        <v>199</v>
      </c>
      <c r="AL15" s="8" t="s">
        <v>88</v>
      </c>
      <c r="AM15" s="8" t="s">
        <v>88</v>
      </c>
      <c r="AN15" s="8" t="s">
        <v>88</v>
      </c>
      <c r="AP15" s="8" t="s">
        <v>200</v>
      </c>
      <c r="AQ15" s="8" t="s">
        <v>100</v>
      </c>
      <c r="AR15" s="8" t="s">
        <v>101</v>
      </c>
      <c r="AS15" s="8" t="s">
        <v>120</v>
      </c>
      <c r="AT15" s="8" t="s">
        <v>103</v>
      </c>
      <c r="AU15" s="8" t="s">
        <v>103</v>
      </c>
      <c r="AX15" s="8" t="s">
        <v>104</v>
      </c>
      <c r="AY15" s="8" t="s">
        <v>121</v>
      </c>
      <c r="AZ15" s="8" t="s">
        <v>100</v>
      </c>
      <c r="BA15" s="8" t="s">
        <v>101</v>
      </c>
      <c r="BB15" s="8" t="s">
        <v>102</v>
      </c>
      <c r="BC15" s="8" t="s">
        <v>103</v>
      </c>
      <c r="BD15" s="8" t="s">
        <v>103</v>
      </c>
      <c r="BF15" s="8" t="s">
        <v>107</v>
      </c>
      <c r="BG15" s="8">
        <v>16700</v>
      </c>
      <c r="BH15" s="8" t="s">
        <v>122</v>
      </c>
      <c r="BO15" s="8">
        <v>12</v>
      </c>
      <c r="BR15" s="8" t="s">
        <v>100</v>
      </c>
      <c r="BS15" s="8" t="s">
        <v>182</v>
      </c>
      <c r="BT15" s="8" t="s">
        <v>183</v>
      </c>
      <c r="BU15" s="8" t="s">
        <v>106</v>
      </c>
      <c r="BV15" s="8" t="s">
        <v>123</v>
      </c>
      <c r="BW15" s="8" t="s">
        <v>110</v>
      </c>
    </row>
    <row r="16" spans="1:78" s="8" customFormat="1" x14ac:dyDescent="0.35">
      <c r="A16" s="8" t="s">
        <v>196</v>
      </c>
      <c r="B16" s="9">
        <v>45990</v>
      </c>
      <c r="C16" s="10">
        <v>0.82298611111111108</v>
      </c>
      <c r="D16" s="8" t="s">
        <v>170</v>
      </c>
      <c r="E16" s="8" t="s">
        <v>171</v>
      </c>
      <c r="F16" s="11" t="s">
        <v>172</v>
      </c>
      <c r="G16" s="8">
        <f>COUNTIF($F$2:$F$350,F16)</f>
        <v>213</v>
      </c>
      <c r="H16" s="8" t="s">
        <v>115</v>
      </c>
      <c r="I16" s="8" t="s">
        <v>82</v>
      </c>
      <c r="J16" s="8" t="s">
        <v>83</v>
      </c>
      <c r="K16" s="8" t="s">
        <v>84</v>
      </c>
      <c r="M16" s="8" t="s">
        <v>85</v>
      </c>
      <c r="N16" s="8" t="s">
        <v>116</v>
      </c>
      <c r="O16" s="8" t="s">
        <v>87</v>
      </c>
      <c r="P16" s="8" t="s">
        <v>173</v>
      </c>
      <c r="Q16" s="8" t="s">
        <v>185</v>
      </c>
      <c r="R16" s="8" t="s">
        <v>186</v>
      </c>
      <c r="S16" s="8" t="s">
        <v>187</v>
      </c>
      <c r="T16" s="8" t="s">
        <v>188</v>
      </c>
      <c r="U16" s="8" t="s">
        <v>93</v>
      </c>
      <c r="V16" s="8" t="s">
        <v>22</v>
      </c>
      <c r="W16" s="8" t="s">
        <v>176</v>
      </c>
      <c r="X16" s="8" t="s">
        <v>177</v>
      </c>
      <c r="Y16" s="8" t="s">
        <v>95</v>
      </c>
      <c r="Z16" s="8" t="s">
        <v>189</v>
      </c>
      <c r="AA16" s="8" t="b">
        <v>0</v>
      </c>
      <c r="AC16" s="8">
        <v>0</v>
      </c>
      <c r="AD16" s="8">
        <v>100</v>
      </c>
      <c r="AI16" s="8" t="s">
        <v>179</v>
      </c>
      <c r="AJ16" s="8" t="s">
        <v>88</v>
      </c>
      <c r="AK16" s="8" t="s">
        <v>201</v>
      </c>
      <c r="AL16" s="8" t="s">
        <v>88</v>
      </c>
      <c r="AM16" s="8" t="s">
        <v>88</v>
      </c>
      <c r="AN16" s="8" t="s">
        <v>88</v>
      </c>
      <c r="AP16" s="8" t="s">
        <v>202</v>
      </c>
      <c r="AQ16" s="8" t="s">
        <v>100</v>
      </c>
      <c r="AR16" s="8" t="s">
        <v>101</v>
      </c>
      <c r="AS16" s="8" t="s">
        <v>120</v>
      </c>
      <c r="AT16" s="8" t="s">
        <v>103</v>
      </c>
      <c r="AU16" s="8" t="s">
        <v>103</v>
      </c>
      <c r="AX16" s="8" t="s">
        <v>104</v>
      </c>
      <c r="AY16" s="8" t="s">
        <v>121</v>
      </c>
      <c r="AZ16" s="8" t="s">
        <v>100</v>
      </c>
      <c r="BA16" s="8" t="s">
        <v>101</v>
      </c>
      <c r="BB16" s="8" t="s">
        <v>102</v>
      </c>
      <c r="BC16" s="8" t="s">
        <v>103</v>
      </c>
      <c r="BD16" s="8" t="s">
        <v>103</v>
      </c>
      <c r="BF16" s="8" t="s">
        <v>107</v>
      </c>
      <c r="BG16" s="8">
        <v>16700</v>
      </c>
      <c r="BH16" s="8" t="s">
        <v>122</v>
      </c>
      <c r="BO16" s="8">
        <v>12</v>
      </c>
      <c r="BR16" s="8" t="s">
        <v>100</v>
      </c>
      <c r="BS16" s="8" t="s">
        <v>182</v>
      </c>
      <c r="BT16" s="8" t="s">
        <v>183</v>
      </c>
      <c r="BU16" s="8" t="s">
        <v>106</v>
      </c>
      <c r="BV16" s="8" t="s">
        <v>123</v>
      </c>
      <c r="BW16" s="8" t="s">
        <v>110</v>
      </c>
    </row>
    <row r="17" spans="1:75" s="8" customFormat="1" x14ac:dyDescent="0.35">
      <c r="A17" s="8" t="s">
        <v>203</v>
      </c>
      <c r="B17" s="9">
        <v>45990</v>
      </c>
      <c r="C17" s="10">
        <v>0.82288194444444451</v>
      </c>
      <c r="D17" s="8" t="s">
        <v>170</v>
      </c>
      <c r="E17" s="8" t="s">
        <v>171</v>
      </c>
      <c r="F17" s="11" t="s">
        <v>172</v>
      </c>
      <c r="G17" s="8">
        <f>COUNTIF($F$2:$F$350,F17)</f>
        <v>213</v>
      </c>
      <c r="H17" s="8" t="s">
        <v>115</v>
      </c>
      <c r="I17" s="8" t="s">
        <v>82</v>
      </c>
      <c r="J17" s="8" t="s">
        <v>83</v>
      </c>
      <c r="K17" s="8" t="s">
        <v>84</v>
      </c>
      <c r="M17" s="8" t="s">
        <v>85</v>
      </c>
      <c r="N17" s="8" t="s">
        <v>116</v>
      </c>
      <c r="O17" s="8" t="s">
        <v>87</v>
      </c>
      <c r="P17" s="8" t="s">
        <v>173</v>
      </c>
      <c r="Q17" s="8" t="s">
        <v>204</v>
      </c>
      <c r="R17" s="8" t="s">
        <v>205</v>
      </c>
      <c r="S17" s="8" t="s">
        <v>132</v>
      </c>
      <c r="T17" s="8" t="s">
        <v>133</v>
      </c>
      <c r="U17" s="8" t="s">
        <v>93</v>
      </c>
      <c r="V17" s="8" t="s">
        <v>22</v>
      </c>
      <c r="W17" s="8" t="s">
        <v>176</v>
      </c>
      <c r="X17" s="8" t="s">
        <v>177</v>
      </c>
      <c r="Y17" s="8" t="s">
        <v>95</v>
      </c>
      <c r="Z17" s="8" t="s">
        <v>178</v>
      </c>
      <c r="AA17" s="8" t="b">
        <v>0</v>
      </c>
      <c r="AC17" s="8">
        <v>0</v>
      </c>
      <c r="AD17" s="8">
        <v>127</v>
      </c>
      <c r="AI17" s="8" t="s">
        <v>179</v>
      </c>
      <c r="AJ17" s="8" t="s">
        <v>88</v>
      </c>
      <c r="AK17" s="8" t="s">
        <v>206</v>
      </c>
      <c r="AL17" s="8" t="s">
        <v>88</v>
      </c>
      <c r="AM17" s="8" t="s">
        <v>88</v>
      </c>
      <c r="AN17" s="8" t="s">
        <v>88</v>
      </c>
      <c r="AP17" s="8" t="s">
        <v>207</v>
      </c>
      <c r="AQ17" s="8" t="s">
        <v>100</v>
      </c>
      <c r="AR17" s="8" t="s">
        <v>101</v>
      </c>
      <c r="AS17" s="8" t="s">
        <v>120</v>
      </c>
      <c r="AT17" s="8" t="s">
        <v>103</v>
      </c>
      <c r="AU17" s="8" t="s">
        <v>103</v>
      </c>
      <c r="AX17" s="8" t="s">
        <v>104</v>
      </c>
      <c r="AY17" s="8" t="s">
        <v>121</v>
      </c>
      <c r="AZ17" s="8" t="s">
        <v>100</v>
      </c>
      <c r="BA17" s="8" t="s">
        <v>101</v>
      </c>
      <c r="BB17" s="8" t="s">
        <v>102</v>
      </c>
      <c r="BC17" s="8" t="s">
        <v>103</v>
      </c>
      <c r="BD17" s="8" t="s">
        <v>103</v>
      </c>
      <c r="BF17" s="8" t="s">
        <v>107</v>
      </c>
      <c r="BG17" s="8">
        <v>16700</v>
      </c>
      <c r="BH17" s="8" t="s">
        <v>122</v>
      </c>
      <c r="BO17" s="8">
        <v>12</v>
      </c>
      <c r="BR17" s="8" t="s">
        <v>100</v>
      </c>
      <c r="BS17" s="8" t="s">
        <v>182</v>
      </c>
      <c r="BT17" s="8" t="s">
        <v>183</v>
      </c>
      <c r="BU17" s="8" t="s">
        <v>106</v>
      </c>
      <c r="BV17" s="8" t="s">
        <v>123</v>
      </c>
      <c r="BW17" s="8" t="s">
        <v>110</v>
      </c>
    </row>
    <row r="18" spans="1:75" s="8" customFormat="1" x14ac:dyDescent="0.35">
      <c r="A18" s="8" t="s">
        <v>208</v>
      </c>
      <c r="B18" s="9">
        <v>45990</v>
      </c>
      <c r="C18" s="10">
        <v>0.80160879629629633</v>
      </c>
      <c r="D18" s="8" t="s">
        <v>209</v>
      </c>
      <c r="E18" s="8" t="s">
        <v>210</v>
      </c>
      <c r="F18" s="11" t="s">
        <v>172</v>
      </c>
      <c r="G18" s="8">
        <f>COUNTIF($F$2:$F$350,F18)</f>
        <v>213</v>
      </c>
      <c r="H18" s="8" t="s">
        <v>115</v>
      </c>
      <c r="I18" s="8" t="s">
        <v>82</v>
      </c>
      <c r="J18" s="8" t="s">
        <v>83</v>
      </c>
      <c r="K18" s="8" t="s">
        <v>84</v>
      </c>
      <c r="M18" s="8" t="s">
        <v>85</v>
      </c>
      <c r="N18" s="8" t="s">
        <v>86</v>
      </c>
      <c r="O18" s="8" t="s">
        <v>87</v>
      </c>
      <c r="P18" s="8" t="s">
        <v>88</v>
      </c>
      <c r="Q18" s="8" t="s">
        <v>211</v>
      </c>
      <c r="R18" s="8" t="s">
        <v>212</v>
      </c>
      <c r="S18" s="8" t="s">
        <v>132</v>
      </c>
      <c r="T18" s="8" t="s">
        <v>133</v>
      </c>
      <c r="U18" s="8" t="s">
        <v>93</v>
      </c>
      <c r="V18" s="8" t="s">
        <v>22</v>
      </c>
      <c r="X18" s="8" t="s">
        <v>177</v>
      </c>
      <c r="Y18" s="8" t="s">
        <v>95</v>
      </c>
      <c r="Z18" s="8" t="s">
        <v>178</v>
      </c>
      <c r="AA18" s="8" t="b">
        <v>0</v>
      </c>
      <c r="AC18" s="8">
        <v>0</v>
      </c>
      <c r="AD18" s="8">
        <v>76</v>
      </c>
      <c r="AI18" s="8" t="s">
        <v>213</v>
      </c>
      <c r="AJ18" s="8" t="s">
        <v>88</v>
      </c>
      <c r="AK18" s="8" t="s">
        <v>214</v>
      </c>
      <c r="AL18" s="8" t="s">
        <v>88</v>
      </c>
      <c r="AM18" s="8" t="s">
        <v>88</v>
      </c>
      <c r="AN18" s="8" t="s">
        <v>88</v>
      </c>
      <c r="AO18" s="8">
        <v>1002</v>
      </c>
      <c r="AP18" s="8" t="s">
        <v>215</v>
      </c>
      <c r="AQ18" s="8" t="s">
        <v>100</v>
      </c>
      <c r="AR18" s="8" t="s">
        <v>101</v>
      </c>
      <c r="AS18" s="8" t="s">
        <v>120</v>
      </c>
      <c r="AT18" s="8" t="s">
        <v>103</v>
      </c>
      <c r="AU18" s="8" t="s">
        <v>103</v>
      </c>
      <c r="AX18" s="8" t="s">
        <v>104</v>
      </c>
      <c r="AY18" s="8" t="s">
        <v>121</v>
      </c>
      <c r="AZ18" s="8" t="s">
        <v>100</v>
      </c>
      <c r="BA18" s="8" t="s">
        <v>101</v>
      </c>
      <c r="BB18" s="8" t="s">
        <v>102</v>
      </c>
      <c r="BC18" s="8" t="s">
        <v>103</v>
      </c>
      <c r="BD18" s="8" t="s">
        <v>103</v>
      </c>
      <c r="BF18" s="8" t="s">
        <v>107</v>
      </c>
      <c r="BG18" s="8">
        <v>16700</v>
      </c>
      <c r="BH18" s="8" t="s">
        <v>122</v>
      </c>
      <c r="BO18" s="8">
        <v>12</v>
      </c>
      <c r="BR18" s="8" t="s">
        <v>100</v>
      </c>
      <c r="BS18" s="8" t="s">
        <v>182</v>
      </c>
      <c r="BT18" s="8" t="s">
        <v>183</v>
      </c>
      <c r="BU18" s="8" t="s">
        <v>106</v>
      </c>
      <c r="BV18" s="8" t="s">
        <v>123</v>
      </c>
      <c r="BW18" s="8" t="s">
        <v>110</v>
      </c>
    </row>
    <row r="19" spans="1:75" s="8" customFormat="1" x14ac:dyDescent="0.35">
      <c r="A19" s="8" t="s">
        <v>216</v>
      </c>
      <c r="B19" s="9">
        <v>45990</v>
      </c>
      <c r="C19" s="10">
        <v>0.80158564814814814</v>
      </c>
      <c r="D19" s="8" t="s">
        <v>209</v>
      </c>
      <c r="E19" s="8" t="s">
        <v>210</v>
      </c>
      <c r="F19" s="11" t="s">
        <v>172</v>
      </c>
      <c r="G19" s="8">
        <f>COUNTIF($F$2:$F$350,F19)</f>
        <v>213</v>
      </c>
      <c r="H19" s="8" t="s">
        <v>115</v>
      </c>
      <c r="I19" s="8" t="s">
        <v>82</v>
      </c>
      <c r="J19" s="8" t="s">
        <v>83</v>
      </c>
      <c r="K19" s="8" t="s">
        <v>84</v>
      </c>
      <c r="M19" s="8" t="s">
        <v>85</v>
      </c>
      <c r="N19" s="8" t="s">
        <v>86</v>
      </c>
      <c r="O19" s="8" t="s">
        <v>87</v>
      </c>
      <c r="P19" s="8" t="s">
        <v>88</v>
      </c>
      <c r="Q19" s="8" t="s">
        <v>211</v>
      </c>
      <c r="R19" s="8" t="s">
        <v>212</v>
      </c>
      <c r="S19" s="8" t="s">
        <v>132</v>
      </c>
      <c r="T19" s="8" t="s">
        <v>133</v>
      </c>
      <c r="U19" s="8" t="s">
        <v>93</v>
      </c>
      <c r="V19" s="8" t="s">
        <v>22</v>
      </c>
      <c r="X19" s="8" t="s">
        <v>177</v>
      </c>
      <c r="Y19" s="8" t="s">
        <v>95</v>
      </c>
      <c r="Z19" s="8" t="s">
        <v>189</v>
      </c>
      <c r="AA19" s="8" t="b">
        <v>0</v>
      </c>
      <c r="AC19" s="8">
        <v>0</v>
      </c>
      <c r="AD19" s="8">
        <v>85</v>
      </c>
      <c r="AI19" s="8" t="s">
        <v>213</v>
      </c>
      <c r="AJ19" s="8" t="s">
        <v>88</v>
      </c>
      <c r="AK19" s="8" t="s">
        <v>217</v>
      </c>
      <c r="AL19" s="8" t="s">
        <v>88</v>
      </c>
      <c r="AM19" s="8" t="s">
        <v>88</v>
      </c>
      <c r="AN19" s="8" t="s">
        <v>88</v>
      </c>
      <c r="AO19" s="8">
        <v>1002</v>
      </c>
      <c r="AP19" s="8" t="s">
        <v>218</v>
      </c>
      <c r="AQ19" s="8" t="s">
        <v>100</v>
      </c>
      <c r="AR19" s="8" t="s">
        <v>101</v>
      </c>
      <c r="AS19" s="8" t="s">
        <v>120</v>
      </c>
      <c r="AT19" s="8" t="s">
        <v>103</v>
      </c>
      <c r="AU19" s="8" t="s">
        <v>103</v>
      </c>
      <c r="AX19" s="8" t="s">
        <v>104</v>
      </c>
      <c r="AY19" s="8" t="s">
        <v>121</v>
      </c>
      <c r="AZ19" s="8" t="s">
        <v>100</v>
      </c>
      <c r="BA19" s="8" t="s">
        <v>101</v>
      </c>
      <c r="BB19" s="8" t="s">
        <v>102</v>
      </c>
      <c r="BC19" s="8" t="s">
        <v>103</v>
      </c>
      <c r="BD19" s="8" t="s">
        <v>103</v>
      </c>
      <c r="BF19" s="8" t="s">
        <v>107</v>
      </c>
      <c r="BG19" s="8">
        <v>16700</v>
      </c>
      <c r="BH19" s="8" t="s">
        <v>122</v>
      </c>
      <c r="BO19" s="8">
        <v>12</v>
      </c>
      <c r="BR19" s="8" t="s">
        <v>100</v>
      </c>
      <c r="BS19" s="8" t="s">
        <v>182</v>
      </c>
      <c r="BT19" s="8" t="s">
        <v>183</v>
      </c>
      <c r="BU19" s="8" t="s">
        <v>106</v>
      </c>
      <c r="BV19" s="8" t="s">
        <v>123</v>
      </c>
      <c r="BW19" s="8" t="s">
        <v>110</v>
      </c>
    </row>
    <row r="20" spans="1:75" s="8" customFormat="1" x14ac:dyDescent="0.35">
      <c r="A20" s="8" t="s">
        <v>219</v>
      </c>
      <c r="B20" s="9">
        <v>45990</v>
      </c>
      <c r="C20" s="10">
        <v>0.80153935185185177</v>
      </c>
      <c r="D20" s="8" t="s">
        <v>220</v>
      </c>
      <c r="E20" s="8" t="s">
        <v>221</v>
      </c>
      <c r="F20" s="11" t="s">
        <v>172</v>
      </c>
      <c r="G20" s="8">
        <f>COUNTIF($F$2:$F$350,F20)</f>
        <v>213</v>
      </c>
      <c r="H20" s="8" t="s">
        <v>115</v>
      </c>
      <c r="I20" s="8" t="s">
        <v>82</v>
      </c>
      <c r="J20" s="8" t="s">
        <v>83</v>
      </c>
      <c r="K20" s="8" t="s">
        <v>84</v>
      </c>
      <c r="M20" s="8" t="s">
        <v>85</v>
      </c>
      <c r="N20" s="8" t="s">
        <v>86</v>
      </c>
      <c r="O20" s="8" t="s">
        <v>87</v>
      </c>
      <c r="P20" s="8" t="s">
        <v>88</v>
      </c>
      <c r="Q20" s="8" t="s">
        <v>211</v>
      </c>
      <c r="R20" s="8" t="s">
        <v>212</v>
      </c>
      <c r="S20" s="8" t="s">
        <v>132</v>
      </c>
      <c r="T20" s="8" t="s">
        <v>133</v>
      </c>
      <c r="U20" s="8" t="s">
        <v>93</v>
      </c>
      <c r="V20" s="8" t="s">
        <v>22</v>
      </c>
      <c r="X20" s="8" t="s">
        <v>177</v>
      </c>
      <c r="Y20" s="8" t="s">
        <v>95</v>
      </c>
      <c r="Z20" s="8" t="s">
        <v>222</v>
      </c>
      <c r="AA20" s="8" t="b">
        <v>0</v>
      </c>
      <c r="AC20" s="8">
        <v>0</v>
      </c>
      <c r="AD20" s="8">
        <v>84</v>
      </c>
      <c r="AI20" s="8" t="s">
        <v>223</v>
      </c>
      <c r="AJ20" s="8" t="s">
        <v>88</v>
      </c>
      <c r="AK20" s="8" t="s">
        <v>224</v>
      </c>
      <c r="AL20" s="8" t="s">
        <v>88</v>
      </c>
      <c r="AM20" s="8" t="s">
        <v>88</v>
      </c>
      <c r="AN20" s="8" t="s">
        <v>88</v>
      </c>
      <c r="AO20" s="8">
        <v>1002</v>
      </c>
      <c r="AP20" s="8" t="s">
        <v>225</v>
      </c>
      <c r="AQ20" s="8" t="s">
        <v>100</v>
      </c>
      <c r="AR20" s="8" t="s">
        <v>101</v>
      </c>
      <c r="AS20" s="8" t="s">
        <v>120</v>
      </c>
      <c r="AT20" s="8" t="s">
        <v>103</v>
      </c>
      <c r="AU20" s="8" t="s">
        <v>103</v>
      </c>
      <c r="AX20" s="8" t="s">
        <v>104</v>
      </c>
      <c r="AY20" s="8" t="s">
        <v>121</v>
      </c>
      <c r="AZ20" s="8" t="s">
        <v>100</v>
      </c>
      <c r="BA20" s="8" t="s">
        <v>101</v>
      </c>
      <c r="BB20" s="8" t="s">
        <v>102</v>
      </c>
      <c r="BC20" s="8" t="s">
        <v>103</v>
      </c>
      <c r="BD20" s="8" t="s">
        <v>103</v>
      </c>
      <c r="BF20" s="8" t="s">
        <v>107</v>
      </c>
      <c r="BG20" s="8">
        <v>16700</v>
      </c>
      <c r="BH20" s="8" t="s">
        <v>122</v>
      </c>
      <c r="BO20" s="8">
        <v>12</v>
      </c>
      <c r="BR20" s="8" t="s">
        <v>100</v>
      </c>
      <c r="BS20" s="8" t="s">
        <v>182</v>
      </c>
      <c r="BT20" s="8" t="s">
        <v>183</v>
      </c>
      <c r="BU20" s="8" t="s">
        <v>106</v>
      </c>
      <c r="BV20" s="8" t="s">
        <v>123</v>
      </c>
      <c r="BW20" s="8" t="s">
        <v>110</v>
      </c>
    </row>
    <row r="21" spans="1:75" s="8" customFormat="1" x14ac:dyDescent="0.35">
      <c r="A21" s="8" t="s">
        <v>226</v>
      </c>
      <c r="B21" s="9">
        <v>45990</v>
      </c>
      <c r="C21" s="10">
        <v>0.80150462962962965</v>
      </c>
      <c r="D21" s="8" t="s">
        <v>220</v>
      </c>
      <c r="E21" s="8" t="s">
        <v>221</v>
      </c>
      <c r="F21" s="11" t="s">
        <v>172</v>
      </c>
      <c r="G21" s="8">
        <f>COUNTIF($F$2:$F$350,F21)</f>
        <v>213</v>
      </c>
      <c r="H21" s="8" t="s">
        <v>115</v>
      </c>
      <c r="I21" s="8" t="s">
        <v>82</v>
      </c>
      <c r="J21" s="8" t="s">
        <v>83</v>
      </c>
      <c r="K21" s="8" t="s">
        <v>84</v>
      </c>
      <c r="M21" s="8" t="s">
        <v>85</v>
      </c>
      <c r="N21" s="8" t="s">
        <v>86</v>
      </c>
      <c r="O21" s="8" t="s">
        <v>87</v>
      </c>
      <c r="P21" s="8" t="s">
        <v>88</v>
      </c>
      <c r="Q21" s="8" t="s">
        <v>211</v>
      </c>
      <c r="R21" s="8" t="s">
        <v>212</v>
      </c>
      <c r="S21" s="8" t="s">
        <v>132</v>
      </c>
      <c r="T21" s="8" t="s">
        <v>133</v>
      </c>
      <c r="U21" s="8" t="s">
        <v>93</v>
      </c>
      <c r="V21" s="8" t="s">
        <v>22</v>
      </c>
      <c r="X21" s="8" t="s">
        <v>177</v>
      </c>
      <c r="Y21" s="8" t="s">
        <v>95</v>
      </c>
      <c r="Z21" s="8" t="s">
        <v>189</v>
      </c>
      <c r="AA21" s="8" t="b">
        <v>0</v>
      </c>
      <c r="AC21" s="8">
        <v>0</v>
      </c>
      <c r="AD21" s="8">
        <v>80</v>
      </c>
      <c r="AI21" s="8" t="s">
        <v>223</v>
      </c>
      <c r="AJ21" s="8" t="s">
        <v>88</v>
      </c>
      <c r="AK21" s="8" t="s">
        <v>227</v>
      </c>
      <c r="AL21" s="8" t="s">
        <v>88</v>
      </c>
      <c r="AM21" s="8" t="s">
        <v>88</v>
      </c>
      <c r="AN21" s="8" t="s">
        <v>88</v>
      </c>
      <c r="AO21" s="8">
        <v>1002</v>
      </c>
      <c r="AP21" s="8" t="s">
        <v>228</v>
      </c>
      <c r="AQ21" s="8" t="s">
        <v>100</v>
      </c>
      <c r="AR21" s="8" t="s">
        <v>101</v>
      </c>
      <c r="AS21" s="8" t="s">
        <v>120</v>
      </c>
      <c r="AT21" s="8" t="s">
        <v>103</v>
      </c>
      <c r="AU21" s="8" t="s">
        <v>103</v>
      </c>
      <c r="AX21" s="8" t="s">
        <v>104</v>
      </c>
      <c r="AY21" s="8" t="s">
        <v>121</v>
      </c>
      <c r="AZ21" s="8" t="s">
        <v>100</v>
      </c>
      <c r="BA21" s="8" t="s">
        <v>101</v>
      </c>
      <c r="BB21" s="8" t="s">
        <v>102</v>
      </c>
      <c r="BC21" s="8" t="s">
        <v>103</v>
      </c>
      <c r="BD21" s="8" t="s">
        <v>103</v>
      </c>
      <c r="BF21" s="8" t="s">
        <v>107</v>
      </c>
      <c r="BG21" s="8">
        <v>16700</v>
      </c>
      <c r="BH21" s="8" t="s">
        <v>122</v>
      </c>
      <c r="BO21" s="8">
        <v>12</v>
      </c>
      <c r="BR21" s="8" t="s">
        <v>100</v>
      </c>
      <c r="BS21" s="8" t="s">
        <v>182</v>
      </c>
      <c r="BT21" s="8" t="s">
        <v>183</v>
      </c>
      <c r="BU21" s="8" t="s">
        <v>106</v>
      </c>
      <c r="BV21" s="8" t="s">
        <v>123</v>
      </c>
      <c r="BW21" s="8" t="s">
        <v>110</v>
      </c>
    </row>
    <row r="22" spans="1:75" s="8" customFormat="1" x14ac:dyDescent="0.35">
      <c r="A22" s="8" t="s">
        <v>229</v>
      </c>
      <c r="B22" s="9">
        <v>45990</v>
      </c>
      <c r="C22" s="10">
        <v>0.78908564814814808</v>
      </c>
      <c r="D22" s="8" t="s">
        <v>170</v>
      </c>
      <c r="E22" s="8" t="s">
        <v>171</v>
      </c>
      <c r="F22" s="11" t="s">
        <v>172</v>
      </c>
      <c r="G22" s="8">
        <f>COUNTIF($F$2:$F$350,F22)</f>
        <v>213</v>
      </c>
      <c r="H22" s="8" t="s">
        <v>115</v>
      </c>
      <c r="I22" s="8" t="s">
        <v>82</v>
      </c>
      <c r="J22" s="8" t="s">
        <v>83</v>
      </c>
      <c r="K22" s="8" t="s">
        <v>84</v>
      </c>
      <c r="M22" s="8" t="s">
        <v>85</v>
      </c>
      <c r="N22" s="8" t="s">
        <v>116</v>
      </c>
      <c r="O22" s="8" t="s">
        <v>87</v>
      </c>
      <c r="P22" s="8" t="s">
        <v>173</v>
      </c>
      <c r="Q22" s="8" t="s">
        <v>185</v>
      </c>
      <c r="R22" s="8" t="s">
        <v>186</v>
      </c>
      <c r="S22" s="8" t="s">
        <v>187</v>
      </c>
      <c r="T22" s="8" t="s">
        <v>188</v>
      </c>
      <c r="U22" s="8" t="s">
        <v>93</v>
      </c>
      <c r="V22" s="8" t="s">
        <v>22</v>
      </c>
      <c r="W22" s="8" t="s">
        <v>176</v>
      </c>
      <c r="X22" s="8" t="s">
        <v>177</v>
      </c>
      <c r="Y22" s="8" t="s">
        <v>95</v>
      </c>
      <c r="Z22" s="8" t="s">
        <v>189</v>
      </c>
      <c r="AA22" s="8" t="b">
        <v>0</v>
      </c>
      <c r="AC22" s="8">
        <v>0</v>
      </c>
      <c r="AD22" s="8">
        <v>104</v>
      </c>
      <c r="AI22" s="8" t="s">
        <v>179</v>
      </c>
      <c r="AJ22" s="8" t="s">
        <v>88</v>
      </c>
      <c r="AK22" s="8" t="s">
        <v>230</v>
      </c>
      <c r="AL22" s="8" t="s">
        <v>88</v>
      </c>
      <c r="AM22" s="8" t="s">
        <v>88</v>
      </c>
      <c r="AN22" s="8" t="s">
        <v>88</v>
      </c>
      <c r="AP22" s="8" t="s">
        <v>231</v>
      </c>
      <c r="AQ22" s="8" t="s">
        <v>100</v>
      </c>
      <c r="AR22" s="8" t="s">
        <v>101</v>
      </c>
      <c r="AS22" s="8" t="s">
        <v>120</v>
      </c>
      <c r="AT22" s="8" t="s">
        <v>103</v>
      </c>
      <c r="AU22" s="8" t="s">
        <v>103</v>
      </c>
      <c r="AX22" s="8" t="s">
        <v>104</v>
      </c>
      <c r="AY22" s="8" t="s">
        <v>121</v>
      </c>
      <c r="AZ22" s="8" t="s">
        <v>100</v>
      </c>
      <c r="BA22" s="8" t="s">
        <v>101</v>
      </c>
      <c r="BB22" s="8" t="s">
        <v>102</v>
      </c>
      <c r="BC22" s="8" t="s">
        <v>103</v>
      </c>
      <c r="BD22" s="8" t="s">
        <v>103</v>
      </c>
      <c r="BF22" s="8" t="s">
        <v>107</v>
      </c>
      <c r="BG22" s="8">
        <v>16700</v>
      </c>
      <c r="BH22" s="8" t="s">
        <v>122</v>
      </c>
      <c r="BO22" s="8">
        <v>12</v>
      </c>
      <c r="BR22" s="8" t="s">
        <v>100</v>
      </c>
      <c r="BS22" s="8" t="s">
        <v>182</v>
      </c>
      <c r="BT22" s="8" t="s">
        <v>183</v>
      </c>
      <c r="BU22" s="8" t="s">
        <v>106</v>
      </c>
      <c r="BV22" s="8" t="s">
        <v>123</v>
      </c>
      <c r="BW22" s="8" t="s">
        <v>110</v>
      </c>
    </row>
    <row r="23" spans="1:75" s="8" customFormat="1" x14ac:dyDescent="0.35">
      <c r="A23" s="8" t="s">
        <v>232</v>
      </c>
      <c r="B23" s="9">
        <v>45990</v>
      </c>
      <c r="C23" s="10">
        <v>0.78900462962962958</v>
      </c>
      <c r="D23" s="8" t="s">
        <v>170</v>
      </c>
      <c r="E23" s="8" t="s">
        <v>171</v>
      </c>
      <c r="F23" s="11" t="s">
        <v>172</v>
      </c>
      <c r="G23" s="8">
        <f>COUNTIF($F$2:$F$350,F23)</f>
        <v>213</v>
      </c>
      <c r="H23" s="8" t="s">
        <v>115</v>
      </c>
      <c r="I23" s="8" t="s">
        <v>82</v>
      </c>
      <c r="J23" s="8" t="s">
        <v>83</v>
      </c>
      <c r="K23" s="8" t="s">
        <v>84</v>
      </c>
      <c r="M23" s="8" t="s">
        <v>85</v>
      </c>
      <c r="N23" s="8" t="s">
        <v>116</v>
      </c>
      <c r="O23" s="8" t="s">
        <v>87</v>
      </c>
      <c r="P23" s="8" t="s">
        <v>173</v>
      </c>
      <c r="Q23" s="8" t="s">
        <v>185</v>
      </c>
      <c r="R23" s="8" t="s">
        <v>186</v>
      </c>
      <c r="S23" s="8" t="s">
        <v>132</v>
      </c>
      <c r="T23" s="8" t="s">
        <v>133</v>
      </c>
      <c r="U23" s="8" t="s">
        <v>93</v>
      </c>
      <c r="V23" s="8" t="s">
        <v>22</v>
      </c>
      <c r="W23" s="8" t="s">
        <v>176</v>
      </c>
      <c r="X23" s="8" t="s">
        <v>177</v>
      </c>
      <c r="Y23" s="8" t="s">
        <v>95</v>
      </c>
      <c r="Z23" s="8" t="s">
        <v>189</v>
      </c>
      <c r="AA23" s="8" t="b">
        <v>0</v>
      </c>
      <c r="AC23" s="8">
        <v>0</v>
      </c>
      <c r="AD23" s="8">
        <v>83</v>
      </c>
      <c r="AI23" s="8" t="s">
        <v>179</v>
      </c>
      <c r="AJ23" s="8" t="s">
        <v>88</v>
      </c>
      <c r="AK23" s="8" t="s">
        <v>233</v>
      </c>
      <c r="AL23" s="8" t="s">
        <v>88</v>
      </c>
      <c r="AM23" s="8" t="s">
        <v>88</v>
      </c>
      <c r="AN23" s="8" t="s">
        <v>88</v>
      </c>
      <c r="AP23" s="8" t="s">
        <v>234</v>
      </c>
      <c r="AQ23" s="8" t="s">
        <v>100</v>
      </c>
      <c r="AR23" s="8" t="s">
        <v>101</v>
      </c>
      <c r="AS23" s="8" t="s">
        <v>120</v>
      </c>
      <c r="AT23" s="8" t="s">
        <v>103</v>
      </c>
      <c r="AU23" s="8" t="s">
        <v>103</v>
      </c>
      <c r="AX23" s="8" t="s">
        <v>104</v>
      </c>
      <c r="AY23" s="8" t="s">
        <v>121</v>
      </c>
      <c r="AZ23" s="8" t="s">
        <v>100</v>
      </c>
      <c r="BA23" s="8" t="s">
        <v>101</v>
      </c>
      <c r="BB23" s="8" t="s">
        <v>102</v>
      </c>
      <c r="BC23" s="8" t="s">
        <v>103</v>
      </c>
      <c r="BD23" s="8" t="s">
        <v>103</v>
      </c>
      <c r="BF23" s="8" t="s">
        <v>107</v>
      </c>
      <c r="BG23" s="8">
        <v>16700</v>
      </c>
      <c r="BH23" s="8" t="s">
        <v>122</v>
      </c>
      <c r="BO23" s="8">
        <v>12</v>
      </c>
      <c r="BR23" s="8" t="s">
        <v>100</v>
      </c>
      <c r="BS23" s="8" t="s">
        <v>182</v>
      </c>
      <c r="BT23" s="8" t="s">
        <v>183</v>
      </c>
      <c r="BU23" s="8" t="s">
        <v>106</v>
      </c>
      <c r="BV23" s="8" t="s">
        <v>123</v>
      </c>
      <c r="BW23" s="8" t="s">
        <v>110</v>
      </c>
    </row>
    <row r="24" spans="1:75" s="8" customFormat="1" x14ac:dyDescent="0.35">
      <c r="A24" s="8" t="s">
        <v>232</v>
      </c>
      <c r="B24" s="9">
        <v>45990</v>
      </c>
      <c r="C24" s="10">
        <v>0.78900462962962958</v>
      </c>
      <c r="D24" s="8" t="s">
        <v>170</v>
      </c>
      <c r="E24" s="8" t="s">
        <v>171</v>
      </c>
      <c r="F24" s="11" t="s">
        <v>172</v>
      </c>
      <c r="G24" s="8">
        <f>COUNTIF($F$2:$F$350,F24)</f>
        <v>213</v>
      </c>
      <c r="H24" s="8" t="s">
        <v>115</v>
      </c>
      <c r="I24" s="8" t="s">
        <v>82</v>
      </c>
      <c r="J24" s="8" t="s">
        <v>83</v>
      </c>
      <c r="K24" s="8" t="s">
        <v>84</v>
      </c>
      <c r="M24" s="8" t="s">
        <v>85</v>
      </c>
      <c r="N24" s="8" t="s">
        <v>116</v>
      </c>
      <c r="O24" s="8" t="s">
        <v>87</v>
      </c>
      <c r="P24" s="8" t="s">
        <v>173</v>
      </c>
      <c r="Q24" s="8" t="s">
        <v>185</v>
      </c>
      <c r="R24" s="8" t="s">
        <v>186</v>
      </c>
      <c r="S24" s="8" t="s">
        <v>132</v>
      </c>
      <c r="T24" s="8" t="s">
        <v>133</v>
      </c>
      <c r="U24" s="8" t="s">
        <v>93</v>
      </c>
      <c r="V24" s="8" t="s">
        <v>22</v>
      </c>
      <c r="W24" s="8" t="s">
        <v>176</v>
      </c>
      <c r="X24" s="8" t="s">
        <v>177</v>
      </c>
      <c r="Y24" s="8" t="s">
        <v>95</v>
      </c>
      <c r="Z24" s="8" t="s">
        <v>189</v>
      </c>
      <c r="AA24" s="8" t="b">
        <v>0</v>
      </c>
      <c r="AC24" s="8">
        <v>0</v>
      </c>
      <c r="AD24" s="8">
        <v>117</v>
      </c>
      <c r="AI24" s="8" t="s">
        <v>179</v>
      </c>
      <c r="AJ24" s="8" t="s">
        <v>88</v>
      </c>
      <c r="AK24" s="8" t="s">
        <v>235</v>
      </c>
      <c r="AL24" s="8" t="s">
        <v>88</v>
      </c>
      <c r="AM24" s="8" t="s">
        <v>88</v>
      </c>
      <c r="AN24" s="8" t="s">
        <v>88</v>
      </c>
      <c r="AP24" s="8" t="s">
        <v>236</v>
      </c>
      <c r="AQ24" s="8" t="s">
        <v>100</v>
      </c>
      <c r="AR24" s="8" t="s">
        <v>101</v>
      </c>
      <c r="AS24" s="8" t="s">
        <v>120</v>
      </c>
      <c r="AT24" s="8" t="s">
        <v>103</v>
      </c>
      <c r="AU24" s="8" t="s">
        <v>103</v>
      </c>
      <c r="AX24" s="8" t="s">
        <v>104</v>
      </c>
      <c r="AY24" s="8" t="s">
        <v>121</v>
      </c>
      <c r="AZ24" s="8" t="s">
        <v>100</v>
      </c>
      <c r="BA24" s="8" t="s">
        <v>101</v>
      </c>
      <c r="BB24" s="8" t="s">
        <v>102</v>
      </c>
      <c r="BC24" s="8" t="s">
        <v>103</v>
      </c>
      <c r="BD24" s="8" t="s">
        <v>103</v>
      </c>
      <c r="BF24" s="8" t="s">
        <v>107</v>
      </c>
      <c r="BG24" s="8">
        <v>16700</v>
      </c>
      <c r="BH24" s="8" t="s">
        <v>122</v>
      </c>
      <c r="BO24" s="8">
        <v>12</v>
      </c>
      <c r="BR24" s="8" t="s">
        <v>100</v>
      </c>
      <c r="BS24" s="8" t="s">
        <v>182</v>
      </c>
      <c r="BT24" s="8" t="s">
        <v>183</v>
      </c>
      <c r="BU24" s="8" t="s">
        <v>106</v>
      </c>
      <c r="BV24" s="8" t="s">
        <v>123</v>
      </c>
      <c r="BW24" s="8" t="s">
        <v>110</v>
      </c>
    </row>
    <row r="25" spans="1:75" s="8" customFormat="1" x14ac:dyDescent="0.35">
      <c r="A25" s="8" t="s">
        <v>232</v>
      </c>
      <c r="B25" s="9">
        <v>45990</v>
      </c>
      <c r="C25" s="10">
        <v>0.78900462962962958</v>
      </c>
      <c r="D25" s="8" t="s">
        <v>170</v>
      </c>
      <c r="E25" s="8" t="s">
        <v>171</v>
      </c>
      <c r="F25" s="11" t="s">
        <v>172</v>
      </c>
      <c r="G25" s="8">
        <f>COUNTIF($F$2:$F$350,F25)</f>
        <v>213</v>
      </c>
      <c r="H25" s="8" t="s">
        <v>115</v>
      </c>
      <c r="I25" s="8" t="s">
        <v>82</v>
      </c>
      <c r="J25" s="8" t="s">
        <v>83</v>
      </c>
      <c r="K25" s="8" t="s">
        <v>84</v>
      </c>
      <c r="M25" s="8" t="s">
        <v>85</v>
      </c>
      <c r="N25" s="8" t="s">
        <v>116</v>
      </c>
      <c r="O25" s="8" t="s">
        <v>87</v>
      </c>
      <c r="P25" s="8" t="s">
        <v>173</v>
      </c>
      <c r="Q25" s="8" t="s">
        <v>185</v>
      </c>
      <c r="R25" s="8" t="s">
        <v>186</v>
      </c>
      <c r="S25" s="8" t="s">
        <v>187</v>
      </c>
      <c r="T25" s="8" t="s">
        <v>188</v>
      </c>
      <c r="U25" s="8" t="s">
        <v>93</v>
      </c>
      <c r="V25" s="8" t="s">
        <v>22</v>
      </c>
      <c r="W25" s="8" t="s">
        <v>176</v>
      </c>
      <c r="X25" s="8" t="s">
        <v>177</v>
      </c>
      <c r="Y25" s="8" t="s">
        <v>95</v>
      </c>
      <c r="Z25" s="8" t="s">
        <v>189</v>
      </c>
      <c r="AA25" s="8" t="b">
        <v>0</v>
      </c>
      <c r="AC25" s="8">
        <v>0</v>
      </c>
      <c r="AD25" s="8">
        <v>81</v>
      </c>
      <c r="AI25" s="8" t="s">
        <v>179</v>
      </c>
      <c r="AJ25" s="8" t="s">
        <v>88</v>
      </c>
      <c r="AK25" s="8" t="s">
        <v>237</v>
      </c>
      <c r="AL25" s="8" t="s">
        <v>88</v>
      </c>
      <c r="AM25" s="8" t="s">
        <v>88</v>
      </c>
      <c r="AN25" s="8" t="s">
        <v>88</v>
      </c>
      <c r="AP25" s="8" t="s">
        <v>238</v>
      </c>
      <c r="AQ25" s="8" t="s">
        <v>100</v>
      </c>
      <c r="AR25" s="8" t="s">
        <v>101</v>
      </c>
      <c r="AS25" s="8" t="s">
        <v>120</v>
      </c>
      <c r="AT25" s="8" t="s">
        <v>103</v>
      </c>
      <c r="AU25" s="8" t="s">
        <v>103</v>
      </c>
      <c r="AX25" s="8" t="s">
        <v>104</v>
      </c>
      <c r="AY25" s="8" t="s">
        <v>121</v>
      </c>
      <c r="AZ25" s="8" t="s">
        <v>100</v>
      </c>
      <c r="BA25" s="8" t="s">
        <v>101</v>
      </c>
      <c r="BB25" s="8" t="s">
        <v>102</v>
      </c>
      <c r="BC25" s="8" t="s">
        <v>103</v>
      </c>
      <c r="BD25" s="8" t="s">
        <v>103</v>
      </c>
      <c r="BF25" s="8" t="s">
        <v>107</v>
      </c>
      <c r="BG25" s="8">
        <v>16700</v>
      </c>
      <c r="BH25" s="8" t="s">
        <v>122</v>
      </c>
      <c r="BO25" s="8">
        <v>12</v>
      </c>
      <c r="BR25" s="8" t="s">
        <v>100</v>
      </c>
      <c r="BS25" s="8" t="s">
        <v>182</v>
      </c>
      <c r="BT25" s="8" t="s">
        <v>183</v>
      </c>
      <c r="BU25" s="8" t="s">
        <v>106</v>
      </c>
      <c r="BV25" s="8" t="s">
        <v>123</v>
      </c>
      <c r="BW25" s="8" t="s">
        <v>110</v>
      </c>
    </row>
    <row r="26" spans="1:75" s="8" customFormat="1" x14ac:dyDescent="0.35">
      <c r="A26" s="8" t="s">
        <v>239</v>
      </c>
      <c r="B26" s="9">
        <v>45990</v>
      </c>
      <c r="C26" s="10">
        <v>0.7879976851851852</v>
      </c>
      <c r="D26" s="8" t="s">
        <v>170</v>
      </c>
      <c r="E26" s="8" t="s">
        <v>171</v>
      </c>
      <c r="F26" s="11" t="s">
        <v>172</v>
      </c>
      <c r="G26" s="8">
        <f>COUNTIF($F$2:$F$350,F26)</f>
        <v>213</v>
      </c>
      <c r="H26" s="8" t="s">
        <v>115</v>
      </c>
      <c r="I26" s="8" t="s">
        <v>82</v>
      </c>
      <c r="J26" s="8" t="s">
        <v>83</v>
      </c>
      <c r="K26" s="8" t="s">
        <v>84</v>
      </c>
      <c r="M26" s="8" t="s">
        <v>85</v>
      </c>
      <c r="N26" s="8" t="s">
        <v>116</v>
      </c>
      <c r="O26" s="8" t="s">
        <v>87</v>
      </c>
      <c r="P26" s="8" t="s">
        <v>173</v>
      </c>
      <c r="Q26" s="8" t="s">
        <v>185</v>
      </c>
      <c r="R26" s="8" t="s">
        <v>186</v>
      </c>
      <c r="S26" s="8" t="s">
        <v>132</v>
      </c>
      <c r="T26" s="8" t="s">
        <v>133</v>
      </c>
      <c r="U26" s="8" t="s">
        <v>93</v>
      </c>
      <c r="V26" s="8" t="s">
        <v>22</v>
      </c>
      <c r="W26" s="8" t="s">
        <v>176</v>
      </c>
      <c r="X26" s="8" t="s">
        <v>177</v>
      </c>
      <c r="Y26" s="8" t="s">
        <v>95</v>
      </c>
      <c r="Z26" s="8" t="s">
        <v>189</v>
      </c>
      <c r="AA26" s="8" t="b">
        <v>0</v>
      </c>
      <c r="AC26" s="8">
        <v>0</v>
      </c>
      <c r="AD26" s="8">
        <v>88</v>
      </c>
      <c r="AI26" s="8" t="s">
        <v>179</v>
      </c>
      <c r="AJ26" s="8" t="s">
        <v>88</v>
      </c>
      <c r="AK26" s="8" t="s">
        <v>240</v>
      </c>
      <c r="AL26" s="8" t="s">
        <v>88</v>
      </c>
      <c r="AM26" s="8" t="s">
        <v>88</v>
      </c>
      <c r="AN26" s="8" t="s">
        <v>88</v>
      </c>
      <c r="AP26" s="8" t="s">
        <v>241</v>
      </c>
      <c r="AQ26" s="8" t="s">
        <v>100</v>
      </c>
      <c r="AR26" s="8" t="s">
        <v>101</v>
      </c>
      <c r="AS26" s="8" t="s">
        <v>120</v>
      </c>
      <c r="AT26" s="8" t="s">
        <v>103</v>
      </c>
      <c r="AU26" s="8" t="s">
        <v>103</v>
      </c>
      <c r="AX26" s="8" t="s">
        <v>104</v>
      </c>
      <c r="AY26" s="8" t="s">
        <v>121</v>
      </c>
      <c r="AZ26" s="8" t="s">
        <v>100</v>
      </c>
      <c r="BA26" s="8" t="s">
        <v>101</v>
      </c>
      <c r="BB26" s="8" t="s">
        <v>102</v>
      </c>
      <c r="BC26" s="8" t="s">
        <v>103</v>
      </c>
      <c r="BD26" s="8" t="s">
        <v>103</v>
      </c>
      <c r="BF26" s="8" t="s">
        <v>107</v>
      </c>
      <c r="BG26" s="8">
        <v>16700</v>
      </c>
      <c r="BH26" s="8" t="s">
        <v>122</v>
      </c>
      <c r="BO26" s="8">
        <v>12</v>
      </c>
      <c r="BR26" s="8" t="s">
        <v>100</v>
      </c>
      <c r="BS26" s="8" t="s">
        <v>182</v>
      </c>
      <c r="BT26" s="8" t="s">
        <v>183</v>
      </c>
      <c r="BU26" s="8" t="s">
        <v>106</v>
      </c>
      <c r="BV26" s="8" t="s">
        <v>123</v>
      </c>
      <c r="BW26" s="8" t="s">
        <v>110</v>
      </c>
    </row>
    <row r="27" spans="1:75" s="8" customFormat="1" x14ac:dyDescent="0.35">
      <c r="A27" s="8" t="s">
        <v>239</v>
      </c>
      <c r="B27" s="9">
        <v>45990</v>
      </c>
      <c r="C27" s="10">
        <v>0.7879976851851852</v>
      </c>
      <c r="D27" s="8" t="s">
        <v>170</v>
      </c>
      <c r="E27" s="8" t="s">
        <v>171</v>
      </c>
      <c r="F27" s="11" t="s">
        <v>172</v>
      </c>
      <c r="G27" s="8">
        <f>COUNTIF($F$2:$F$350,F27)</f>
        <v>213</v>
      </c>
      <c r="H27" s="8" t="s">
        <v>115</v>
      </c>
      <c r="I27" s="8" t="s">
        <v>82</v>
      </c>
      <c r="J27" s="8" t="s">
        <v>83</v>
      </c>
      <c r="K27" s="8" t="s">
        <v>84</v>
      </c>
      <c r="M27" s="8" t="s">
        <v>85</v>
      </c>
      <c r="N27" s="8" t="s">
        <v>116</v>
      </c>
      <c r="O27" s="8" t="s">
        <v>87</v>
      </c>
      <c r="P27" s="8" t="s">
        <v>173</v>
      </c>
      <c r="Q27" s="8" t="s">
        <v>185</v>
      </c>
      <c r="R27" s="8" t="s">
        <v>186</v>
      </c>
      <c r="S27" s="8" t="s">
        <v>132</v>
      </c>
      <c r="T27" s="8" t="s">
        <v>133</v>
      </c>
      <c r="U27" s="8" t="s">
        <v>93</v>
      </c>
      <c r="V27" s="8" t="s">
        <v>22</v>
      </c>
      <c r="W27" s="8" t="s">
        <v>176</v>
      </c>
      <c r="X27" s="8" t="s">
        <v>177</v>
      </c>
      <c r="Y27" s="8" t="s">
        <v>95</v>
      </c>
      <c r="Z27" s="8" t="s">
        <v>189</v>
      </c>
      <c r="AA27" s="8" t="b">
        <v>0</v>
      </c>
      <c r="AC27" s="8">
        <v>0</v>
      </c>
      <c r="AD27" s="8">
        <v>126</v>
      </c>
      <c r="AI27" s="8" t="s">
        <v>179</v>
      </c>
      <c r="AJ27" s="8" t="s">
        <v>88</v>
      </c>
      <c r="AK27" s="8" t="s">
        <v>242</v>
      </c>
      <c r="AL27" s="8" t="s">
        <v>88</v>
      </c>
      <c r="AM27" s="8" t="s">
        <v>88</v>
      </c>
      <c r="AN27" s="8" t="s">
        <v>88</v>
      </c>
      <c r="AP27" s="8" t="s">
        <v>243</v>
      </c>
      <c r="AQ27" s="8" t="s">
        <v>100</v>
      </c>
      <c r="AR27" s="8" t="s">
        <v>101</v>
      </c>
      <c r="AS27" s="8" t="s">
        <v>120</v>
      </c>
      <c r="AT27" s="8" t="s">
        <v>103</v>
      </c>
      <c r="AU27" s="8" t="s">
        <v>103</v>
      </c>
      <c r="AX27" s="8" t="s">
        <v>104</v>
      </c>
      <c r="AY27" s="8" t="s">
        <v>121</v>
      </c>
      <c r="AZ27" s="8" t="s">
        <v>100</v>
      </c>
      <c r="BA27" s="8" t="s">
        <v>101</v>
      </c>
      <c r="BB27" s="8" t="s">
        <v>102</v>
      </c>
      <c r="BC27" s="8" t="s">
        <v>103</v>
      </c>
      <c r="BD27" s="8" t="s">
        <v>103</v>
      </c>
      <c r="BF27" s="8" t="s">
        <v>107</v>
      </c>
      <c r="BG27" s="8">
        <v>16700</v>
      </c>
      <c r="BH27" s="8" t="s">
        <v>122</v>
      </c>
      <c r="BO27" s="8">
        <v>12</v>
      </c>
      <c r="BR27" s="8" t="s">
        <v>100</v>
      </c>
      <c r="BS27" s="8" t="s">
        <v>182</v>
      </c>
      <c r="BT27" s="8" t="s">
        <v>183</v>
      </c>
      <c r="BU27" s="8" t="s">
        <v>106</v>
      </c>
      <c r="BV27" s="8" t="s">
        <v>123</v>
      </c>
      <c r="BW27" s="8" t="s">
        <v>110</v>
      </c>
    </row>
    <row r="28" spans="1:75" s="8" customFormat="1" x14ac:dyDescent="0.35">
      <c r="A28" s="8" t="s">
        <v>239</v>
      </c>
      <c r="B28" s="9">
        <v>45990</v>
      </c>
      <c r="C28" s="10">
        <v>0.7879976851851852</v>
      </c>
      <c r="D28" s="8" t="s">
        <v>170</v>
      </c>
      <c r="E28" s="8" t="s">
        <v>171</v>
      </c>
      <c r="F28" s="11" t="s">
        <v>172</v>
      </c>
      <c r="G28" s="8">
        <f>COUNTIF($F$2:$F$350,F28)</f>
        <v>213</v>
      </c>
      <c r="H28" s="8" t="s">
        <v>115</v>
      </c>
      <c r="I28" s="8" t="s">
        <v>82</v>
      </c>
      <c r="J28" s="8" t="s">
        <v>83</v>
      </c>
      <c r="K28" s="8" t="s">
        <v>84</v>
      </c>
      <c r="M28" s="8" t="s">
        <v>85</v>
      </c>
      <c r="N28" s="8" t="s">
        <v>116</v>
      </c>
      <c r="O28" s="8" t="s">
        <v>87</v>
      </c>
      <c r="P28" s="8" t="s">
        <v>173</v>
      </c>
      <c r="Q28" s="8" t="s">
        <v>185</v>
      </c>
      <c r="R28" s="8" t="s">
        <v>186</v>
      </c>
      <c r="S28" s="8" t="s">
        <v>187</v>
      </c>
      <c r="T28" s="8" t="s">
        <v>188</v>
      </c>
      <c r="U28" s="8" t="s">
        <v>93</v>
      </c>
      <c r="V28" s="8" t="s">
        <v>22</v>
      </c>
      <c r="W28" s="8" t="s">
        <v>176</v>
      </c>
      <c r="X28" s="8" t="s">
        <v>177</v>
      </c>
      <c r="Y28" s="8" t="s">
        <v>95</v>
      </c>
      <c r="Z28" s="8" t="s">
        <v>189</v>
      </c>
      <c r="AA28" s="8" t="b">
        <v>0</v>
      </c>
      <c r="AC28" s="8">
        <v>0</v>
      </c>
      <c r="AD28" s="8">
        <v>79</v>
      </c>
      <c r="AI28" s="8" t="s">
        <v>179</v>
      </c>
      <c r="AJ28" s="8" t="s">
        <v>88</v>
      </c>
      <c r="AK28" s="8" t="s">
        <v>244</v>
      </c>
      <c r="AL28" s="8" t="s">
        <v>88</v>
      </c>
      <c r="AM28" s="8" t="s">
        <v>88</v>
      </c>
      <c r="AN28" s="8" t="s">
        <v>88</v>
      </c>
      <c r="AP28" s="8" t="s">
        <v>245</v>
      </c>
      <c r="AQ28" s="8" t="s">
        <v>100</v>
      </c>
      <c r="AR28" s="8" t="s">
        <v>101</v>
      </c>
      <c r="AS28" s="8" t="s">
        <v>120</v>
      </c>
      <c r="AT28" s="8" t="s">
        <v>103</v>
      </c>
      <c r="AU28" s="8" t="s">
        <v>103</v>
      </c>
      <c r="AX28" s="8" t="s">
        <v>104</v>
      </c>
      <c r="AY28" s="8" t="s">
        <v>121</v>
      </c>
      <c r="AZ28" s="8" t="s">
        <v>100</v>
      </c>
      <c r="BA28" s="8" t="s">
        <v>101</v>
      </c>
      <c r="BB28" s="8" t="s">
        <v>102</v>
      </c>
      <c r="BC28" s="8" t="s">
        <v>103</v>
      </c>
      <c r="BD28" s="8" t="s">
        <v>103</v>
      </c>
      <c r="BF28" s="8" t="s">
        <v>107</v>
      </c>
      <c r="BG28" s="8">
        <v>16700</v>
      </c>
      <c r="BH28" s="8" t="s">
        <v>122</v>
      </c>
      <c r="BO28" s="8">
        <v>12</v>
      </c>
      <c r="BR28" s="8" t="s">
        <v>100</v>
      </c>
      <c r="BS28" s="8" t="s">
        <v>182</v>
      </c>
      <c r="BT28" s="8" t="s">
        <v>183</v>
      </c>
      <c r="BU28" s="8" t="s">
        <v>106</v>
      </c>
      <c r="BV28" s="8" t="s">
        <v>123</v>
      </c>
      <c r="BW28" s="8" t="s">
        <v>110</v>
      </c>
    </row>
    <row r="29" spans="1:75" s="8" customFormat="1" x14ac:dyDescent="0.35">
      <c r="A29" s="8" t="s">
        <v>246</v>
      </c>
      <c r="B29" s="9">
        <v>45990</v>
      </c>
      <c r="C29" s="10">
        <v>0.7831597222222223</v>
      </c>
      <c r="D29" s="8" t="s">
        <v>170</v>
      </c>
      <c r="E29" s="8" t="s">
        <v>171</v>
      </c>
      <c r="F29" s="11" t="s">
        <v>172</v>
      </c>
      <c r="G29" s="8">
        <f>COUNTIF($F$2:$F$350,F29)</f>
        <v>213</v>
      </c>
      <c r="H29" s="8" t="s">
        <v>115</v>
      </c>
      <c r="I29" s="8" t="s">
        <v>82</v>
      </c>
      <c r="J29" s="8" t="s">
        <v>83</v>
      </c>
      <c r="K29" s="8" t="s">
        <v>84</v>
      </c>
      <c r="M29" s="8" t="s">
        <v>85</v>
      </c>
      <c r="N29" s="8" t="s">
        <v>116</v>
      </c>
      <c r="O29" s="8" t="s">
        <v>87</v>
      </c>
      <c r="P29" s="8" t="s">
        <v>173</v>
      </c>
      <c r="Q29" s="8" t="s">
        <v>185</v>
      </c>
      <c r="R29" s="8" t="s">
        <v>186</v>
      </c>
      <c r="S29" s="8" t="s">
        <v>187</v>
      </c>
      <c r="T29" s="8" t="s">
        <v>188</v>
      </c>
      <c r="U29" s="8" t="s">
        <v>93</v>
      </c>
      <c r="V29" s="8" t="s">
        <v>22</v>
      </c>
      <c r="W29" s="8" t="s">
        <v>176</v>
      </c>
      <c r="X29" s="8" t="s">
        <v>177</v>
      </c>
      <c r="Y29" s="8" t="s">
        <v>95</v>
      </c>
      <c r="Z29" s="8" t="s">
        <v>189</v>
      </c>
      <c r="AA29" s="8" t="b">
        <v>0</v>
      </c>
      <c r="AC29" s="8">
        <v>0</v>
      </c>
      <c r="AD29" s="8">
        <v>72</v>
      </c>
      <c r="AI29" s="8" t="s">
        <v>179</v>
      </c>
      <c r="AJ29" s="8" t="s">
        <v>88</v>
      </c>
      <c r="AK29" s="8" t="s">
        <v>247</v>
      </c>
      <c r="AL29" s="8" t="s">
        <v>88</v>
      </c>
      <c r="AM29" s="8" t="s">
        <v>88</v>
      </c>
      <c r="AN29" s="8" t="s">
        <v>88</v>
      </c>
      <c r="AP29" s="8" t="s">
        <v>248</v>
      </c>
      <c r="AQ29" s="8" t="s">
        <v>100</v>
      </c>
      <c r="AR29" s="8" t="s">
        <v>101</v>
      </c>
      <c r="AS29" s="8" t="s">
        <v>120</v>
      </c>
      <c r="AT29" s="8" t="s">
        <v>103</v>
      </c>
      <c r="AU29" s="8" t="s">
        <v>103</v>
      </c>
      <c r="AX29" s="8" t="s">
        <v>104</v>
      </c>
      <c r="AY29" s="8" t="s">
        <v>121</v>
      </c>
      <c r="AZ29" s="8" t="s">
        <v>100</v>
      </c>
      <c r="BA29" s="8" t="s">
        <v>101</v>
      </c>
      <c r="BB29" s="8" t="s">
        <v>102</v>
      </c>
      <c r="BC29" s="8" t="s">
        <v>103</v>
      </c>
      <c r="BD29" s="8" t="s">
        <v>103</v>
      </c>
      <c r="BF29" s="8" t="s">
        <v>107</v>
      </c>
      <c r="BG29" s="8">
        <v>16700</v>
      </c>
      <c r="BH29" s="8" t="s">
        <v>122</v>
      </c>
      <c r="BO29" s="8">
        <v>12</v>
      </c>
      <c r="BR29" s="8" t="s">
        <v>100</v>
      </c>
      <c r="BS29" s="8" t="s">
        <v>182</v>
      </c>
      <c r="BT29" s="8" t="s">
        <v>183</v>
      </c>
      <c r="BU29" s="8" t="s">
        <v>106</v>
      </c>
      <c r="BV29" s="8" t="s">
        <v>123</v>
      </c>
      <c r="BW29" s="8" t="s">
        <v>110</v>
      </c>
    </row>
    <row r="30" spans="1:75" s="8" customFormat="1" x14ac:dyDescent="0.35">
      <c r="A30" s="8" t="s">
        <v>249</v>
      </c>
      <c r="B30" s="9">
        <v>45990</v>
      </c>
      <c r="C30" s="10">
        <v>0.78290509259259267</v>
      </c>
      <c r="D30" s="8" t="s">
        <v>170</v>
      </c>
      <c r="E30" s="8" t="s">
        <v>171</v>
      </c>
      <c r="F30" s="11" t="s">
        <v>172</v>
      </c>
      <c r="G30" s="8">
        <f>COUNTIF($F$2:$F$350,F30)</f>
        <v>213</v>
      </c>
      <c r="H30" s="8" t="s">
        <v>115</v>
      </c>
      <c r="I30" s="8" t="s">
        <v>82</v>
      </c>
      <c r="J30" s="8" t="s">
        <v>83</v>
      </c>
      <c r="K30" s="8" t="s">
        <v>84</v>
      </c>
      <c r="M30" s="8" t="s">
        <v>85</v>
      </c>
      <c r="N30" s="8" t="s">
        <v>116</v>
      </c>
      <c r="O30" s="8" t="s">
        <v>87</v>
      </c>
      <c r="P30" s="8" t="s">
        <v>173</v>
      </c>
      <c r="Q30" s="8" t="s">
        <v>185</v>
      </c>
      <c r="R30" s="8" t="s">
        <v>186</v>
      </c>
      <c r="S30" s="8" t="s">
        <v>132</v>
      </c>
      <c r="T30" s="8" t="s">
        <v>133</v>
      </c>
      <c r="U30" s="8" t="s">
        <v>93</v>
      </c>
      <c r="V30" s="8" t="s">
        <v>22</v>
      </c>
      <c r="W30" s="8" t="s">
        <v>176</v>
      </c>
      <c r="X30" s="8" t="s">
        <v>177</v>
      </c>
      <c r="Y30" s="8" t="s">
        <v>95</v>
      </c>
      <c r="Z30" s="8" t="s">
        <v>189</v>
      </c>
      <c r="AA30" s="8" t="b">
        <v>0</v>
      </c>
      <c r="AC30" s="8">
        <v>0</v>
      </c>
      <c r="AD30" s="8">
        <v>103</v>
      </c>
      <c r="AI30" s="8" t="s">
        <v>179</v>
      </c>
      <c r="AJ30" s="8" t="s">
        <v>88</v>
      </c>
      <c r="AK30" s="8" t="s">
        <v>250</v>
      </c>
      <c r="AL30" s="8" t="s">
        <v>88</v>
      </c>
      <c r="AM30" s="8" t="s">
        <v>88</v>
      </c>
      <c r="AN30" s="8" t="s">
        <v>88</v>
      </c>
      <c r="AP30" s="8" t="s">
        <v>251</v>
      </c>
      <c r="AQ30" s="8" t="s">
        <v>100</v>
      </c>
      <c r="AR30" s="8" t="s">
        <v>101</v>
      </c>
      <c r="AS30" s="8" t="s">
        <v>120</v>
      </c>
      <c r="AT30" s="8" t="s">
        <v>103</v>
      </c>
      <c r="AU30" s="8" t="s">
        <v>103</v>
      </c>
      <c r="AX30" s="8" t="s">
        <v>104</v>
      </c>
      <c r="AY30" s="8" t="s">
        <v>121</v>
      </c>
      <c r="AZ30" s="8" t="s">
        <v>100</v>
      </c>
      <c r="BA30" s="8" t="s">
        <v>101</v>
      </c>
      <c r="BB30" s="8" t="s">
        <v>102</v>
      </c>
      <c r="BC30" s="8" t="s">
        <v>103</v>
      </c>
      <c r="BD30" s="8" t="s">
        <v>103</v>
      </c>
      <c r="BF30" s="8" t="s">
        <v>107</v>
      </c>
      <c r="BG30" s="8">
        <v>16700</v>
      </c>
      <c r="BH30" s="8" t="s">
        <v>122</v>
      </c>
      <c r="BO30" s="8">
        <v>12</v>
      </c>
      <c r="BR30" s="8" t="s">
        <v>100</v>
      </c>
      <c r="BS30" s="8" t="s">
        <v>182</v>
      </c>
      <c r="BT30" s="8" t="s">
        <v>183</v>
      </c>
      <c r="BU30" s="8" t="s">
        <v>106</v>
      </c>
      <c r="BV30" s="8" t="s">
        <v>123</v>
      </c>
      <c r="BW30" s="8" t="s">
        <v>110</v>
      </c>
    </row>
    <row r="31" spans="1:75" s="8" customFormat="1" x14ac:dyDescent="0.35">
      <c r="A31" s="8" t="s">
        <v>249</v>
      </c>
      <c r="B31" s="9">
        <v>45990</v>
      </c>
      <c r="C31" s="10">
        <v>0.78290509259259267</v>
      </c>
      <c r="D31" s="8" t="s">
        <v>170</v>
      </c>
      <c r="E31" s="8" t="s">
        <v>171</v>
      </c>
      <c r="F31" s="11" t="s">
        <v>172</v>
      </c>
      <c r="G31" s="8">
        <f>COUNTIF($F$2:$F$350,F31)</f>
        <v>213</v>
      </c>
      <c r="H31" s="8" t="s">
        <v>115</v>
      </c>
      <c r="I31" s="8" t="s">
        <v>82</v>
      </c>
      <c r="J31" s="8" t="s">
        <v>83</v>
      </c>
      <c r="K31" s="8" t="s">
        <v>84</v>
      </c>
      <c r="M31" s="8" t="s">
        <v>85</v>
      </c>
      <c r="N31" s="8" t="s">
        <v>116</v>
      </c>
      <c r="O31" s="8" t="s">
        <v>87</v>
      </c>
      <c r="P31" s="8" t="s">
        <v>173</v>
      </c>
      <c r="Q31" s="8" t="s">
        <v>185</v>
      </c>
      <c r="R31" s="8" t="s">
        <v>186</v>
      </c>
      <c r="S31" s="8" t="s">
        <v>132</v>
      </c>
      <c r="T31" s="8" t="s">
        <v>133</v>
      </c>
      <c r="U31" s="8" t="s">
        <v>93</v>
      </c>
      <c r="V31" s="8" t="s">
        <v>22</v>
      </c>
      <c r="W31" s="8" t="s">
        <v>176</v>
      </c>
      <c r="X31" s="8" t="s">
        <v>177</v>
      </c>
      <c r="Y31" s="8" t="s">
        <v>95</v>
      </c>
      <c r="Z31" s="8" t="s">
        <v>189</v>
      </c>
      <c r="AA31" s="8" t="b">
        <v>0</v>
      </c>
      <c r="AC31" s="8">
        <v>0</v>
      </c>
      <c r="AD31" s="8">
        <v>98</v>
      </c>
      <c r="AI31" s="8" t="s">
        <v>179</v>
      </c>
      <c r="AJ31" s="8" t="s">
        <v>88</v>
      </c>
      <c r="AK31" s="8" t="s">
        <v>252</v>
      </c>
      <c r="AL31" s="8" t="s">
        <v>88</v>
      </c>
      <c r="AM31" s="8" t="s">
        <v>88</v>
      </c>
      <c r="AN31" s="8" t="s">
        <v>88</v>
      </c>
      <c r="AP31" s="8" t="s">
        <v>253</v>
      </c>
      <c r="AQ31" s="8" t="s">
        <v>100</v>
      </c>
      <c r="AR31" s="8" t="s">
        <v>101</v>
      </c>
      <c r="AS31" s="8" t="s">
        <v>120</v>
      </c>
      <c r="AT31" s="8" t="s">
        <v>103</v>
      </c>
      <c r="AU31" s="8" t="s">
        <v>103</v>
      </c>
      <c r="AX31" s="8" t="s">
        <v>104</v>
      </c>
      <c r="AY31" s="8" t="s">
        <v>121</v>
      </c>
      <c r="AZ31" s="8" t="s">
        <v>100</v>
      </c>
      <c r="BA31" s="8" t="s">
        <v>101</v>
      </c>
      <c r="BB31" s="8" t="s">
        <v>102</v>
      </c>
      <c r="BC31" s="8" t="s">
        <v>103</v>
      </c>
      <c r="BD31" s="8" t="s">
        <v>103</v>
      </c>
      <c r="BF31" s="8" t="s">
        <v>107</v>
      </c>
      <c r="BG31" s="8">
        <v>16700</v>
      </c>
      <c r="BH31" s="8" t="s">
        <v>122</v>
      </c>
      <c r="BO31" s="8">
        <v>12</v>
      </c>
      <c r="BR31" s="8" t="s">
        <v>100</v>
      </c>
      <c r="BS31" s="8" t="s">
        <v>182</v>
      </c>
      <c r="BT31" s="8" t="s">
        <v>183</v>
      </c>
      <c r="BU31" s="8" t="s">
        <v>106</v>
      </c>
      <c r="BV31" s="8" t="s">
        <v>123</v>
      </c>
      <c r="BW31" s="8" t="s">
        <v>110</v>
      </c>
    </row>
    <row r="32" spans="1:75" s="8" customFormat="1" x14ac:dyDescent="0.35">
      <c r="A32" s="8" t="s">
        <v>249</v>
      </c>
      <c r="B32" s="9">
        <v>45990</v>
      </c>
      <c r="C32" s="10">
        <v>0.78290509259259267</v>
      </c>
      <c r="D32" s="8" t="s">
        <v>170</v>
      </c>
      <c r="E32" s="8" t="s">
        <v>171</v>
      </c>
      <c r="F32" s="11" t="s">
        <v>172</v>
      </c>
      <c r="G32" s="8">
        <f>COUNTIF($F$2:$F$350,F32)</f>
        <v>213</v>
      </c>
      <c r="H32" s="8" t="s">
        <v>115</v>
      </c>
      <c r="I32" s="8" t="s">
        <v>82</v>
      </c>
      <c r="J32" s="8" t="s">
        <v>83</v>
      </c>
      <c r="K32" s="8" t="s">
        <v>84</v>
      </c>
      <c r="M32" s="8" t="s">
        <v>85</v>
      </c>
      <c r="N32" s="8" t="s">
        <v>116</v>
      </c>
      <c r="O32" s="8" t="s">
        <v>87</v>
      </c>
      <c r="P32" s="8" t="s">
        <v>173</v>
      </c>
      <c r="Q32" s="8" t="s">
        <v>185</v>
      </c>
      <c r="R32" s="8" t="s">
        <v>186</v>
      </c>
      <c r="S32" s="8" t="s">
        <v>187</v>
      </c>
      <c r="T32" s="8" t="s">
        <v>188</v>
      </c>
      <c r="U32" s="8" t="s">
        <v>93</v>
      </c>
      <c r="V32" s="8" t="s">
        <v>22</v>
      </c>
      <c r="W32" s="8" t="s">
        <v>176</v>
      </c>
      <c r="X32" s="8" t="s">
        <v>177</v>
      </c>
      <c r="Y32" s="8" t="s">
        <v>95</v>
      </c>
      <c r="Z32" s="8" t="s">
        <v>189</v>
      </c>
      <c r="AA32" s="8" t="b">
        <v>0</v>
      </c>
      <c r="AC32" s="8">
        <v>0</v>
      </c>
      <c r="AD32" s="8">
        <v>78</v>
      </c>
      <c r="AI32" s="8" t="s">
        <v>179</v>
      </c>
      <c r="AJ32" s="8" t="s">
        <v>88</v>
      </c>
      <c r="AK32" s="8" t="s">
        <v>254</v>
      </c>
      <c r="AL32" s="8" t="s">
        <v>88</v>
      </c>
      <c r="AM32" s="8" t="s">
        <v>88</v>
      </c>
      <c r="AN32" s="8" t="s">
        <v>88</v>
      </c>
      <c r="AP32" s="8" t="s">
        <v>255</v>
      </c>
      <c r="AQ32" s="8" t="s">
        <v>100</v>
      </c>
      <c r="AR32" s="8" t="s">
        <v>101</v>
      </c>
      <c r="AS32" s="8" t="s">
        <v>120</v>
      </c>
      <c r="AT32" s="8" t="s">
        <v>103</v>
      </c>
      <c r="AU32" s="8" t="s">
        <v>103</v>
      </c>
      <c r="AX32" s="8" t="s">
        <v>104</v>
      </c>
      <c r="AY32" s="8" t="s">
        <v>121</v>
      </c>
      <c r="AZ32" s="8" t="s">
        <v>100</v>
      </c>
      <c r="BA32" s="8" t="s">
        <v>101</v>
      </c>
      <c r="BB32" s="8" t="s">
        <v>102</v>
      </c>
      <c r="BC32" s="8" t="s">
        <v>103</v>
      </c>
      <c r="BD32" s="8" t="s">
        <v>103</v>
      </c>
      <c r="BF32" s="8" t="s">
        <v>107</v>
      </c>
      <c r="BG32" s="8">
        <v>16700</v>
      </c>
      <c r="BH32" s="8" t="s">
        <v>122</v>
      </c>
      <c r="BO32" s="8">
        <v>12</v>
      </c>
      <c r="BR32" s="8" t="s">
        <v>100</v>
      </c>
      <c r="BS32" s="8" t="s">
        <v>182</v>
      </c>
      <c r="BT32" s="8" t="s">
        <v>183</v>
      </c>
      <c r="BU32" s="8" t="s">
        <v>106</v>
      </c>
      <c r="BV32" s="8" t="s">
        <v>123</v>
      </c>
      <c r="BW32" s="8" t="s">
        <v>110</v>
      </c>
    </row>
    <row r="33" spans="1:75" s="8" customFormat="1" x14ac:dyDescent="0.35">
      <c r="A33" s="8" t="s">
        <v>256</v>
      </c>
      <c r="B33" s="9">
        <v>45990</v>
      </c>
      <c r="C33" s="10">
        <v>0.78084490740740742</v>
      </c>
      <c r="D33" s="8" t="s">
        <v>170</v>
      </c>
      <c r="E33" s="8" t="s">
        <v>171</v>
      </c>
      <c r="F33" s="11" t="s">
        <v>172</v>
      </c>
      <c r="G33" s="8">
        <f>COUNTIF($F$2:$F$350,F33)</f>
        <v>213</v>
      </c>
      <c r="H33" s="8" t="s">
        <v>115</v>
      </c>
      <c r="I33" s="8" t="s">
        <v>82</v>
      </c>
      <c r="J33" s="8" t="s">
        <v>83</v>
      </c>
      <c r="K33" s="8" t="s">
        <v>84</v>
      </c>
      <c r="M33" s="8" t="s">
        <v>85</v>
      </c>
      <c r="N33" s="8" t="s">
        <v>116</v>
      </c>
      <c r="O33" s="8" t="s">
        <v>87</v>
      </c>
      <c r="P33" s="8" t="s">
        <v>173</v>
      </c>
      <c r="Q33" s="8" t="s">
        <v>185</v>
      </c>
      <c r="R33" s="8" t="s">
        <v>186</v>
      </c>
      <c r="S33" s="8" t="s">
        <v>187</v>
      </c>
      <c r="T33" s="8" t="s">
        <v>188</v>
      </c>
      <c r="U33" s="8" t="s">
        <v>93</v>
      </c>
      <c r="V33" s="8" t="s">
        <v>22</v>
      </c>
      <c r="W33" s="8" t="s">
        <v>176</v>
      </c>
      <c r="X33" s="8" t="s">
        <v>177</v>
      </c>
      <c r="Y33" s="8" t="s">
        <v>95</v>
      </c>
      <c r="Z33" s="8" t="s">
        <v>189</v>
      </c>
      <c r="AA33" s="8" t="b">
        <v>0</v>
      </c>
      <c r="AC33" s="8">
        <v>0</v>
      </c>
      <c r="AD33" s="8">
        <v>113</v>
      </c>
      <c r="AI33" s="8" t="s">
        <v>179</v>
      </c>
      <c r="AJ33" s="8" t="s">
        <v>88</v>
      </c>
      <c r="AK33" s="8" t="s">
        <v>257</v>
      </c>
      <c r="AL33" s="8" t="s">
        <v>88</v>
      </c>
      <c r="AM33" s="8" t="s">
        <v>88</v>
      </c>
      <c r="AN33" s="8" t="s">
        <v>88</v>
      </c>
      <c r="AP33" s="8" t="s">
        <v>258</v>
      </c>
      <c r="AQ33" s="8" t="s">
        <v>100</v>
      </c>
      <c r="AR33" s="8" t="s">
        <v>101</v>
      </c>
      <c r="AS33" s="8" t="s">
        <v>120</v>
      </c>
      <c r="AT33" s="8" t="s">
        <v>103</v>
      </c>
      <c r="AU33" s="8" t="s">
        <v>103</v>
      </c>
      <c r="AX33" s="8" t="s">
        <v>104</v>
      </c>
      <c r="AY33" s="8" t="s">
        <v>121</v>
      </c>
      <c r="AZ33" s="8" t="s">
        <v>100</v>
      </c>
      <c r="BA33" s="8" t="s">
        <v>101</v>
      </c>
      <c r="BB33" s="8" t="s">
        <v>102</v>
      </c>
      <c r="BC33" s="8" t="s">
        <v>103</v>
      </c>
      <c r="BD33" s="8" t="s">
        <v>103</v>
      </c>
      <c r="BF33" s="8" t="s">
        <v>107</v>
      </c>
      <c r="BG33" s="8">
        <v>16700</v>
      </c>
      <c r="BH33" s="8" t="s">
        <v>122</v>
      </c>
      <c r="BO33" s="8">
        <v>12</v>
      </c>
      <c r="BR33" s="8" t="s">
        <v>100</v>
      </c>
      <c r="BS33" s="8" t="s">
        <v>182</v>
      </c>
      <c r="BT33" s="8" t="s">
        <v>183</v>
      </c>
      <c r="BU33" s="8" t="s">
        <v>106</v>
      </c>
      <c r="BV33" s="8" t="s">
        <v>123</v>
      </c>
      <c r="BW33" s="8" t="s">
        <v>110</v>
      </c>
    </row>
    <row r="34" spans="1:75" s="8" customFormat="1" x14ac:dyDescent="0.35">
      <c r="A34" s="8" t="s">
        <v>256</v>
      </c>
      <c r="B34" s="9">
        <v>45990</v>
      </c>
      <c r="C34" s="10">
        <v>0.78084490740740742</v>
      </c>
      <c r="D34" s="8" t="s">
        <v>170</v>
      </c>
      <c r="E34" s="8" t="s">
        <v>171</v>
      </c>
      <c r="F34" s="11" t="s">
        <v>172</v>
      </c>
      <c r="G34" s="8">
        <f>COUNTIF($F$2:$F$350,F34)</f>
        <v>213</v>
      </c>
      <c r="H34" s="8" t="s">
        <v>115</v>
      </c>
      <c r="I34" s="8" t="s">
        <v>82</v>
      </c>
      <c r="J34" s="8" t="s">
        <v>83</v>
      </c>
      <c r="K34" s="8" t="s">
        <v>84</v>
      </c>
      <c r="M34" s="8" t="s">
        <v>85</v>
      </c>
      <c r="N34" s="8" t="s">
        <v>116</v>
      </c>
      <c r="O34" s="8" t="s">
        <v>87</v>
      </c>
      <c r="P34" s="8" t="s">
        <v>173</v>
      </c>
      <c r="Q34" s="8" t="s">
        <v>185</v>
      </c>
      <c r="R34" s="8" t="s">
        <v>186</v>
      </c>
      <c r="S34" s="8" t="s">
        <v>132</v>
      </c>
      <c r="T34" s="8" t="s">
        <v>133</v>
      </c>
      <c r="U34" s="8" t="s">
        <v>93</v>
      </c>
      <c r="V34" s="8" t="s">
        <v>22</v>
      </c>
      <c r="W34" s="8" t="s">
        <v>176</v>
      </c>
      <c r="X34" s="8" t="s">
        <v>177</v>
      </c>
      <c r="Y34" s="8" t="s">
        <v>95</v>
      </c>
      <c r="Z34" s="8" t="s">
        <v>189</v>
      </c>
      <c r="AA34" s="8" t="b">
        <v>0</v>
      </c>
      <c r="AC34" s="8">
        <v>0</v>
      </c>
      <c r="AD34" s="8">
        <v>75</v>
      </c>
      <c r="AI34" s="8" t="s">
        <v>179</v>
      </c>
      <c r="AJ34" s="8" t="s">
        <v>88</v>
      </c>
      <c r="AK34" s="8" t="s">
        <v>259</v>
      </c>
      <c r="AL34" s="8" t="s">
        <v>88</v>
      </c>
      <c r="AM34" s="8" t="s">
        <v>88</v>
      </c>
      <c r="AN34" s="8" t="s">
        <v>88</v>
      </c>
      <c r="AP34" s="8" t="s">
        <v>260</v>
      </c>
      <c r="AQ34" s="8" t="s">
        <v>100</v>
      </c>
      <c r="AR34" s="8" t="s">
        <v>101</v>
      </c>
      <c r="AS34" s="8" t="s">
        <v>120</v>
      </c>
      <c r="AT34" s="8" t="s">
        <v>103</v>
      </c>
      <c r="AU34" s="8" t="s">
        <v>103</v>
      </c>
      <c r="AX34" s="8" t="s">
        <v>104</v>
      </c>
      <c r="AY34" s="8" t="s">
        <v>121</v>
      </c>
      <c r="AZ34" s="8" t="s">
        <v>100</v>
      </c>
      <c r="BA34" s="8" t="s">
        <v>101</v>
      </c>
      <c r="BB34" s="8" t="s">
        <v>102</v>
      </c>
      <c r="BC34" s="8" t="s">
        <v>103</v>
      </c>
      <c r="BD34" s="8" t="s">
        <v>103</v>
      </c>
      <c r="BF34" s="8" t="s">
        <v>107</v>
      </c>
      <c r="BG34" s="8">
        <v>16700</v>
      </c>
      <c r="BH34" s="8" t="s">
        <v>122</v>
      </c>
      <c r="BO34" s="8">
        <v>12</v>
      </c>
      <c r="BR34" s="8" t="s">
        <v>100</v>
      </c>
      <c r="BS34" s="8" t="s">
        <v>182</v>
      </c>
      <c r="BT34" s="8" t="s">
        <v>183</v>
      </c>
      <c r="BU34" s="8" t="s">
        <v>106</v>
      </c>
      <c r="BV34" s="8" t="s">
        <v>123</v>
      </c>
      <c r="BW34" s="8" t="s">
        <v>110</v>
      </c>
    </row>
    <row r="35" spans="1:75" s="8" customFormat="1" x14ac:dyDescent="0.35">
      <c r="A35" s="8" t="s">
        <v>256</v>
      </c>
      <c r="B35" s="9">
        <v>45990</v>
      </c>
      <c r="C35" s="10">
        <v>0.78084490740740742</v>
      </c>
      <c r="D35" s="8" t="s">
        <v>170</v>
      </c>
      <c r="E35" s="8" t="s">
        <v>171</v>
      </c>
      <c r="F35" s="11" t="s">
        <v>172</v>
      </c>
      <c r="G35" s="8">
        <f>COUNTIF($F$2:$F$350,F35)</f>
        <v>213</v>
      </c>
      <c r="H35" s="8" t="s">
        <v>115</v>
      </c>
      <c r="I35" s="8" t="s">
        <v>82</v>
      </c>
      <c r="J35" s="8" t="s">
        <v>83</v>
      </c>
      <c r="K35" s="8" t="s">
        <v>84</v>
      </c>
      <c r="M35" s="8" t="s">
        <v>85</v>
      </c>
      <c r="N35" s="8" t="s">
        <v>116</v>
      </c>
      <c r="O35" s="8" t="s">
        <v>87</v>
      </c>
      <c r="P35" s="8" t="s">
        <v>173</v>
      </c>
      <c r="Q35" s="8" t="s">
        <v>185</v>
      </c>
      <c r="R35" s="8" t="s">
        <v>186</v>
      </c>
      <c r="S35" s="8" t="s">
        <v>132</v>
      </c>
      <c r="T35" s="8" t="s">
        <v>133</v>
      </c>
      <c r="U35" s="8" t="s">
        <v>93</v>
      </c>
      <c r="V35" s="8" t="s">
        <v>22</v>
      </c>
      <c r="W35" s="8" t="s">
        <v>176</v>
      </c>
      <c r="X35" s="8" t="s">
        <v>177</v>
      </c>
      <c r="Y35" s="8" t="s">
        <v>95</v>
      </c>
      <c r="Z35" s="8" t="s">
        <v>189</v>
      </c>
      <c r="AA35" s="8" t="b">
        <v>0</v>
      </c>
      <c r="AC35" s="8">
        <v>0</v>
      </c>
      <c r="AD35" s="8">
        <v>92</v>
      </c>
      <c r="AI35" s="8" t="s">
        <v>179</v>
      </c>
      <c r="AJ35" s="8" t="s">
        <v>88</v>
      </c>
      <c r="AK35" s="8" t="s">
        <v>261</v>
      </c>
      <c r="AL35" s="8" t="s">
        <v>88</v>
      </c>
      <c r="AM35" s="8" t="s">
        <v>88</v>
      </c>
      <c r="AN35" s="8" t="s">
        <v>88</v>
      </c>
      <c r="AP35" s="8" t="s">
        <v>262</v>
      </c>
      <c r="AQ35" s="8" t="s">
        <v>100</v>
      </c>
      <c r="AR35" s="8" t="s">
        <v>101</v>
      </c>
      <c r="AS35" s="8" t="s">
        <v>120</v>
      </c>
      <c r="AT35" s="8" t="s">
        <v>103</v>
      </c>
      <c r="AU35" s="8" t="s">
        <v>103</v>
      </c>
      <c r="AX35" s="8" t="s">
        <v>104</v>
      </c>
      <c r="AY35" s="8" t="s">
        <v>121</v>
      </c>
      <c r="AZ35" s="8" t="s">
        <v>100</v>
      </c>
      <c r="BA35" s="8" t="s">
        <v>101</v>
      </c>
      <c r="BB35" s="8" t="s">
        <v>102</v>
      </c>
      <c r="BC35" s="8" t="s">
        <v>103</v>
      </c>
      <c r="BD35" s="8" t="s">
        <v>103</v>
      </c>
      <c r="BF35" s="8" t="s">
        <v>107</v>
      </c>
      <c r="BG35" s="8">
        <v>16700</v>
      </c>
      <c r="BH35" s="8" t="s">
        <v>122</v>
      </c>
      <c r="BO35" s="8">
        <v>12</v>
      </c>
      <c r="BR35" s="8" t="s">
        <v>100</v>
      </c>
      <c r="BS35" s="8" t="s">
        <v>182</v>
      </c>
      <c r="BT35" s="8" t="s">
        <v>183</v>
      </c>
      <c r="BU35" s="8" t="s">
        <v>106</v>
      </c>
      <c r="BV35" s="8" t="s">
        <v>123</v>
      </c>
      <c r="BW35" s="8" t="s">
        <v>110</v>
      </c>
    </row>
    <row r="36" spans="1:75" s="8" customFormat="1" x14ac:dyDescent="0.35">
      <c r="A36" s="8" t="s">
        <v>263</v>
      </c>
      <c r="B36" s="9">
        <v>45990</v>
      </c>
      <c r="C36" s="10">
        <v>0.78037037037037038</v>
      </c>
      <c r="D36" s="8" t="s">
        <v>170</v>
      </c>
      <c r="E36" s="8" t="s">
        <v>171</v>
      </c>
      <c r="F36" s="11" t="s">
        <v>172</v>
      </c>
      <c r="G36" s="8">
        <f>COUNTIF($F$2:$F$350,F36)</f>
        <v>213</v>
      </c>
      <c r="H36" s="8" t="s">
        <v>115</v>
      </c>
      <c r="I36" s="8" t="s">
        <v>82</v>
      </c>
      <c r="J36" s="8" t="s">
        <v>83</v>
      </c>
      <c r="K36" s="8" t="s">
        <v>84</v>
      </c>
      <c r="M36" s="8" t="s">
        <v>85</v>
      </c>
      <c r="N36" s="8" t="s">
        <v>116</v>
      </c>
      <c r="O36" s="8" t="s">
        <v>87</v>
      </c>
      <c r="P36" s="8" t="s">
        <v>173</v>
      </c>
      <c r="Q36" s="8" t="s">
        <v>185</v>
      </c>
      <c r="R36" s="8" t="s">
        <v>186</v>
      </c>
      <c r="S36" s="8" t="s">
        <v>132</v>
      </c>
      <c r="T36" s="8" t="s">
        <v>133</v>
      </c>
      <c r="U36" s="8" t="s">
        <v>93</v>
      </c>
      <c r="V36" s="8" t="s">
        <v>22</v>
      </c>
      <c r="W36" s="8" t="s">
        <v>176</v>
      </c>
      <c r="X36" s="8" t="s">
        <v>177</v>
      </c>
      <c r="Y36" s="8" t="s">
        <v>95</v>
      </c>
      <c r="Z36" s="8" t="s">
        <v>189</v>
      </c>
      <c r="AA36" s="8" t="b">
        <v>0</v>
      </c>
      <c r="AC36" s="8">
        <v>0</v>
      </c>
      <c r="AD36" s="8">
        <v>156</v>
      </c>
      <c r="AI36" s="8" t="s">
        <v>179</v>
      </c>
      <c r="AJ36" s="8" t="s">
        <v>88</v>
      </c>
      <c r="AK36" s="8" t="s">
        <v>264</v>
      </c>
      <c r="AL36" s="8" t="s">
        <v>88</v>
      </c>
      <c r="AM36" s="8" t="s">
        <v>88</v>
      </c>
      <c r="AN36" s="8" t="s">
        <v>88</v>
      </c>
      <c r="AP36" s="8" t="s">
        <v>265</v>
      </c>
      <c r="AQ36" s="8" t="s">
        <v>100</v>
      </c>
      <c r="AR36" s="8" t="s">
        <v>101</v>
      </c>
      <c r="AS36" s="8" t="s">
        <v>120</v>
      </c>
      <c r="AT36" s="8" t="s">
        <v>103</v>
      </c>
      <c r="AU36" s="8" t="s">
        <v>103</v>
      </c>
      <c r="AX36" s="8" t="s">
        <v>104</v>
      </c>
      <c r="AY36" s="8" t="s">
        <v>121</v>
      </c>
      <c r="AZ36" s="8" t="s">
        <v>100</v>
      </c>
      <c r="BA36" s="8" t="s">
        <v>101</v>
      </c>
      <c r="BB36" s="8" t="s">
        <v>102</v>
      </c>
      <c r="BC36" s="8" t="s">
        <v>103</v>
      </c>
      <c r="BD36" s="8" t="s">
        <v>103</v>
      </c>
      <c r="BF36" s="8" t="s">
        <v>107</v>
      </c>
      <c r="BG36" s="8">
        <v>16700</v>
      </c>
      <c r="BH36" s="8" t="s">
        <v>122</v>
      </c>
      <c r="BO36" s="8">
        <v>12</v>
      </c>
      <c r="BR36" s="8" t="s">
        <v>100</v>
      </c>
      <c r="BS36" s="8" t="s">
        <v>182</v>
      </c>
      <c r="BT36" s="8" t="s">
        <v>183</v>
      </c>
      <c r="BU36" s="8" t="s">
        <v>106</v>
      </c>
      <c r="BV36" s="8" t="s">
        <v>123</v>
      </c>
      <c r="BW36" s="8" t="s">
        <v>110</v>
      </c>
    </row>
    <row r="37" spans="1:75" s="8" customFormat="1" x14ac:dyDescent="0.35">
      <c r="A37" s="8" t="s">
        <v>263</v>
      </c>
      <c r="B37" s="9">
        <v>45990</v>
      </c>
      <c r="C37" s="10">
        <v>0.78037037037037038</v>
      </c>
      <c r="D37" s="8" t="s">
        <v>170</v>
      </c>
      <c r="E37" s="8" t="s">
        <v>171</v>
      </c>
      <c r="F37" s="11" t="s">
        <v>172</v>
      </c>
      <c r="G37" s="8">
        <f>COUNTIF($F$2:$F$350,F37)</f>
        <v>213</v>
      </c>
      <c r="H37" s="8" t="s">
        <v>115</v>
      </c>
      <c r="I37" s="8" t="s">
        <v>82</v>
      </c>
      <c r="J37" s="8" t="s">
        <v>83</v>
      </c>
      <c r="K37" s="8" t="s">
        <v>84</v>
      </c>
      <c r="M37" s="8" t="s">
        <v>85</v>
      </c>
      <c r="N37" s="8" t="s">
        <v>116</v>
      </c>
      <c r="O37" s="8" t="s">
        <v>87</v>
      </c>
      <c r="P37" s="8" t="s">
        <v>173</v>
      </c>
      <c r="Q37" s="8" t="s">
        <v>185</v>
      </c>
      <c r="R37" s="8" t="s">
        <v>186</v>
      </c>
      <c r="S37" s="8" t="s">
        <v>132</v>
      </c>
      <c r="T37" s="8" t="s">
        <v>133</v>
      </c>
      <c r="U37" s="8" t="s">
        <v>93</v>
      </c>
      <c r="V37" s="8" t="s">
        <v>22</v>
      </c>
      <c r="W37" s="8" t="s">
        <v>176</v>
      </c>
      <c r="X37" s="8" t="s">
        <v>177</v>
      </c>
      <c r="Y37" s="8" t="s">
        <v>95</v>
      </c>
      <c r="Z37" s="8" t="s">
        <v>189</v>
      </c>
      <c r="AA37" s="8" t="b">
        <v>0</v>
      </c>
      <c r="AC37" s="8">
        <v>0</v>
      </c>
      <c r="AD37" s="8">
        <v>99</v>
      </c>
      <c r="AI37" s="8" t="s">
        <v>179</v>
      </c>
      <c r="AJ37" s="8" t="s">
        <v>88</v>
      </c>
      <c r="AK37" s="8" t="s">
        <v>266</v>
      </c>
      <c r="AL37" s="8" t="s">
        <v>88</v>
      </c>
      <c r="AM37" s="8" t="s">
        <v>88</v>
      </c>
      <c r="AN37" s="8" t="s">
        <v>88</v>
      </c>
      <c r="AP37" s="8" t="s">
        <v>267</v>
      </c>
      <c r="AQ37" s="8" t="s">
        <v>100</v>
      </c>
      <c r="AR37" s="8" t="s">
        <v>101</v>
      </c>
      <c r="AS37" s="8" t="s">
        <v>120</v>
      </c>
      <c r="AT37" s="8" t="s">
        <v>103</v>
      </c>
      <c r="AU37" s="8" t="s">
        <v>103</v>
      </c>
      <c r="AX37" s="8" t="s">
        <v>104</v>
      </c>
      <c r="AY37" s="8" t="s">
        <v>121</v>
      </c>
      <c r="AZ37" s="8" t="s">
        <v>100</v>
      </c>
      <c r="BA37" s="8" t="s">
        <v>101</v>
      </c>
      <c r="BB37" s="8" t="s">
        <v>102</v>
      </c>
      <c r="BC37" s="8" t="s">
        <v>103</v>
      </c>
      <c r="BD37" s="8" t="s">
        <v>103</v>
      </c>
      <c r="BF37" s="8" t="s">
        <v>107</v>
      </c>
      <c r="BG37" s="8">
        <v>16700</v>
      </c>
      <c r="BH37" s="8" t="s">
        <v>122</v>
      </c>
      <c r="BO37" s="8">
        <v>12</v>
      </c>
      <c r="BR37" s="8" t="s">
        <v>100</v>
      </c>
      <c r="BS37" s="8" t="s">
        <v>182</v>
      </c>
      <c r="BT37" s="8" t="s">
        <v>183</v>
      </c>
      <c r="BU37" s="8" t="s">
        <v>106</v>
      </c>
      <c r="BV37" s="8" t="s">
        <v>123</v>
      </c>
      <c r="BW37" s="8" t="s">
        <v>110</v>
      </c>
    </row>
    <row r="38" spans="1:75" s="8" customFormat="1" x14ac:dyDescent="0.35">
      <c r="A38" s="8" t="s">
        <v>263</v>
      </c>
      <c r="B38" s="9">
        <v>45990</v>
      </c>
      <c r="C38" s="10">
        <v>0.78037037037037038</v>
      </c>
      <c r="D38" s="8" t="s">
        <v>170</v>
      </c>
      <c r="E38" s="8" t="s">
        <v>171</v>
      </c>
      <c r="F38" s="11" t="s">
        <v>172</v>
      </c>
      <c r="G38" s="8">
        <f>COUNTIF($F$2:$F$350,F38)</f>
        <v>213</v>
      </c>
      <c r="H38" s="8" t="s">
        <v>115</v>
      </c>
      <c r="I38" s="8" t="s">
        <v>82</v>
      </c>
      <c r="J38" s="8" t="s">
        <v>83</v>
      </c>
      <c r="K38" s="8" t="s">
        <v>84</v>
      </c>
      <c r="M38" s="8" t="s">
        <v>85</v>
      </c>
      <c r="N38" s="8" t="s">
        <v>116</v>
      </c>
      <c r="O38" s="8" t="s">
        <v>87</v>
      </c>
      <c r="P38" s="8" t="s">
        <v>173</v>
      </c>
      <c r="Q38" s="8" t="s">
        <v>185</v>
      </c>
      <c r="R38" s="8" t="s">
        <v>186</v>
      </c>
      <c r="S38" s="8" t="s">
        <v>187</v>
      </c>
      <c r="T38" s="8" t="s">
        <v>188</v>
      </c>
      <c r="U38" s="8" t="s">
        <v>93</v>
      </c>
      <c r="V38" s="8" t="s">
        <v>22</v>
      </c>
      <c r="W38" s="8" t="s">
        <v>176</v>
      </c>
      <c r="X38" s="8" t="s">
        <v>177</v>
      </c>
      <c r="Y38" s="8" t="s">
        <v>95</v>
      </c>
      <c r="Z38" s="8" t="s">
        <v>189</v>
      </c>
      <c r="AA38" s="8" t="b">
        <v>0</v>
      </c>
      <c r="AC38" s="8">
        <v>0</v>
      </c>
      <c r="AD38" s="8">
        <v>78</v>
      </c>
      <c r="AI38" s="8" t="s">
        <v>179</v>
      </c>
      <c r="AJ38" s="8" t="s">
        <v>88</v>
      </c>
      <c r="AK38" s="8" t="s">
        <v>268</v>
      </c>
      <c r="AL38" s="8" t="s">
        <v>88</v>
      </c>
      <c r="AM38" s="8" t="s">
        <v>88</v>
      </c>
      <c r="AN38" s="8" t="s">
        <v>88</v>
      </c>
      <c r="AP38" s="8" t="s">
        <v>269</v>
      </c>
      <c r="AQ38" s="8" t="s">
        <v>100</v>
      </c>
      <c r="AR38" s="8" t="s">
        <v>101</v>
      </c>
      <c r="AS38" s="8" t="s">
        <v>120</v>
      </c>
      <c r="AT38" s="8" t="s">
        <v>103</v>
      </c>
      <c r="AU38" s="8" t="s">
        <v>103</v>
      </c>
      <c r="AX38" s="8" t="s">
        <v>104</v>
      </c>
      <c r="AY38" s="8" t="s">
        <v>121</v>
      </c>
      <c r="AZ38" s="8" t="s">
        <v>100</v>
      </c>
      <c r="BA38" s="8" t="s">
        <v>101</v>
      </c>
      <c r="BB38" s="8" t="s">
        <v>102</v>
      </c>
      <c r="BC38" s="8" t="s">
        <v>103</v>
      </c>
      <c r="BD38" s="8" t="s">
        <v>103</v>
      </c>
      <c r="BF38" s="8" t="s">
        <v>107</v>
      </c>
      <c r="BG38" s="8">
        <v>16700</v>
      </c>
      <c r="BH38" s="8" t="s">
        <v>122</v>
      </c>
      <c r="BO38" s="8">
        <v>12</v>
      </c>
      <c r="BR38" s="8" t="s">
        <v>100</v>
      </c>
      <c r="BS38" s="8" t="s">
        <v>182</v>
      </c>
      <c r="BT38" s="8" t="s">
        <v>183</v>
      </c>
      <c r="BU38" s="8" t="s">
        <v>106</v>
      </c>
      <c r="BV38" s="8" t="s">
        <v>123</v>
      </c>
      <c r="BW38" s="8" t="s">
        <v>110</v>
      </c>
    </row>
    <row r="39" spans="1:75" s="8" customFormat="1" x14ac:dyDescent="0.35">
      <c r="A39" s="8" t="s">
        <v>270</v>
      </c>
      <c r="B39" s="9">
        <v>45990</v>
      </c>
      <c r="C39" s="10">
        <v>0.7794212962962962</v>
      </c>
      <c r="D39" s="8" t="s">
        <v>170</v>
      </c>
      <c r="E39" s="8" t="s">
        <v>171</v>
      </c>
      <c r="F39" s="11" t="s">
        <v>172</v>
      </c>
      <c r="G39" s="8">
        <f>COUNTIF($F$2:$F$350,F39)</f>
        <v>213</v>
      </c>
      <c r="H39" s="8" t="s">
        <v>115</v>
      </c>
      <c r="I39" s="8" t="s">
        <v>82</v>
      </c>
      <c r="J39" s="8" t="s">
        <v>83</v>
      </c>
      <c r="K39" s="8" t="s">
        <v>84</v>
      </c>
      <c r="M39" s="8" t="s">
        <v>85</v>
      </c>
      <c r="N39" s="8" t="s">
        <v>116</v>
      </c>
      <c r="O39" s="8" t="s">
        <v>87</v>
      </c>
      <c r="P39" s="8" t="s">
        <v>173</v>
      </c>
      <c r="Q39" s="8" t="s">
        <v>185</v>
      </c>
      <c r="R39" s="8" t="s">
        <v>186</v>
      </c>
      <c r="S39" s="8" t="s">
        <v>132</v>
      </c>
      <c r="T39" s="8" t="s">
        <v>133</v>
      </c>
      <c r="U39" s="8" t="s">
        <v>93</v>
      </c>
      <c r="V39" s="8" t="s">
        <v>22</v>
      </c>
      <c r="W39" s="8" t="s">
        <v>176</v>
      </c>
      <c r="X39" s="8" t="s">
        <v>177</v>
      </c>
      <c r="Y39" s="8" t="s">
        <v>95</v>
      </c>
      <c r="Z39" s="8" t="s">
        <v>189</v>
      </c>
      <c r="AA39" s="8" t="b">
        <v>0</v>
      </c>
      <c r="AC39" s="8">
        <v>0</v>
      </c>
      <c r="AD39" s="8">
        <v>97</v>
      </c>
      <c r="AI39" s="8" t="s">
        <v>179</v>
      </c>
      <c r="AJ39" s="8" t="s">
        <v>88</v>
      </c>
      <c r="AK39" s="8" t="s">
        <v>271</v>
      </c>
      <c r="AL39" s="8" t="s">
        <v>88</v>
      </c>
      <c r="AM39" s="8" t="s">
        <v>88</v>
      </c>
      <c r="AN39" s="8" t="s">
        <v>88</v>
      </c>
      <c r="AP39" s="8" t="s">
        <v>272</v>
      </c>
      <c r="AQ39" s="8" t="s">
        <v>100</v>
      </c>
      <c r="AR39" s="8" t="s">
        <v>101</v>
      </c>
      <c r="AS39" s="8" t="s">
        <v>120</v>
      </c>
      <c r="AT39" s="8" t="s">
        <v>103</v>
      </c>
      <c r="AU39" s="8" t="s">
        <v>103</v>
      </c>
      <c r="AX39" s="8" t="s">
        <v>104</v>
      </c>
      <c r="AY39" s="8" t="s">
        <v>121</v>
      </c>
      <c r="AZ39" s="8" t="s">
        <v>100</v>
      </c>
      <c r="BA39" s="8" t="s">
        <v>101</v>
      </c>
      <c r="BB39" s="8" t="s">
        <v>102</v>
      </c>
      <c r="BC39" s="8" t="s">
        <v>103</v>
      </c>
      <c r="BD39" s="8" t="s">
        <v>103</v>
      </c>
      <c r="BF39" s="8" t="s">
        <v>107</v>
      </c>
      <c r="BG39" s="8">
        <v>16700</v>
      </c>
      <c r="BH39" s="8" t="s">
        <v>122</v>
      </c>
      <c r="BO39" s="8">
        <v>12</v>
      </c>
      <c r="BR39" s="8" t="s">
        <v>100</v>
      </c>
      <c r="BS39" s="8" t="s">
        <v>182</v>
      </c>
      <c r="BT39" s="8" t="s">
        <v>183</v>
      </c>
      <c r="BU39" s="8" t="s">
        <v>106</v>
      </c>
      <c r="BV39" s="8" t="s">
        <v>123</v>
      </c>
      <c r="BW39" s="8" t="s">
        <v>110</v>
      </c>
    </row>
    <row r="40" spans="1:75" s="8" customFormat="1" x14ac:dyDescent="0.35">
      <c r="A40" s="8" t="s">
        <v>270</v>
      </c>
      <c r="B40" s="9">
        <v>45990</v>
      </c>
      <c r="C40" s="10">
        <v>0.7794212962962962</v>
      </c>
      <c r="D40" s="8" t="s">
        <v>170</v>
      </c>
      <c r="E40" s="8" t="s">
        <v>171</v>
      </c>
      <c r="F40" s="11" t="s">
        <v>172</v>
      </c>
      <c r="G40" s="8">
        <f>COUNTIF($F$2:$F$350,F40)</f>
        <v>213</v>
      </c>
      <c r="H40" s="8" t="s">
        <v>115</v>
      </c>
      <c r="I40" s="8" t="s">
        <v>82</v>
      </c>
      <c r="J40" s="8" t="s">
        <v>83</v>
      </c>
      <c r="K40" s="8" t="s">
        <v>84</v>
      </c>
      <c r="M40" s="8" t="s">
        <v>85</v>
      </c>
      <c r="N40" s="8" t="s">
        <v>116</v>
      </c>
      <c r="O40" s="8" t="s">
        <v>87</v>
      </c>
      <c r="P40" s="8" t="s">
        <v>173</v>
      </c>
      <c r="Q40" s="8" t="s">
        <v>185</v>
      </c>
      <c r="R40" s="8" t="s">
        <v>186</v>
      </c>
      <c r="S40" s="8" t="s">
        <v>187</v>
      </c>
      <c r="T40" s="8" t="s">
        <v>188</v>
      </c>
      <c r="U40" s="8" t="s">
        <v>93</v>
      </c>
      <c r="V40" s="8" t="s">
        <v>22</v>
      </c>
      <c r="W40" s="8" t="s">
        <v>176</v>
      </c>
      <c r="X40" s="8" t="s">
        <v>177</v>
      </c>
      <c r="Y40" s="8" t="s">
        <v>95</v>
      </c>
      <c r="Z40" s="8" t="s">
        <v>189</v>
      </c>
      <c r="AA40" s="8" t="b">
        <v>0</v>
      </c>
      <c r="AC40" s="8">
        <v>0</v>
      </c>
      <c r="AD40" s="8">
        <v>98</v>
      </c>
      <c r="AI40" s="8" t="s">
        <v>179</v>
      </c>
      <c r="AJ40" s="8" t="s">
        <v>88</v>
      </c>
      <c r="AK40" s="8" t="s">
        <v>273</v>
      </c>
      <c r="AL40" s="8" t="s">
        <v>88</v>
      </c>
      <c r="AM40" s="8" t="s">
        <v>88</v>
      </c>
      <c r="AN40" s="8" t="s">
        <v>88</v>
      </c>
      <c r="AP40" s="8" t="s">
        <v>274</v>
      </c>
      <c r="AQ40" s="8" t="s">
        <v>100</v>
      </c>
      <c r="AR40" s="8" t="s">
        <v>101</v>
      </c>
      <c r="AS40" s="8" t="s">
        <v>120</v>
      </c>
      <c r="AT40" s="8" t="s">
        <v>103</v>
      </c>
      <c r="AU40" s="8" t="s">
        <v>103</v>
      </c>
      <c r="AX40" s="8" t="s">
        <v>104</v>
      </c>
      <c r="AY40" s="8" t="s">
        <v>121</v>
      </c>
      <c r="AZ40" s="8" t="s">
        <v>100</v>
      </c>
      <c r="BA40" s="8" t="s">
        <v>101</v>
      </c>
      <c r="BB40" s="8" t="s">
        <v>102</v>
      </c>
      <c r="BC40" s="8" t="s">
        <v>103</v>
      </c>
      <c r="BD40" s="8" t="s">
        <v>103</v>
      </c>
      <c r="BF40" s="8" t="s">
        <v>107</v>
      </c>
      <c r="BG40" s="8">
        <v>16700</v>
      </c>
      <c r="BH40" s="8" t="s">
        <v>122</v>
      </c>
      <c r="BO40" s="8">
        <v>12</v>
      </c>
      <c r="BR40" s="8" t="s">
        <v>100</v>
      </c>
      <c r="BS40" s="8" t="s">
        <v>182</v>
      </c>
      <c r="BT40" s="8" t="s">
        <v>183</v>
      </c>
      <c r="BU40" s="8" t="s">
        <v>106</v>
      </c>
      <c r="BV40" s="8" t="s">
        <v>123</v>
      </c>
      <c r="BW40" s="8" t="s">
        <v>110</v>
      </c>
    </row>
    <row r="41" spans="1:75" s="8" customFormat="1" x14ac:dyDescent="0.35">
      <c r="A41" s="8" t="s">
        <v>270</v>
      </c>
      <c r="B41" s="9">
        <v>45990</v>
      </c>
      <c r="C41" s="10">
        <v>0.7794212962962962</v>
      </c>
      <c r="D41" s="8" t="s">
        <v>170</v>
      </c>
      <c r="E41" s="8" t="s">
        <v>171</v>
      </c>
      <c r="F41" s="11" t="s">
        <v>172</v>
      </c>
      <c r="G41" s="8">
        <f>COUNTIF($F$2:$F$350,F41)</f>
        <v>213</v>
      </c>
      <c r="H41" s="8" t="s">
        <v>115</v>
      </c>
      <c r="I41" s="8" t="s">
        <v>82</v>
      </c>
      <c r="J41" s="8" t="s">
        <v>83</v>
      </c>
      <c r="K41" s="8" t="s">
        <v>84</v>
      </c>
      <c r="M41" s="8" t="s">
        <v>85</v>
      </c>
      <c r="N41" s="8" t="s">
        <v>116</v>
      </c>
      <c r="O41" s="8" t="s">
        <v>87</v>
      </c>
      <c r="P41" s="8" t="s">
        <v>173</v>
      </c>
      <c r="Q41" s="8" t="s">
        <v>185</v>
      </c>
      <c r="R41" s="8" t="s">
        <v>186</v>
      </c>
      <c r="S41" s="8" t="s">
        <v>132</v>
      </c>
      <c r="T41" s="8" t="s">
        <v>133</v>
      </c>
      <c r="U41" s="8" t="s">
        <v>93</v>
      </c>
      <c r="V41" s="8" t="s">
        <v>22</v>
      </c>
      <c r="W41" s="8" t="s">
        <v>176</v>
      </c>
      <c r="X41" s="8" t="s">
        <v>177</v>
      </c>
      <c r="Y41" s="8" t="s">
        <v>95</v>
      </c>
      <c r="Z41" s="8" t="s">
        <v>189</v>
      </c>
      <c r="AA41" s="8" t="b">
        <v>0</v>
      </c>
      <c r="AC41" s="8">
        <v>0</v>
      </c>
      <c r="AD41" s="8">
        <v>87</v>
      </c>
      <c r="AI41" s="8" t="s">
        <v>179</v>
      </c>
      <c r="AJ41" s="8" t="s">
        <v>88</v>
      </c>
      <c r="AK41" s="8" t="s">
        <v>275</v>
      </c>
      <c r="AL41" s="8" t="s">
        <v>88</v>
      </c>
      <c r="AM41" s="8" t="s">
        <v>88</v>
      </c>
      <c r="AN41" s="8" t="s">
        <v>88</v>
      </c>
      <c r="AP41" s="8" t="s">
        <v>276</v>
      </c>
      <c r="AQ41" s="8" t="s">
        <v>100</v>
      </c>
      <c r="AR41" s="8" t="s">
        <v>101</v>
      </c>
      <c r="AS41" s="8" t="s">
        <v>120</v>
      </c>
      <c r="AT41" s="8" t="s">
        <v>103</v>
      </c>
      <c r="AU41" s="8" t="s">
        <v>103</v>
      </c>
      <c r="AX41" s="8" t="s">
        <v>104</v>
      </c>
      <c r="AY41" s="8" t="s">
        <v>121</v>
      </c>
      <c r="AZ41" s="8" t="s">
        <v>100</v>
      </c>
      <c r="BA41" s="8" t="s">
        <v>101</v>
      </c>
      <c r="BB41" s="8" t="s">
        <v>102</v>
      </c>
      <c r="BC41" s="8" t="s">
        <v>103</v>
      </c>
      <c r="BD41" s="8" t="s">
        <v>103</v>
      </c>
      <c r="BF41" s="8" t="s">
        <v>107</v>
      </c>
      <c r="BG41" s="8">
        <v>16700</v>
      </c>
      <c r="BH41" s="8" t="s">
        <v>122</v>
      </c>
      <c r="BO41" s="8">
        <v>12</v>
      </c>
      <c r="BR41" s="8" t="s">
        <v>100</v>
      </c>
      <c r="BS41" s="8" t="s">
        <v>182</v>
      </c>
      <c r="BT41" s="8" t="s">
        <v>183</v>
      </c>
      <c r="BU41" s="8" t="s">
        <v>106</v>
      </c>
      <c r="BV41" s="8" t="s">
        <v>123</v>
      </c>
      <c r="BW41" s="8" t="s">
        <v>110</v>
      </c>
    </row>
    <row r="42" spans="1:75" s="8" customFormat="1" x14ac:dyDescent="0.35">
      <c r="A42" s="8" t="s">
        <v>277</v>
      </c>
      <c r="B42" s="9">
        <v>45990</v>
      </c>
      <c r="C42" s="10">
        <v>0.77908564814814818</v>
      </c>
      <c r="D42" s="8" t="s">
        <v>170</v>
      </c>
      <c r="E42" s="8" t="s">
        <v>171</v>
      </c>
      <c r="F42" s="11" t="s">
        <v>172</v>
      </c>
      <c r="G42" s="8">
        <f>COUNTIF($F$2:$F$350,F42)</f>
        <v>213</v>
      </c>
      <c r="H42" s="8" t="s">
        <v>115</v>
      </c>
      <c r="I42" s="8" t="s">
        <v>82</v>
      </c>
      <c r="J42" s="8" t="s">
        <v>83</v>
      </c>
      <c r="K42" s="8" t="s">
        <v>84</v>
      </c>
      <c r="M42" s="8" t="s">
        <v>85</v>
      </c>
      <c r="N42" s="8" t="s">
        <v>116</v>
      </c>
      <c r="O42" s="8" t="s">
        <v>87</v>
      </c>
      <c r="P42" s="8" t="s">
        <v>173</v>
      </c>
      <c r="Q42" s="8" t="s">
        <v>185</v>
      </c>
      <c r="R42" s="8" t="s">
        <v>186</v>
      </c>
      <c r="S42" s="8" t="s">
        <v>132</v>
      </c>
      <c r="T42" s="8" t="s">
        <v>133</v>
      </c>
      <c r="U42" s="8" t="s">
        <v>93</v>
      </c>
      <c r="V42" s="8" t="s">
        <v>22</v>
      </c>
      <c r="W42" s="8" t="s">
        <v>176</v>
      </c>
      <c r="X42" s="8" t="s">
        <v>177</v>
      </c>
      <c r="Y42" s="8" t="s">
        <v>95</v>
      </c>
      <c r="Z42" s="8" t="s">
        <v>189</v>
      </c>
      <c r="AA42" s="8" t="b">
        <v>0</v>
      </c>
      <c r="AC42" s="8">
        <v>0</v>
      </c>
      <c r="AD42" s="8">
        <v>109</v>
      </c>
      <c r="AI42" s="8" t="s">
        <v>179</v>
      </c>
      <c r="AJ42" s="8" t="s">
        <v>88</v>
      </c>
      <c r="AK42" s="8" t="s">
        <v>278</v>
      </c>
      <c r="AL42" s="8" t="s">
        <v>88</v>
      </c>
      <c r="AM42" s="8" t="s">
        <v>88</v>
      </c>
      <c r="AN42" s="8" t="s">
        <v>88</v>
      </c>
      <c r="AP42" s="8" t="s">
        <v>279</v>
      </c>
      <c r="AQ42" s="8" t="s">
        <v>100</v>
      </c>
      <c r="AR42" s="8" t="s">
        <v>101</v>
      </c>
      <c r="AS42" s="8" t="s">
        <v>120</v>
      </c>
      <c r="AT42" s="8" t="s">
        <v>103</v>
      </c>
      <c r="AU42" s="8" t="s">
        <v>103</v>
      </c>
      <c r="AX42" s="8" t="s">
        <v>104</v>
      </c>
      <c r="AY42" s="8" t="s">
        <v>121</v>
      </c>
      <c r="AZ42" s="8" t="s">
        <v>100</v>
      </c>
      <c r="BA42" s="8" t="s">
        <v>101</v>
      </c>
      <c r="BB42" s="8" t="s">
        <v>102</v>
      </c>
      <c r="BC42" s="8" t="s">
        <v>103</v>
      </c>
      <c r="BD42" s="8" t="s">
        <v>103</v>
      </c>
      <c r="BF42" s="8" t="s">
        <v>107</v>
      </c>
      <c r="BG42" s="8">
        <v>16700</v>
      </c>
      <c r="BH42" s="8" t="s">
        <v>122</v>
      </c>
      <c r="BO42" s="8">
        <v>12</v>
      </c>
      <c r="BR42" s="8" t="s">
        <v>100</v>
      </c>
      <c r="BS42" s="8" t="s">
        <v>182</v>
      </c>
      <c r="BT42" s="8" t="s">
        <v>183</v>
      </c>
      <c r="BU42" s="8" t="s">
        <v>106</v>
      </c>
      <c r="BV42" s="8" t="s">
        <v>123</v>
      </c>
      <c r="BW42" s="8" t="s">
        <v>110</v>
      </c>
    </row>
    <row r="43" spans="1:75" s="8" customFormat="1" x14ac:dyDescent="0.35">
      <c r="A43" s="8" t="s">
        <v>277</v>
      </c>
      <c r="B43" s="9">
        <v>45990</v>
      </c>
      <c r="C43" s="10">
        <v>0.77908564814814818</v>
      </c>
      <c r="D43" s="8" t="s">
        <v>170</v>
      </c>
      <c r="E43" s="8" t="s">
        <v>171</v>
      </c>
      <c r="F43" s="11" t="s">
        <v>172</v>
      </c>
      <c r="G43" s="8">
        <f>COUNTIF($F$2:$F$350,F43)</f>
        <v>213</v>
      </c>
      <c r="H43" s="8" t="s">
        <v>115</v>
      </c>
      <c r="I43" s="8" t="s">
        <v>82</v>
      </c>
      <c r="J43" s="8" t="s">
        <v>83</v>
      </c>
      <c r="K43" s="8" t="s">
        <v>84</v>
      </c>
      <c r="M43" s="8" t="s">
        <v>85</v>
      </c>
      <c r="N43" s="8" t="s">
        <v>116</v>
      </c>
      <c r="O43" s="8" t="s">
        <v>87</v>
      </c>
      <c r="P43" s="8" t="s">
        <v>173</v>
      </c>
      <c r="Q43" s="8" t="s">
        <v>185</v>
      </c>
      <c r="R43" s="8" t="s">
        <v>186</v>
      </c>
      <c r="S43" s="8" t="s">
        <v>132</v>
      </c>
      <c r="T43" s="8" t="s">
        <v>133</v>
      </c>
      <c r="U43" s="8" t="s">
        <v>93</v>
      </c>
      <c r="V43" s="8" t="s">
        <v>22</v>
      </c>
      <c r="W43" s="8" t="s">
        <v>176</v>
      </c>
      <c r="X43" s="8" t="s">
        <v>177</v>
      </c>
      <c r="Y43" s="8" t="s">
        <v>95</v>
      </c>
      <c r="Z43" s="8" t="s">
        <v>189</v>
      </c>
      <c r="AA43" s="8" t="b">
        <v>0</v>
      </c>
      <c r="AC43" s="8">
        <v>0</v>
      </c>
      <c r="AD43" s="8">
        <v>128</v>
      </c>
      <c r="AI43" s="8" t="s">
        <v>179</v>
      </c>
      <c r="AJ43" s="8" t="s">
        <v>88</v>
      </c>
      <c r="AK43" s="8" t="s">
        <v>280</v>
      </c>
      <c r="AL43" s="8" t="s">
        <v>88</v>
      </c>
      <c r="AM43" s="8" t="s">
        <v>88</v>
      </c>
      <c r="AN43" s="8" t="s">
        <v>88</v>
      </c>
      <c r="AP43" s="8" t="s">
        <v>281</v>
      </c>
      <c r="AQ43" s="8" t="s">
        <v>100</v>
      </c>
      <c r="AR43" s="8" t="s">
        <v>101</v>
      </c>
      <c r="AS43" s="8" t="s">
        <v>120</v>
      </c>
      <c r="AT43" s="8" t="s">
        <v>103</v>
      </c>
      <c r="AU43" s="8" t="s">
        <v>103</v>
      </c>
      <c r="AX43" s="8" t="s">
        <v>104</v>
      </c>
      <c r="AY43" s="8" t="s">
        <v>121</v>
      </c>
      <c r="AZ43" s="8" t="s">
        <v>100</v>
      </c>
      <c r="BA43" s="8" t="s">
        <v>101</v>
      </c>
      <c r="BB43" s="8" t="s">
        <v>102</v>
      </c>
      <c r="BC43" s="8" t="s">
        <v>103</v>
      </c>
      <c r="BD43" s="8" t="s">
        <v>103</v>
      </c>
      <c r="BF43" s="8" t="s">
        <v>107</v>
      </c>
      <c r="BG43" s="8">
        <v>16700</v>
      </c>
      <c r="BH43" s="8" t="s">
        <v>122</v>
      </c>
      <c r="BO43" s="8">
        <v>12</v>
      </c>
      <c r="BR43" s="8" t="s">
        <v>100</v>
      </c>
      <c r="BS43" s="8" t="s">
        <v>182</v>
      </c>
      <c r="BT43" s="8" t="s">
        <v>183</v>
      </c>
      <c r="BU43" s="8" t="s">
        <v>106</v>
      </c>
      <c r="BV43" s="8" t="s">
        <v>123</v>
      </c>
      <c r="BW43" s="8" t="s">
        <v>110</v>
      </c>
    </row>
    <row r="44" spans="1:75" s="8" customFormat="1" x14ac:dyDescent="0.35">
      <c r="A44" s="8" t="s">
        <v>277</v>
      </c>
      <c r="B44" s="9">
        <v>45990</v>
      </c>
      <c r="C44" s="10">
        <v>0.77908564814814818</v>
      </c>
      <c r="D44" s="8" t="s">
        <v>170</v>
      </c>
      <c r="E44" s="8" t="s">
        <v>171</v>
      </c>
      <c r="F44" s="11" t="s">
        <v>172</v>
      </c>
      <c r="G44" s="8">
        <f>COUNTIF($F$2:$F$350,F44)</f>
        <v>213</v>
      </c>
      <c r="H44" s="8" t="s">
        <v>115</v>
      </c>
      <c r="I44" s="8" t="s">
        <v>82</v>
      </c>
      <c r="J44" s="8" t="s">
        <v>83</v>
      </c>
      <c r="K44" s="8" t="s">
        <v>84</v>
      </c>
      <c r="M44" s="8" t="s">
        <v>85</v>
      </c>
      <c r="N44" s="8" t="s">
        <v>116</v>
      </c>
      <c r="O44" s="8" t="s">
        <v>87</v>
      </c>
      <c r="P44" s="8" t="s">
        <v>173</v>
      </c>
      <c r="Q44" s="8" t="s">
        <v>185</v>
      </c>
      <c r="R44" s="8" t="s">
        <v>186</v>
      </c>
      <c r="S44" s="8" t="s">
        <v>187</v>
      </c>
      <c r="T44" s="8" t="s">
        <v>188</v>
      </c>
      <c r="U44" s="8" t="s">
        <v>93</v>
      </c>
      <c r="V44" s="8" t="s">
        <v>22</v>
      </c>
      <c r="W44" s="8" t="s">
        <v>176</v>
      </c>
      <c r="X44" s="8" t="s">
        <v>177</v>
      </c>
      <c r="Y44" s="8" t="s">
        <v>95</v>
      </c>
      <c r="Z44" s="8" t="s">
        <v>189</v>
      </c>
      <c r="AA44" s="8" t="b">
        <v>0</v>
      </c>
      <c r="AC44" s="8">
        <v>0</v>
      </c>
      <c r="AD44" s="8">
        <v>105</v>
      </c>
      <c r="AI44" s="8" t="s">
        <v>179</v>
      </c>
      <c r="AJ44" s="8" t="s">
        <v>88</v>
      </c>
      <c r="AK44" s="8" t="s">
        <v>282</v>
      </c>
      <c r="AL44" s="8" t="s">
        <v>88</v>
      </c>
      <c r="AM44" s="8" t="s">
        <v>88</v>
      </c>
      <c r="AN44" s="8" t="s">
        <v>88</v>
      </c>
      <c r="AP44" s="8" t="s">
        <v>283</v>
      </c>
      <c r="AQ44" s="8" t="s">
        <v>100</v>
      </c>
      <c r="AR44" s="8" t="s">
        <v>101</v>
      </c>
      <c r="AS44" s="8" t="s">
        <v>120</v>
      </c>
      <c r="AT44" s="8" t="s">
        <v>103</v>
      </c>
      <c r="AU44" s="8" t="s">
        <v>103</v>
      </c>
      <c r="AX44" s="8" t="s">
        <v>104</v>
      </c>
      <c r="AY44" s="8" t="s">
        <v>121</v>
      </c>
      <c r="AZ44" s="8" t="s">
        <v>100</v>
      </c>
      <c r="BA44" s="8" t="s">
        <v>101</v>
      </c>
      <c r="BB44" s="8" t="s">
        <v>102</v>
      </c>
      <c r="BC44" s="8" t="s">
        <v>103</v>
      </c>
      <c r="BD44" s="8" t="s">
        <v>103</v>
      </c>
      <c r="BF44" s="8" t="s">
        <v>107</v>
      </c>
      <c r="BG44" s="8">
        <v>16700</v>
      </c>
      <c r="BH44" s="8" t="s">
        <v>122</v>
      </c>
      <c r="BO44" s="8">
        <v>12</v>
      </c>
      <c r="BR44" s="8" t="s">
        <v>100</v>
      </c>
      <c r="BS44" s="8" t="s">
        <v>182</v>
      </c>
      <c r="BT44" s="8" t="s">
        <v>183</v>
      </c>
      <c r="BU44" s="8" t="s">
        <v>106</v>
      </c>
      <c r="BV44" s="8" t="s">
        <v>123</v>
      </c>
      <c r="BW44" s="8" t="s">
        <v>110</v>
      </c>
    </row>
    <row r="45" spans="1:75" s="8" customFormat="1" x14ac:dyDescent="0.35">
      <c r="A45" s="8" t="s">
        <v>284</v>
      </c>
      <c r="B45" s="9">
        <v>45990</v>
      </c>
      <c r="C45" s="10">
        <v>0.77892361111111119</v>
      </c>
      <c r="D45" s="8" t="s">
        <v>170</v>
      </c>
      <c r="E45" s="8" t="s">
        <v>171</v>
      </c>
      <c r="F45" s="11" t="s">
        <v>172</v>
      </c>
      <c r="G45" s="8">
        <f>COUNTIF($F$2:$F$350,F45)</f>
        <v>213</v>
      </c>
      <c r="H45" s="8" t="s">
        <v>115</v>
      </c>
      <c r="I45" s="8" t="s">
        <v>82</v>
      </c>
      <c r="J45" s="8" t="s">
        <v>83</v>
      </c>
      <c r="K45" s="8" t="s">
        <v>84</v>
      </c>
      <c r="M45" s="8" t="s">
        <v>85</v>
      </c>
      <c r="N45" s="8" t="s">
        <v>116</v>
      </c>
      <c r="O45" s="8" t="s">
        <v>87</v>
      </c>
      <c r="P45" s="8" t="s">
        <v>173</v>
      </c>
      <c r="Q45" s="8" t="s">
        <v>185</v>
      </c>
      <c r="R45" s="8" t="s">
        <v>186</v>
      </c>
      <c r="S45" s="8" t="s">
        <v>132</v>
      </c>
      <c r="T45" s="8" t="s">
        <v>133</v>
      </c>
      <c r="U45" s="8" t="s">
        <v>93</v>
      </c>
      <c r="V45" s="8" t="s">
        <v>22</v>
      </c>
      <c r="W45" s="8" t="s">
        <v>176</v>
      </c>
      <c r="X45" s="8" t="s">
        <v>177</v>
      </c>
      <c r="Y45" s="8" t="s">
        <v>95</v>
      </c>
      <c r="Z45" s="8" t="s">
        <v>189</v>
      </c>
      <c r="AA45" s="8" t="b">
        <v>0</v>
      </c>
      <c r="AC45" s="8">
        <v>0</v>
      </c>
      <c r="AD45" s="8">
        <v>90</v>
      </c>
      <c r="AI45" s="8" t="s">
        <v>179</v>
      </c>
      <c r="AJ45" s="8" t="s">
        <v>88</v>
      </c>
      <c r="AK45" s="8" t="s">
        <v>285</v>
      </c>
      <c r="AL45" s="8" t="s">
        <v>88</v>
      </c>
      <c r="AM45" s="8" t="s">
        <v>88</v>
      </c>
      <c r="AN45" s="8" t="s">
        <v>88</v>
      </c>
      <c r="AP45" s="8" t="s">
        <v>286</v>
      </c>
      <c r="AQ45" s="8" t="s">
        <v>100</v>
      </c>
      <c r="AR45" s="8" t="s">
        <v>101</v>
      </c>
      <c r="AS45" s="8" t="s">
        <v>120</v>
      </c>
      <c r="AT45" s="8" t="s">
        <v>103</v>
      </c>
      <c r="AU45" s="8" t="s">
        <v>103</v>
      </c>
      <c r="AX45" s="8" t="s">
        <v>104</v>
      </c>
      <c r="AY45" s="8" t="s">
        <v>121</v>
      </c>
      <c r="AZ45" s="8" t="s">
        <v>100</v>
      </c>
      <c r="BA45" s="8" t="s">
        <v>101</v>
      </c>
      <c r="BB45" s="8" t="s">
        <v>102</v>
      </c>
      <c r="BC45" s="8" t="s">
        <v>103</v>
      </c>
      <c r="BD45" s="8" t="s">
        <v>103</v>
      </c>
      <c r="BF45" s="8" t="s">
        <v>107</v>
      </c>
      <c r="BG45" s="8">
        <v>16700</v>
      </c>
      <c r="BH45" s="8" t="s">
        <v>122</v>
      </c>
      <c r="BO45" s="8">
        <v>12</v>
      </c>
      <c r="BR45" s="8" t="s">
        <v>100</v>
      </c>
      <c r="BS45" s="8" t="s">
        <v>182</v>
      </c>
      <c r="BT45" s="8" t="s">
        <v>183</v>
      </c>
      <c r="BU45" s="8" t="s">
        <v>106</v>
      </c>
      <c r="BV45" s="8" t="s">
        <v>123</v>
      </c>
      <c r="BW45" s="8" t="s">
        <v>110</v>
      </c>
    </row>
    <row r="46" spans="1:75" s="8" customFormat="1" x14ac:dyDescent="0.35">
      <c r="A46" s="8" t="s">
        <v>284</v>
      </c>
      <c r="B46" s="9">
        <v>45990</v>
      </c>
      <c r="C46" s="10">
        <v>0.77892361111111119</v>
      </c>
      <c r="D46" s="8" t="s">
        <v>170</v>
      </c>
      <c r="E46" s="8" t="s">
        <v>171</v>
      </c>
      <c r="F46" s="11" t="s">
        <v>172</v>
      </c>
      <c r="G46" s="8">
        <f>COUNTIF($F$2:$F$350,F46)</f>
        <v>213</v>
      </c>
      <c r="H46" s="8" t="s">
        <v>115</v>
      </c>
      <c r="I46" s="8" t="s">
        <v>82</v>
      </c>
      <c r="J46" s="8" t="s">
        <v>83</v>
      </c>
      <c r="K46" s="8" t="s">
        <v>84</v>
      </c>
      <c r="M46" s="8" t="s">
        <v>85</v>
      </c>
      <c r="N46" s="8" t="s">
        <v>116</v>
      </c>
      <c r="O46" s="8" t="s">
        <v>87</v>
      </c>
      <c r="P46" s="8" t="s">
        <v>173</v>
      </c>
      <c r="Q46" s="8" t="s">
        <v>185</v>
      </c>
      <c r="R46" s="8" t="s">
        <v>186</v>
      </c>
      <c r="S46" s="8" t="s">
        <v>132</v>
      </c>
      <c r="T46" s="8" t="s">
        <v>133</v>
      </c>
      <c r="U46" s="8" t="s">
        <v>93</v>
      </c>
      <c r="V46" s="8" t="s">
        <v>22</v>
      </c>
      <c r="W46" s="8" t="s">
        <v>176</v>
      </c>
      <c r="X46" s="8" t="s">
        <v>177</v>
      </c>
      <c r="Y46" s="8" t="s">
        <v>95</v>
      </c>
      <c r="Z46" s="8" t="s">
        <v>189</v>
      </c>
      <c r="AA46" s="8" t="b">
        <v>0</v>
      </c>
      <c r="AC46" s="8">
        <v>0</v>
      </c>
      <c r="AD46" s="8">
        <v>128</v>
      </c>
      <c r="AI46" s="8" t="s">
        <v>179</v>
      </c>
      <c r="AJ46" s="8" t="s">
        <v>88</v>
      </c>
      <c r="AK46" s="8" t="s">
        <v>287</v>
      </c>
      <c r="AL46" s="8" t="s">
        <v>88</v>
      </c>
      <c r="AM46" s="8" t="s">
        <v>88</v>
      </c>
      <c r="AN46" s="8" t="s">
        <v>88</v>
      </c>
      <c r="AP46" s="8" t="s">
        <v>288</v>
      </c>
      <c r="AQ46" s="8" t="s">
        <v>100</v>
      </c>
      <c r="AR46" s="8" t="s">
        <v>101</v>
      </c>
      <c r="AS46" s="8" t="s">
        <v>120</v>
      </c>
      <c r="AT46" s="8" t="s">
        <v>103</v>
      </c>
      <c r="AU46" s="8" t="s">
        <v>103</v>
      </c>
      <c r="AX46" s="8" t="s">
        <v>104</v>
      </c>
      <c r="AY46" s="8" t="s">
        <v>121</v>
      </c>
      <c r="AZ46" s="8" t="s">
        <v>100</v>
      </c>
      <c r="BA46" s="8" t="s">
        <v>101</v>
      </c>
      <c r="BB46" s="8" t="s">
        <v>102</v>
      </c>
      <c r="BC46" s="8" t="s">
        <v>103</v>
      </c>
      <c r="BD46" s="8" t="s">
        <v>103</v>
      </c>
      <c r="BF46" s="8" t="s">
        <v>107</v>
      </c>
      <c r="BG46" s="8">
        <v>16700</v>
      </c>
      <c r="BH46" s="8" t="s">
        <v>122</v>
      </c>
      <c r="BO46" s="8">
        <v>12</v>
      </c>
      <c r="BR46" s="8" t="s">
        <v>100</v>
      </c>
      <c r="BS46" s="8" t="s">
        <v>182</v>
      </c>
      <c r="BT46" s="8" t="s">
        <v>183</v>
      </c>
      <c r="BU46" s="8" t="s">
        <v>106</v>
      </c>
      <c r="BV46" s="8" t="s">
        <v>123</v>
      </c>
      <c r="BW46" s="8" t="s">
        <v>110</v>
      </c>
    </row>
    <row r="47" spans="1:75" s="8" customFormat="1" x14ac:dyDescent="0.35">
      <c r="A47" s="8" t="s">
        <v>284</v>
      </c>
      <c r="B47" s="9">
        <v>45990</v>
      </c>
      <c r="C47" s="10">
        <v>0.77892361111111119</v>
      </c>
      <c r="D47" s="8" t="s">
        <v>170</v>
      </c>
      <c r="E47" s="8" t="s">
        <v>171</v>
      </c>
      <c r="F47" s="11" t="s">
        <v>172</v>
      </c>
      <c r="G47" s="8">
        <f>COUNTIF($F$2:$F$350,F47)</f>
        <v>213</v>
      </c>
      <c r="H47" s="8" t="s">
        <v>115</v>
      </c>
      <c r="I47" s="8" t="s">
        <v>82</v>
      </c>
      <c r="J47" s="8" t="s">
        <v>83</v>
      </c>
      <c r="K47" s="8" t="s">
        <v>84</v>
      </c>
      <c r="M47" s="8" t="s">
        <v>85</v>
      </c>
      <c r="N47" s="8" t="s">
        <v>116</v>
      </c>
      <c r="O47" s="8" t="s">
        <v>87</v>
      </c>
      <c r="P47" s="8" t="s">
        <v>173</v>
      </c>
      <c r="Q47" s="8" t="s">
        <v>185</v>
      </c>
      <c r="R47" s="8" t="s">
        <v>186</v>
      </c>
      <c r="S47" s="8" t="s">
        <v>187</v>
      </c>
      <c r="T47" s="8" t="s">
        <v>188</v>
      </c>
      <c r="U47" s="8" t="s">
        <v>93</v>
      </c>
      <c r="V47" s="8" t="s">
        <v>22</v>
      </c>
      <c r="W47" s="8" t="s">
        <v>176</v>
      </c>
      <c r="X47" s="8" t="s">
        <v>177</v>
      </c>
      <c r="Y47" s="8" t="s">
        <v>95</v>
      </c>
      <c r="Z47" s="8" t="s">
        <v>189</v>
      </c>
      <c r="AA47" s="8" t="b">
        <v>0</v>
      </c>
      <c r="AC47" s="8">
        <v>0</v>
      </c>
      <c r="AD47" s="8">
        <v>80</v>
      </c>
      <c r="AI47" s="8" t="s">
        <v>179</v>
      </c>
      <c r="AJ47" s="8" t="s">
        <v>88</v>
      </c>
      <c r="AK47" s="8" t="s">
        <v>289</v>
      </c>
      <c r="AL47" s="8" t="s">
        <v>88</v>
      </c>
      <c r="AM47" s="8" t="s">
        <v>88</v>
      </c>
      <c r="AN47" s="8" t="s">
        <v>88</v>
      </c>
      <c r="AP47" s="8" t="s">
        <v>290</v>
      </c>
      <c r="AQ47" s="8" t="s">
        <v>100</v>
      </c>
      <c r="AR47" s="8" t="s">
        <v>101</v>
      </c>
      <c r="AS47" s="8" t="s">
        <v>120</v>
      </c>
      <c r="AT47" s="8" t="s">
        <v>103</v>
      </c>
      <c r="AU47" s="8" t="s">
        <v>103</v>
      </c>
      <c r="AX47" s="8" t="s">
        <v>104</v>
      </c>
      <c r="AY47" s="8" t="s">
        <v>121</v>
      </c>
      <c r="AZ47" s="8" t="s">
        <v>100</v>
      </c>
      <c r="BA47" s="8" t="s">
        <v>101</v>
      </c>
      <c r="BB47" s="8" t="s">
        <v>102</v>
      </c>
      <c r="BC47" s="8" t="s">
        <v>103</v>
      </c>
      <c r="BD47" s="8" t="s">
        <v>103</v>
      </c>
      <c r="BF47" s="8" t="s">
        <v>107</v>
      </c>
      <c r="BG47" s="8">
        <v>16700</v>
      </c>
      <c r="BH47" s="8" t="s">
        <v>122</v>
      </c>
      <c r="BO47" s="8">
        <v>12</v>
      </c>
      <c r="BR47" s="8" t="s">
        <v>100</v>
      </c>
      <c r="BS47" s="8" t="s">
        <v>182</v>
      </c>
      <c r="BT47" s="8" t="s">
        <v>183</v>
      </c>
      <c r="BU47" s="8" t="s">
        <v>106</v>
      </c>
      <c r="BV47" s="8" t="s">
        <v>123</v>
      </c>
      <c r="BW47" s="8" t="s">
        <v>110</v>
      </c>
    </row>
    <row r="48" spans="1:75" s="8" customFormat="1" x14ac:dyDescent="0.35">
      <c r="A48" s="8" t="s">
        <v>291</v>
      </c>
      <c r="B48" s="9">
        <v>45990</v>
      </c>
      <c r="C48" s="10">
        <v>0.7787384259259259</v>
      </c>
      <c r="D48" s="8" t="s">
        <v>170</v>
      </c>
      <c r="E48" s="8" t="s">
        <v>171</v>
      </c>
      <c r="F48" s="11" t="s">
        <v>172</v>
      </c>
      <c r="G48" s="8">
        <f>COUNTIF($F$2:$F$350,F48)</f>
        <v>213</v>
      </c>
      <c r="H48" s="8" t="s">
        <v>115</v>
      </c>
      <c r="I48" s="8" t="s">
        <v>82</v>
      </c>
      <c r="J48" s="8" t="s">
        <v>83</v>
      </c>
      <c r="K48" s="8" t="s">
        <v>84</v>
      </c>
      <c r="M48" s="8" t="s">
        <v>85</v>
      </c>
      <c r="N48" s="8" t="s">
        <v>116</v>
      </c>
      <c r="O48" s="8" t="s">
        <v>87</v>
      </c>
      <c r="P48" s="8" t="s">
        <v>173</v>
      </c>
      <c r="Q48" s="8" t="s">
        <v>185</v>
      </c>
      <c r="R48" s="8" t="s">
        <v>186</v>
      </c>
      <c r="S48" s="8" t="s">
        <v>132</v>
      </c>
      <c r="T48" s="8" t="s">
        <v>133</v>
      </c>
      <c r="U48" s="8" t="s">
        <v>93</v>
      </c>
      <c r="V48" s="8" t="s">
        <v>22</v>
      </c>
      <c r="W48" s="8" t="s">
        <v>176</v>
      </c>
      <c r="X48" s="8" t="s">
        <v>177</v>
      </c>
      <c r="Y48" s="8" t="s">
        <v>95</v>
      </c>
      <c r="Z48" s="8" t="s">
        <v>189</v>
      </c>
      <c r="AA48" s="8" t="b">
        <v>0</v>
      </c>
      <c r="AC48" s="8">
        <v>0</v>
      </c>
      <c r="AD48" s="8">
        <v>116</v>
      </c>
      <c r="AI48" s="8" t="s">
        <v>179</v>
      </c>
      <c r="AJ48" s="8" t="s">
        <v>88</v>
      </c>
      <c r="AK48" s="8" t="s">
        <v>292</v>
      </c>
      <c r="AL48" s="8" t="s">
        <v>88</v>
      </c>
      <c r="AM48" s="8" t="s">
        <v>88</v>
      </c>
      <c r="AN48" s="8" t="s">
        <v>88</v>
      </c>
      <c r="AP48" s="8" t="s">
        <v>293</v>
      </c>
      <c r="AQ48" s="8" t="s">
        <v>100</v>
      </c>
      <c r="AR48" s="8" t="s">
        <v>101</v>
      </c>
      <c r="AS48" s="8" t="s">
        <v>120</v>
      </c>
      <c r="AT48" s="8" t="s">
        <v>103</v>
      </c>
      <c r="AU48" s="8" t="s">
        <v>103</v>
      </c>
      <c r="AX48" s="8" t="s">
        <v>104</v>
      </c>
      <c r="AY48" s="8" t="s">
        <v>121</v>
      </c>
      <c r="AZ48" s="8" t="s">
        <v>100</v>
      </c>
      <c r="BA48" s="8" t="s">
        <v>101</v>
      </c>
      <c r="BB48" s="8" t="s">
        <v>102</v>
      </c>
      <c r="BC48" s="8" t="s">
        <v>103</v>
      </c>
      <c r="BD48" s="8" t="s">
        <v>103</v>
      </c>
      <c r="BF48" s="8" t="s">
        <v>107</v>
      </c>
      <c r="BG48" s="8">
        <v>16700</v>
      </c>
      <c r="BH48" s="8" t="s">
        <v>122</v>
      </c>
      <c r="BO48" s="8">
        <v>12</v>
      </c>
      <c r="BR48" s="8" t="s">
        <v>100</v>
      </c>
      <c r="BS48" s="8" t="s">
        <v>182</v>
      </c>
      <c r="BT48" s="8" t="s">
        <v>183</v>
      </c>
      <c r="BU48" s="8" t="s">
        <v>106</v>
      </c>
      <c r="BV48" s="8" t="s">
        <v>123</v>
      </c>
      <c r="BW48" s="8" t="s">
        <v>110</v>
      </c>
    </row>
    <row r="49" spans="1:75" s="8" customFormat="1" x14ac:dyDescent="0.35">
      <c r="A49" s="8" t="s">
        <v>291</v>
      </c>
      <c r="B49" s="9">
        <v>45990</v>
      </c>
      <c r="C49" s="10">
        <v>0.7787384259259259</v>
      </c>
      <c r="D49" s="8" t="s">
        <v>170</v>
      </c>
      <c r="E49" s="8" t="s">
        <v>171</v>
      </c>
      <c r="F49" s="11" t="s">
        <v>172</v>
      </c>
      <c r="G49" s="8">
        <f>COUNTIF($F$2:$F$350,F49)</f>
        <v>213</v>
      </c>
      <c r="H49" s="8" t="s">
        <v>115</v>
      </c>
      <c r="I49" s="8" t="s">
        <v>82</v>
      </c>
      <c r="J49" s="8" t="s">
        <v>83</v>
      </c>
      <c r="K49" s="8" t="s">
        <v>84</v>
      </c>
      <c r="M49" s="8" t="s">
        <v>85</v>
      </c>
      <c r="N49" s="8" t="s">
        <v>116</v>
      </c>
      <c r="O49" s="8" t="s">
        <v>87</v>
      </c>
      <c r="P49" s="8" t="s">
        <v>173</v>
      </c>
      <c r="Q49" s="8" t="s">
        <v>185</v>
      </c>
      <c r="R49" s="8" t="s">
        <v>186</v>
      </c>
      <c r="S49" s="8" t="s">
        <v>187</v>
      </c>
      <c r="T49" s="8" t="s">
        <v>188</v>
      </c>
      <c r="U49" s="8" t="s">
        <v>93</v>
      </c>
      <c r="V49" s="8" t="s">
        <v>22</v>
      </c>
      <c r="W49" s="8" t="s">
        <v>176</v>
      </c>
      <c r="X49" s="8" t="s">
        <v>177</v>
      </c>
      <c r="Y49" s="8" t="s">
        <v>95</v>
      </c>
      <c r="Z49" s="8" t="s">
        <v>189</v>
      </c>
      <c r="AA49" s="8" t="b">
        <v>0</v>
      </c>
      <c r="AC49" s="8">
        <v>0</v>
      </c>
      <c r="AD49" s="8">
        <v>167</v>
      </c>
      <c r="AI49" s="8" t="s">
        <v>179</v>
      </c>
      <c r="AJ49" s="8" t="s">
        <v>88</v>
      </c>
      <c r="AK49" s="8" t="s">
        <v>294</v>
      </c>
      <c r="AL49" s="8" t="s">
        <v>88</v>
      </c>
      <c r="AM49" s="8" t="s">
        <v>88</v>
      </c>
      <c r="AN49" s="8" t="s">
        <v>88</v>
      </c>
      <c r="AP49" s="8" t="s">
        <v>295</v>
      </c>
      <c r="AQ49" s="8" t="s">
        <v>100</v>
      </c>
      <c r="AR49" s="8" t="s">
        <v>101</v>
      </c>
      <c r="AS49" s="8" t="s">
        <v>120</v>
      </c>
      <c r="AT49" s="8" t="s">
        <v>103</v>
      </c>
      <c r="AU49" s="8" t="s">
        <v>103</v>
      </c>
      <c r="AX49" s="8" t="s">
        <v>104</v>
      </c>
      <c r="AY49" s="8" t="s">
        <v>121</v>
      </c>
      <c r="AZ49" s="8" t="s">
        <v>100</v>
      </c>
      <c r="BA49" s="8" t="s">
        <v>101</v>
      </c>
      <c r="BB49" s="8" t="s">
        <v>102</v>
      </c>
      <c r="BC49" s="8" t="s">
        <v>103</v>
      </c>
      <c r="BD49" s="8" t="s">
        <v>103</v>
      </c>
      <c r="BF49" s="8" t="s">
        <v>107</v>
      </c>
      <c r="BG49" s="8">
        <v>16700</v>
      </c>
      <c r="BH49" s="8" t="s">
        <v>122</v>
      </c>
      <c r="BO49" s="8">
        <v>12</v>
      </c>
      <c r="BR49" s="8" t="s">
        <v>100</v>
      </c>
      <c r="BS49" s="8" t="s">
        <v>182</v>
      </c>
      <c r="BT49" s="8" t="s">
        <v>183</v>
      </c>
      <c r="BU49" s="8" t="s">
        <v>106</v>
      </c>
      <c r="BV49" s="8" t="s">
        <v>123</v>
      </c>
      <c r="BW49" s="8" t="s">
        <v>110</v>
      </c>
    </row>
    <row r="50" spans="1:75" s="8" customFormat="1" x14ac:dyDescent="0.35">
      <c r="A50" s="8" t="s">
        <v>291</v>
      </c>
      <c r="B50" s="9">
        <v>45990</v>
      </c>
      <c r="C50" s="10">
        <v>0.7787384259259259</v>
      </c>
      <c r="D50" s="8" t="s">
        <v>170</v>
      </c>
      <c r="E50" s="8" t="s">
        <v>171</v>
      </c>
      <c r="F50" s="11" t="s">
        <v>172</v>
      </c>
      <c r="G50" s="8">
        <f>COUNTIF($F$2:$F$350,F50)</f>
        <v>213</v>
      </c>
      <c r="H50" s="8" t="s">
        <v>115</v>
      </c>
      <c r="I50" s="8" t="s">
        <v>82</v>
      </c>
      <c r="J50" s="8" t="s">
        <v>83</v>
      </c>
      <c r="K50" s="8" t="s">
        <v>84</v>
      </c>
      <c r="M50" s="8" t="s">
        <v>85</v>
      </c>
      <c r="N50" s="8" t="s">
        <v>116</v>
      </c>
      <c r="O50" s="8" t="s">
        <v>87</v>
      </c>
      <c r="P50" s="8" t="s">
        <v>173</v>
      </c>
      <c r="Q50" s="8" t="s">
        <v>185</v>
      </c>
      <c r="R50" s="8" t="s">
        <v>186</v>
      </c>
      <c r="S50" s="8" t="s">
        <v>132</v>
      </c>
      <c r="T50" s="8" t="s">
        <v>133</v>
      </c>
      <c r="U50" s="8" t="s">
        <v>93</v>
      </c>
      <c r="V50" s="8" t="s">
        <v>22</v>
      </c>
      <c r="W50" s="8" t="s">
        <v>176</v>
      </c>
      <c r="X50" s="8" t="s">
        <v>177</v>
      </c>
      <c r="Y50" s="8" t="s">
        <v>95</v>
      </c>
      <c r="Z50" s="8" t="s">
        <v>189</v>
      </c>
      <c r="AA50" s="8" t="b">
        <v>0</v>
      </c>
      <c r="AC50" s="8">
        <v>0</v>
      </c>
      <c r="AD50" s="8">
        <v>85</v>
      </c>
      <c r="AI50" s="8" t="s">
        <v>179</v>
      </c>
      <c r="AJ50" s="8" t="s">
        <v>88</v>
      </c>
      <c r="AK50" s="8" t="s">
        <v>296</v>
      </c>
      <c r="AL50" s="8" t="s">
        <v>88</v>
      </c>
      <c r="AM50" s="8" t="s">
        <v>88</v>
      </c>
      <c r="AN50" s="8" t="s">
        <v>88</v>
      </c>
      <c r="AP50" s="8" t="s">
        <v>297</v>
      </c>
      <c r="AQ50" s="8" t="s">
        <v>100</v>
      </c>
      <c r="AR50" s="8" t="s">
        <v>101</v>
      </c>
      <c r="AS50" s="8" t="s">
        <v>120</v>
      </c>
      <c r="AT50" s="8" t="s">
        <v>103</v>
      </c>
      <c r="AU50" s="8" t="s">
        <v>103</v>
      </c>
      <c r="AX50" s="8" t="s">
        <v>104</v>
      </c>
      <c r="AY50" s="8" t="s">
        <v>121</v>
      </c>
      <c r="AZ50" s="8" t="s">
        <v>100</v>
      </c>
      <c r="BA50" s="8" t="s">
        <v>101</v>
      </c>
      <c r="BB50" s="8" t="s">
        <v>102</v>
      </c>
      <c r="BC50" s="8" t="s">
        <v>103</v>
      </c>
      <c r="BD50" s="8" t="s">
        <v>103</v>
      </c>
      <c r="BF50" s="8" t="s">
        <v>107</v>
      </c>
      <c r="BG50" s="8">
        <v>16700</v>
      </c>
      <c r="BH50" s="8" t="s">
        <v>122</v>
      </c>
      <c r="BO50" s="8">
        <v>12</v>
      </c>
      <c r="BR50" s="8" t="s">
        <v>100</v>
      </c>
      <c r="BS50" s="8" t="s">
        <v>182</v>
      </c>
      <c r="BT50" s="8" t="s">
        <v>183</v>
      </c>
      <c r="BU50" s="8" t="s">
        <v>106</v>
      </c>
      <c r="BV50" s="8" t="s">
        <v>123</v>
      </c>
      <c r="BW50" s="8" t="s">
        <v>110</v>
      </c>
    </row>
    <row r="51" spans="1:75" s="8" customFormat="1" x14ac:dyDescent="0.35">
      <c r="A51" s="8" t="s">
        <v>298</v>
      </c>
      <c r="B51" s="9">
        <v>45990</v>
      </c>
      <c r="C51" s="10">
        <v>0.77290509259259255</v>
      </c>
      <c r="D51" s="8" t="s">
        <v>170</v>
      </c>
      <c r="E51" s="8" t="s">
        <v>171</v>
      </c>
      <c r="F51" s="11" t="s">
        <v>172</v>
      </c>
      <c r="G51" s="8">
        <f>COUNTIF($F$2:$F$350,F51)</f>
        <v>213</v>
      </c>
      <c r="H51" s="8" t="s">
        <v>115</v>
      </c>
      <c r="I51" s="8" t="s">
        <v>82</v>
      </c>
      <c r="J51" s="8" t="s">
        <v>83</v>
      </c>
      <c r="K51" s="8" t="s">
        <v>84</v>
      </c>
      <c r="M51" s="8" t="s">
        <v>85</v>
      </c>
      <c r="N51" s="8" t="s">
        <v>116</v>
      </c>
      <c r="O51" s="8" t="s">
        <v>87</v>
      </c>
      <c r="P51" s="8" t="s">
        <v>173</v>
      </c>
      <c r="Q51" s="8" t="s">
        <v>185</v>
      </c>
      <c r="R51" s="8" t="s">
        <v>186</v>
      </c>
      <c r="S51" s="8" t="s">
        <v>187</v>
      </c>
      <c r="T51" s="8" t="s">
        <v>188</v>
      </c>
      <c r="U51" s="8" t="s">
        <v>93</v>
      </c>
      <c r="V51" s="8" t="s">
        <v>22</v>
      </c>
      <c r="W51" s="8" t="s">
        <v>176</v>
      </c>
      <c r="X51" s="8" t="s">
        <v>177</v>
      </c>
      <c r="Y51" s="8" t="s">
        <v>95</v>
      </c>
      <c r="Z51" s="8" t="s">
        <v>189</v>
      </c>
      <c r="AA51" s="8" t="b">
        <v>0</v>
      </c>
      <c r="AC51" s="8">
        <v>0</v>
      </c>
      <c r="AD51" s="8">
        <v>111</v>
      </c>
      <c r="AI51" s="8" t="s">
        <v>179</v>
      </c>
      <c r="AJ51" s="8" t="s">
        <v>88</v>
      </c>
      <c r="AK51" s="8" t="s">
        <v>299</v>
      </c>
      <c r="AL51" s="8" t="s">
        <v>88</v>
      </c>
      <c r="AM51" s="8" t="s">
        <v>88</v>
      </c>
      <c r="AN51" s="8" t="s">
        <v>88</v>
      </c>
      <c r="AP51" s="8" t="s">
        <v>300</v>
      </c>
      <c r="AQ51" s="8" t="s">
        <v>100</v>
      </c>
      <c r="AR51" s="8" t="s">
        <v>101</v>
      </c>
      <c r="AS51" s="8" t="s">
        <v>120</v>
      </c>
      <c r="AT51" s="8" t="s">
        <v>103</v>
      </c>
      <c r="AU51" s="8" t="s">
        <v>103</v>
      </c>
      <c r="AX51" s="8" t="s">
        <v>104</v>
      </c>
      <c r="AY51" s="8" t="s">
        <v>121</v>
      </c>
      <c r="AZ51" s="8" t="s">
        <v>100</v>
      </c>
      <c r="BA51" s="8" t="s">
        <v>101</v>
      </c>
      <c r="BB51" s="8" t="s">
        <v>102</v>
      </c>
      <c r="BC51" s="8" t="s">
        <v>103</v>
      </c>
      <c r="BD51" s="8" t="s">
        <v>103</v>
      </c>
      <c r="BF51" s="8" t="s">
        <v>107</v>
      </c>
      <c r="BG51" s="8">
        <v>16700</v>
      </c>
      <c r="BH51" s="8" t="s">
        <v>122</v>
      </c>
      <c r="BO51" s="8">
        <v>12</v>
      </c>
      <c r="BR51" s="8" t="s">
        <v>100</v>
      </c>
      <c r="BS51" s="8" t="s">
        <v>182</v>
      </c>
      <c r="BT51" s="8" t="s">
        <v>183</v>
      </c>
      <c r="BU51" s="8" t="s">
        <v>106</v>
      </c>
      <c r="BV51" s="8" t="s">
        <v>123</v>
      </c>
      <c r="BW51" s="8" t="s">
        <v>110</v>
      </c>
    </row>
    <row r="52" spans="1:75" s="8" customFormat="1" x14ac:dyDescent="0.35">
      <c r="A52" s="8" t="s">
        <v>298</v>
      </c>
      <c r="B52" s="9">
        <v>45990</v>
      </c>
      <c r="C52" s="10">
        <v>0.77290509259259255</v>
      </c>
      <c r="D52" s="8" t="s">
        <v>170</v>
      </c>
      <c r="E52" s="8" t="s">
        <v>171</v>
      </c>
      <c r="F52" s="11" t="s">
        <v>172</v>
      </c>
      <c r="G52" s="8">
        <f>COUNTIF($F$2:$F$350,F52)</f>
        <v>213</v>
      </c>
      <c r="H52" s="8" t="s">
        <v>115</v>
      </c>
      <c r="I52" s="8" t="s">
        <v>82</v>
      </c>
      <c r="J52" s="8" t="s">
        <v>83</v>
      </c>
      <c r="K52" s="8" t="s">
        <v>84</v>
      </c>
      <c r="M52" s="8" t="s">
        <v>85</v>
      </c>
      <c r="N52" s="8" t="s">
        <v>116</v>
      </c>
      <c r="O52" s="8" t="s">
        <v>87</v>
      </c>
      <c r="P52" s="8" t="s">
        <v>173</v>
      </c>
      <c r="Q52" s="8" t="s">
        <v>185</v>
      </c>
      <c r="R52" s="8" t="s">
        <v>186</v>
      </c>
      <c r="S52" s="8" t="s">
        <v>132</v>
      </c>
      <c r="T52" s="8" t="s">
        <v>133</v>
      </c>
      <c r="U52" s="8" t="s">
        <v>93</v>
      </c>
      <c r="V52" s="8" t="s">
        <v>22</v>
      </c>
      <c r="W52" s="8" t="s">
        <v>176</v>
      </c>
      <c r="X52" s="8" t="s">
        <v>177</v>
      </c>
      <c r="Y52" s="8" t="s">
        <v>95</v>
      </c>
      <c r="Z52" s="8" t="s">
        <v>189</v>
      </c>
      <c r="AA52" s="8" t="b">
        <v>0</v>
      </c>
      <c r="AC52" s="8">
        <v>0</v>
      </c>
      <c r="AD52" s="8">
        <v>117</v>
      </c>
      <c r="AI52" s="8" t="s">
        <v>179</v>
      </c>
      <c r="AJ52" s="8" t="s">
        <v>88</v>
      </c>
      <c r="AK52" s="8" t="s">
        <v>301</v>
      </c>
      <c r="AL52" s="8" t="s">
        <v>88</v>
      </c>
      <c r="AM52" s="8" t="s">
        <v>88</v>
      </c>
      <c r="AN52" s="8" t="s">
        <v>88</v>
      </c>
      <c r="AP52" s="8" t="s">
        <v>302</v>
      </c>
      <c r="AQ52" s="8" t="s">
        <v>100</v>
      </c>
      <c r="AR52" s="8" t="s">
        <v>101</v>
      </c>
      <c r="AS52" s="8" t="s">
        <v>120</v>
      </c>
      <c r="AT52" s="8" t="s">
        <v>103</v>
      </c>
      <c r="AU52" s="8" t="s">
        <v>103</v>
      </c>
      <c r="AX52" s="8" t="s">
        <v>104</v>
      </c>
      <c r="AY52" s="8" t="s">
        <v>121</v>
      </c>
      <c r="AZ52" s="8" t="s">
        <v>100</v>
      </c>
      <c r="BA52" s="8" t="s">
        <v>101</v>
      </c>
      <c r="BB52" s="8" t="s">
        <v>102</v>
      </c>
      <c r="BC52" s="8" t="s">
        <v>103</v>
      </c>
      <c r="BD52" s="8" t="s">
        <v>103</v>
      </c>
      <c r="BF52" s="8" t="s">
        <v>107</v>
      </c>
      <c r="BG52" s="8">
        <v>16700</v>
      </c>
      <c r="BH52" s="8" t="s">
        <v>122</v>
      </c>
      <c r="BO52" s="8">
        <v>12</v>
      </c>
      <c r="BR52" s="8" t="s">
        <v>100</v>
      </c>
      <c r="BS52" s="8" t="s">
        <v>182</v>
      </c>
      <c r="BT52" s="8" t="s">
        <v>183</v>
      </c>
      <c r="BU52" s="8" t="s">
        <v>106</v>
      </c>
      <c r="BV52" s="8" t="s">
        <v>123</v>
      </c>
      <c r="BW52" s="8" t="s">
        <v>110</v>
      </c>
    </row>
    <row r="53" spans="1:75" s="8" customFormat="1" x14ac:dyDescent="0.35">
      <c r="A53" s="8" t="s">
        <v>298</v>
      </c>
      <c r="B53" s="9">
        <v>45990</v>
      </c>
      <c r="C53" s="10">
        <v>0.77290509259259255</v>
      </c>
      <c r="D53" s="8" t="s">
        <v>170</v>
      </c>
      <c r="E53" s="8" t="s">
        <v>171</v>
      </c>
      <c r="F53" s="11" t="s">
        <v>172</v>
      </c>
      <c r="G53" s="8">
        <f>COUNTIF($F$2:$F$350,F53)</f>
        <v>213</v>
      </c>
      <c r="H53" s="8" t="s">
        <v>115</v>
      </c>
      <c r="I53" s="8" t="s">
        <v>82</v>
      </c>
      <c r="J53" s="8" t="s">
        <v>83</v>
      </c>
      <c r="K53" s="8" t="s">
        <v>84</v>
      </c>
      <c r="M53" s="8" t="s">
        <v>85</v>
      </c>
      <c r="N53" s="8" t="s">
        <v>116</v>
      </c>
      <c r="O53" s="8" t="s">
        <v>87</v>
      </c>
      <c r="P53" s="8" t="s">
        <v>173</v>
      </c>
      <c r="Q53" s="8" t="s">
        <v>185</v>
      </c>
      <c r="R53" s="8" t="s">
        <v>186</v>
      </c>
      <c r="S53" s="8" t="s">
        <v>132</v>
      </c>
      <c r="T53" s="8" t="s">
        <v>133</v>
      </c>
      <c r="U53" s="8" t="s">
        <v>93</v>
      </c>
      <c r="V53" s="8" t="s">
        <v>22</v>
      </c>
      <c r="W53" s="8" t="s">
        <v>176</v>
      </c>
      <c r="X53" s="8" t="s">
        <v>177</v>
      </c>
      <c r="Y53" s="8" t="s">
        <v>95</v>
      </c>
      <c r="Z53" s="8" t="s">
        <v>189</v>
      </c>
      <c r="AA53" s="8" t="b">
        <v>0</v>
      </c>
      <c r="AC53" s="8">
        <v>0</v>
      </c>
      <c r="AD53" s="8">
        <v>112</v>
      </c>
      <c r="AI53" s="8" t="s">
        <v>179</v>
      </c>
      <c r="AJ53" s="8" t="s">
        <v>88</v>
      </c>
      <c r="AK53" s="8" t="s">
        <v>303</v>
      </c>
      <c r="AL53" s="8" t="s">
        <v>88</v>
      </c>
      <c r="AM53" s="8" t="s">
        <v>88</v>
      </c>
      <c r="AN53" s="8" t="s">
        <v>88</v>
      </c>
      <c r="AP53" s="8" t="s">
        <v>304</v>
      </c>
      <c r="AQ53" s="8" t="s">
        <v>100</v>
      </c>
      <c r="AR53" s="8" t="s">
        <v>101</v>
      </c>
      <c r="AS53" s="8" t="s">
        <v>120</v>
      </c>
      <c r="AT53" s="8" t="s">
        <v>103</v>
      </c>
      <c r="AU53" s="8" t="s">
        <v>103</v>
      </c>
      <c r="AX53" s="8" t="s">
        <v>104</v>
      </c>
      <c r="AY53" s="8" t="s">
        <v>121</v>
      </c>
      <c r="AZ53" s="8" t="s">
        <v>100</v>
      </c>
      <c r="BA53" s="8" t="s">
        <v>101</v>
      </c>
      <c r="BB53" s="8" t="s">
        <v>102</v>
      </c>
      <c r="BC53" s="8" t="s">
        <v>103</v>
      </c>
      <c r="BD53" s="8" t="s">
        <v>103</v>
      </c>
      <c r="BF53" s="8" t="s">
        <v>107</v>
      </c>
      <c r="BG53" s="8">
        <v>16700</v>
      </c>
      <c r="BH53" s="8" t="s">
        <v>122</v>
      </c>
      <c r="BO53" s="8">
        <v>12</v>
      </c>
      <c r="BR53" s="8" t="s">
        <v>100</v>
      </c>
      <c r="BS53" s="8" t="s">
        <v>182</v>
      </c>
      <c r="BT53" s="8" t="s">
        <v>183</v>
      </c>
      <c r="BU53" s="8" t="s">
        <v>106</v>
      </c>
      <c r="BV53" s="8" t="s">
        <v>123</v>
      </c>
      <c r="BW53" s="8" t="s">
        <v>110</v>
      </c>
    </row>
    <row r="54" spans="1:75" s="8" customFormat="1" x14ac:dyDescent="0.35">
      <c r="A54" s="8" t="s">
        <v>305</v>
      </c>
      <c r="B54" s="9">
        <v>45990</v>
      </c>
      <c r="C54" s="10">
        <v>0.77101851851851855</v>
      </c>
      <c r="D54" s="8" t="s">
        <v>209</v>
      </c>
      <c r="E54" s="8" t="s">
        <v>210</v>
      </c>
      <c r="F54" s="11" t="s">
        <v>172</v>
      </c>
      <c r="G54" s="8">
        <f>COUNTIF($F$2:$F$350,F54)</f>
        <v>213</v>
      </c>
      <c r="H54" s="8" t="s">
        <v>115</v>
      </c>
      <c r="I54" s="8" t="s">
        <v>82</v>
      </c>
      <c r="J54" s="8" t="s">
        <v>83</v>
      </c>
      <c r="K54" s="8" t="s">
        <v>84</v>
      </c>
      <c r="M54" s="8" t="s">
        <v>85</v>
      </c>
      <c r="N54" s="8" t="s">
        <v>86</v>
      </c>
      <c r="O54" s="8" t="s">
        <v>87</v>
      </c>
      <c r="P54" s="8" t="s">
        <v>88</v>
      </c>
      <c r="Q54" s="8" t="s">
        <v>89</v>
      </c>
      <c r="R54" s="8" t="s">
        <v>90</v>
      </c>
      <c r="S54" s="8" t="s">
        <v>91</v>
      </c>
      <c r="T54" s="8" t="s">
        <v>92</v>
      </c>
      <c r="U54" s="8" t="s">
        <v>93</v>
      </c>
      <c r="V54" s="8" t="s">
        <v>22</v>
      </c>
      <c r="X54" s="8" t="s">
        <v>177</v>
      </c>
      <c r="Y54" s="8" t="s">
        <v>95</v>
      </c>
      <c r="Z54" s="8" t="s">
        <v>189</v>
      </c>
      <c r="AA54" s="8" t="b">
        <v>0</v>
      </c>
      <c r="AC54" s="8">
        <v>0</v>
      </c>
      <c r="AD54" s="8">
        <v>107</v>
      </c>
      <c r="AI54" s="8" t="s">
        <v>213</v>
      </c>
      <c r="AJ54" s="8" t="s">
        <v>88</v>
      </c>
      <c r="AK54" s="8" t="s">
        <v>306</v>
      </c>
      <c r="AL54" s="8" t="s">
        <v>88</v>
      </c>
      <c r="AM54" s="8" t="s">
        <v>88</v>
      </c>
      <c r="AN54" s="8" t="s">
        <v>88</v>
      </c>
      <c r="AO54" s="8">
        <v>1002</v>
      </c>
      <c r="AP54" s="8" t="s">
        <v>307</v>
      </c>
      <c r="AQ54" s="8" t="s">
        <v>100</v>
      </c>
      <c r="AR54" s="8" t="s">
        <v>101</v>
      </c>
      <c r="AS54" s="8" t="s">
        <v>120</v>
      </c>
      <c r="AT54" s="8" t="s">
        <v>103</v>
      </c>
      <c r="AU54" s="8" t="s">
        <v>103</v>
      </c>
      <c r="AX54" s="8" t="s">
        <v>104</v>
      </c>
      <c r="AY54" s="8" t="s">
        <v>121</v>
      </c>
      <c r="AZ54" s="8" t="s">
        <v>100</v>
      </c>
      <c r="BA54" s="8" t="s">
        <v>101</v>
      </c>
      <c r="BB54" s="8" t="s">
        <v>102</v>
      </c>
      <c r="BC54" s="8" t="s">
        <v>103</v>
      </c>
      <c r="BD54" s="8" t="s">
        <v>103</v>
      </c>
      <c r="BF54" s="8" t="s">
        <v>107</v>
      </c>
      <c r="BG54" s="8">
        <v>16700</v>
      </c>
      <c r="BH54" s="8" t="s">
        <v>122</v>
      </c>
      <c r="BO54" s="8">
        <v>12</v>
      </c>
      <c r="BR54" s="8" t="s">
        <v>100</v>
      </c>
      <c r="BS54" s="8" t="s">
        <v>182</v>
      </c>
      <c r="BT54" s="8" t="s">
        <v>183</v>
      </c>
      <c r="BU54" s="8" t="s">
        <v>106</v>
      </c>
      <c r="BV54" s="8" t="s">
        <v>123</v>
      </c>
      <c r="BW54" s="8" t="s">
        <v>110</v>
      </c>
    </row>
    <row r="55" spans="1:75" s="8" customFormat="1" x14ac:dyDescent="0.35">
      <c r="A55" s="8" t="s">
        <v>308</v>
      </c>
      <c r="B55" s="9">
        <v>45990</v>
      </c>
      <c r="C55" s="10">
        <v>0.77078703703703699</v>
      </c>
      <c r="D55" s="8" t="s">
        <v>170</v>
      </c>
      <c r="E55" s="8" t="s">
        <v>171</v>
      </c>
      <c r="F55" s="11" t="s">
        <v>172</v>
      </c>
      <c r="G55" s="8">
        <f>COUNTIF($F$2:$F$350,F55)</f>
        <v>213</v>
      </c>
      <c r="H55" s="8" t="s">
        <v>115</v>
      </c>
      <c r="I55" s="8" t="s">
        <v>82</v>
      </c>
      <c r="J55" s="8" t="s">
        <v>83</v>
      </c>
      <c r="K55" s="8" t="s">
        <v>84</v>
      </c>
      <c r="M55" s="8" t="s">
        <v>85</v>
      </c>
      <c r="N55" s="8" t="s">
        <v>116</v>
      </c>
      <c r="O55" s="8" t="s">
        <v>87</v>
      </c>
      <c r="P55" s="8" t="s">
        <v>173</v>
      </c>
      <c r="Q55" s="8" t="s">
        <v>185</v>
      </c>
      <c r="R55" s="8" t="s">
        <v>186</v>
      </c>
      <c r="S55" s="8" t="s">
        <v>132</v>
      </c>
      <c r="T55" s="8" t="s">
        <v>133</v>
      </c>
      <c r="U55" s="8" t="s">
        <v>93</v>
      </c>
      <c r="V55" s="8" t="s">
        <v>22</v>
      </c>
      <c r="W55" s="8" t="s">
        <v>176</v>
      </c>
      <c r="X55" s="8" t="s">
        <v>177</v>
      </c>
      <c r="Y55" s="8" t="s">
        <v>95</v>
      </c>
      <c r="Z55" s="8" t="s">
        <v>189</v>
      </c>
      <c r="AA55" s="8" t="b">
        <v>0</v>
      </c>
      <c r="AC55" s="8">
        <v>0</v>
      </c>
      <c r="AD55" s="8">
        <v>161</v>
      </c>
      <c r="AI55" s="8" t="s">
        <v>179</v>
      </c>
      <c r="AJ55" s="8" t="s">
        <v>88</v>
      </c>
      <c r="AK55" s="8" t="s">
        <v>309</v>
      </c>
      <c r="AL55" s="8" t="s">
        <v>88</v>
      </c>
      <c r="AM55" s="8" t="s">
        <v>88</v>
      </c>
      <c r="AN55" s="8" t="s">
        <v>88</v>
      </c>
      <c r="AP55" s="8" t="s">
        <v>310</v>
      </c>
      <c r="AQ55" s="8" t="s">
        <v>100</v>
      </c>
      <c r="AR55" s="8" t="s">
        <v>101</v>
      </c>
      <c r="AS55" s="8" t="s">
        <v>120</v>
      </c>
      <c r="AT55" s="8" t="s">
        <v>103</v>
      </c>
      <c r="AU55" s="8" t="s">
        <v>103</v>
      </c>
      <c r="AX55" s="8" t="s">
        <v>104</v>
      </c>
      <c r="AY55" s="8" t="s">
        <v>121</v>
      </c>
      <c r="AZ55" s="8" t="s">
        <v>100</v>
      </c>
      <c r="BA55" s="8" t="s">
        <v>101</v>
      </c>
      <c r="BB55" s="8" t="s">
        <v>102</v>
      </c>
      <c r="BC55" s="8" t="s">
        <v>103</v>
      </c>
      <c r="BD55" s="8" t="s">
        <v>103</v>
      </c>
      <c r="BF55" s="8" t="s">
        <v>107</v>
      </c>
      <c r="BG55" s="8">
        <v>16700</v>
      </c>
      <c r="BH55" s="8" t="s">
        <v>122</v>
      </c>
      <c r="BO55" s="8">
        <v>12</v>
      </c>
      <c r="BR55" s="8" t="s">
        <v>100</v>
      </c>
      <c r="BS55" s="8" t="s">
        <v>182</v>
      </c>
      <c r="BT55" s="8" t="s">
        <v>183</v>
      </c>
      <c r="BU55" s="8" t="s">
        <v>106</v>
      </c>
      <c r="BV55" s="8" t="s">
        <v>123</v>
      </c>
      <c r="BW55" s="8" t="s">
        <v>110</v>
      </c>
    </row>
    <row r="56" spans="1:75" s="8" customFormat="1" x14ac:dyDescent="0.35">
      <c r="A56" s="8" t="s">
        <v>308</v>
      </c>
      <c r="B56" s="9">
        <v>45990</v>
      </c>
      <c r="C56" s="10">
        <v>0.77078703703703699</v>
      </c>
      <c r="D56" s="8" t="s">
        <v>170</v>
      </c>
      <c r="E56" s="8" t="s">
        <v>171</v>
      </c>
      <c r="F56" s="11" t="s">
        <v>172</v>
      </c>
      <c r="G56" s="8">
        <f>COUNTIF($F$2:$F$350,F56)</f>
        <v>213</v>
      </c>
      <c r="H56" s="8" t="s">
        <v>115</v>
      </c>
      <c r="I56" s="8" t="s">
        <v>82</v>
      </c>
      <c r="J56" s="8" t="s">
        <v>83</v>
      </c>
      <c r="K56" s="8" t="s">
        <v>84</v>
      </c>
      <c r="M56" s="8" t="s">
        <v>85</v>
      </c>
      <c r="N56" s="8" t="s">
        <v>116</v>
      </c>
      <c r="O56" s="8" t="s">
        <v>87</v>
      </c>
      <c r="P56" s="8" t="s">
        <v>173</v>
      </c>
      <c r="Q56" s="8" t="s">
        <v>185</v>
      </c>
      <c r="R56" s="8" t="s">
        <v>186</v>
      </c>
      <c r="S56" s="8" t="s">
        <v>132</v>
      </c>
      <c r="T56" s="8" t="s">
        <v>133</v>
      </c>
      <c r="U56" s="8" t="s">
        <v>93</v>
      </c>
      <c r="V56" s="8" t="s">
        <v>22</v>
      </c>
      <c r="W56" s="8" t="s">
        <v>176</v>
      </c>
      <c r="X56" s="8" t="s">
        <v>177</v>
      </c>
      <c r="Y56" s="8" t="s">
        <v>95</v>
      </c>
      <c r="Z56" s="8" t="s">
        <v>189</v>
      </c>
      <c r="AA56" s="8" t="b">
        <v>0</v>
      </c>
      <c r="AC56" s="8">
        <v>0</v>
      </c>
      <c r="AD56" s="8">
        <v>157</v>
      </c>
      <c r="AI56" s="8" t="s">
        <v>179</v>
      </c>
      <c r="AJ56" s="8" t="s">
        <v>88</v>
      </c>
      <c r="AK56" s="8" t="s">
        <v>311</v>
      </c>
      <c r="AL56" s="8" t="s">
        <v>88</v>
      </c>
      <c r="AM56" s="8" t="s">
        <v>88</v>
      </c>
      <c r="AN56" s="8" t="s">
        <v>88</v>
      </c>
      <c r="AP56" s="8" t="s">
        <v>312</v>
      </c>
      <c r="AQ56" s="8" t="s">
        <v>100</v>
      </c>
      <c r="AR56" s="8" t="s">
        <v>101</v>
      </c>
      <c r="AS56" s="8" t="s">
        <v>120</v>
      </c>
      <c r="AT56" s="8" t="s">
        <v>103</v>
      </c>
      <c r="AU56" s="8" t="s">
        <v>103</v>
      </c>
      <c r="AX56" s="8" t="s">
        <v>104</v>
      </c>
      <c r="AY56" s="8" t="s">
        <v>121</v>
      </c>
      <c r="AZ56" s="8" t="s">
        <v>100</v>
      </c>
      <c r="BA56" s="8" t="s">
        <v>101</v>
      </c>
      <c r="BB56" s="8" t="s">
        <v>102</v>
      </c>
      <c r="BC56" s="8" t="s">
        <v>103</v>
      </c>
      <c r="BD56" s="8" t="s">
        <v>103</v>
      </c>
      <c r="BF56" s="8" t="s">
        <v>107</v>
      </c>
      <c r="BG56" s="8">
        <v>16700</v>
      </c>
      <c r="BH56" s="8" t="s">
        <v>122</v>
      </c>
      <c r="BO56" s="8">
        <v>12</v>
      </c>
      <c r="BR56" s="8" t="s">
        <v>100</v>
      </c>
      <c r="BS56" s="8" t="s">
        <v>182</v>
      </c>
      <c r="BT56" s="8" t="s">
        <v>183</v>
      </c>
      <c r="BU56" s="8" t="s">
        <v>106</v>
      </c>
      <c r="BV56" s="8" t="s">
        <v>123</v>
      </c>
      <c r="BW56" s="8" t="s">
        <v>110</v>
      </c>
    </row>
    <row r="57" spans="1:75" s="8" customFormat="1" x14ac:dyDescent="0.35">
      <c r="A57" s="8" t="s">
        <v>308</v>
      </c>
      <c r="B57" s="9">
        <v>45990</v>
      </c>
      <c r="C57" s="10">
        <v>0.77078703703703699</v>
      </c>
      <c r="D57" s="8" t="s">
        <v>170</v>
      </c>
      <c r="E57" s="8" t="s">
        <v>171</v>
      </c>
      <c r="F57" s="11" t="s">
        <v>172</v>
      </c>
      <c r="G57" s="8">
        <f>COUNTIF($F$2:$F$350,F57)</f>
        <v>213</v>
      </c>
      <c r="H57" s="8" t="s">
        <v>115</v>
      </c>
      <c r="I57" s="8" t="s">
        <v>82</v>
      </c>
      <c r="J57" s="8" t="s">
        <v>83</v>
      </c>
      <c r="K57" s="8" t="s">
        <v>84</v>
      </c>
      <c r="M57" s="8" t="s">
        <v>85</v>
      </c>
      <c r="N57" s="8" t="s">
        <v>116</v>
      </c>
      <c r="O57" s="8" t="s">
        <v>87</v>
      </c>
      <c r="P57" s="8" t="s">
        <v>173</v>
      </c>
      <c r="Q57" s="8" t="s">
        <v>185</v>
      </c>
      <c r="R57" s="8" t="s">
        <v>186</v>
      </c>
      <c r="S57" s="8" t="s">
        <v>187</v>
      </c>
      <c r="T57" s="8" t="s">
        <v>188</v>
      </c>
      <c r="U57" s="8" t="s">
        <v>93</v>
      </c>
      <c r="V57" s="8" t="s">
        <v>22</v>
      </c>
      <c r="W57" s="8" t="s">
        <v>176</v>
      </c>
      <c r="X57" s="8" t="s">
        <v>177</v>
      </c>
      <c r="Y57" s="8" t="s">
        <v>95</v>
      </c>
      <c r="Z57" s="8" t="s">
        <v>189</v>
      </c>
      <c r="AA57" s="8" t="b">
        <v>0</v>
      </c>
      <c r="AC57" s="8">
        <v>0</v>
      </c>
      <c r="AD57" s="8">
        <v>59</v>
      </c>
      <c r="AI57" s="8" t="s">
        <v>179</v>
      </c>
      <c r="AJ57" s="8" t="s">
        <v>88</v>
      </c>
      <c r="AK57" s="8" t="s">
        <v>313</v>
      </c>
      <c r="AL57" s="8" t="s">
        <v>88</v>
      </c>
      <c r="AM57" s="8" t="s">
        <v>88</v>
      </c>
      <c r="AN57" s="8" t="s">
        <v>88</v>
      </c>
      <c r="AP57" s="8" t="s">
        <v>314</v>
      </c>
      <c r="AQ57" s="8" t="s">
        <v>100</v>
      </c>
      <c r="AR57" s="8" t="s">
        <v>101</v>
      </c>
      <c r="AS57" s="8" t="s">
        <v>120</v>
      </c>
      <c r="AT57" s="8" t="s">
        <v>103</v>
      </c>
      <c r="AU57" s="8" t="s">
        <v>103</v>
      </c>
      <c r="AX57" s="8" t="s">
        <v>104</v>
      </c>
      <c r="AY57" s="8" t="s">
        <v>121</v>
      </c>
      <c r="AZ57" s="8" t="s">
        <v>100</v>
      </c>
      <c r="BA57" s="8" t="s">
        <v>101</v>
      </c>
      <c r="BB57" s="8" t="s">
        <v>102</v>
      </c>
      <c r="BC57" s="8" t="s">
        <v>103</v>
      </c>
      <c r="BD57" s="8" t="s">
        <v>103</v>
      </c>
      <c r="BF57" s="8" t="s">
        <v>107</v>
      </c>
      <c r="BG57" s="8">
        <v>16700</v>
      </c>
      <c r="BH57" s="8" t="s">
        <v>122</v>
      </c>
      <c r="BO57" s="8">
        <v>12</v>
      </c>
      <c r="BR57" s="8" t="s">
        <v>100</v>
      </c>
      <c r="BS57" s="8" t="s">
        <v>182</v>
      </c>
      <c r="BT57" s="8" t="s">
        <v>183</v>
      </c>
      <c r="BU57" s="8" t="s">
        <v>106</v>
      </c>
      <c r="BV57" s="8" t="s">
        <v>123</v>
      </c>
      <c r="BW57" s="8" t="s">
        <v>110</v>
      </c>
    </row>
    <row r="58" spans="1:75" s="8" customFormat="1" x14ac:dyDescent="0.35">
      <c r="A58" s="8" t="s">
        <v>315</v>
      </c>
      <c r="B58" s="9">
        <v>45990</v>
      </c>
      <c r="C58" s="10">
        <v>0.77057870370370374</v>
      </c>
      <c r="D58" s="8" t="s">
        <v>220</v>
      </c>
      <c r="E58" s="8" t="s">
        <v>221</v>
      </c>
      <c r="F58" s="11" t="s">
        <v>172</v>
      </c>
      <c r="G58" s="8">
        <f>COUNTIF($F$2:$F$350,F58)</f>
        <v>213</v>
      </c>
      <c r="H58" s="8" t="s">
        <v>115</v>
      </c>
      <c r="I58" s="8" t="s">
        <v>82</v>
      </c>
      <c r="J58" s="8" t="s">
        <v>83</v>
      </c>
      <c r="K58" s="8" t="s">
        <v>84</v>
      </c>
      <c r="M58" s="8" t="s">
        <v>85</v>
      </c>
      <c r="N58" s="8" t="s">
        <v>86</v>
      </c>
      <c r="O58" s="8" t="s">
        <v>87</v>
      </c>
      <c r="P58" s="8" t="s">
        <v>88</v>
      </c>
      <c r="Q58" s="8" t="s">
        <v>185</v>
      </c>
      <c r="R58" s="8" t="s">
        <v>186</v>
      </c>
      <c r="S58" s="8" t="s">
        <v>132</v>
      </c>
      <c r="T58" s="8" t="s">
        <v>133</v>
      </c>
      <c r="U58" s="8" t="s">
        <v>93</v>
      </c>
      <c r="V58" s="8" t="s">
        <v>22</v>
      </c>
      <c r="X58" s="8" t="s">
        <v>177</v>
      </c>
      <c r="Y58" s="8" t="s">
        <v>95</v>
      </c>
      <c r="Z58" s="8" t="s">
        <v>189</v>
      </c>
      <c r="AA58" s="8" t="b">
        <v>0</v>
      </c>
      <c r="AC58" s="8">
        <v>0</v>
      </c>
      <c r="AD58" s="8">
        <v>77</v>
      </c>
      <c r="AI58" s="8" t="s">
        <v>223</v>
      </c>
      <c r="AJ58" s="8" t="s">
        <v>88</v>
      </c>
      <c r="AK58" s="8" t="s">
        <v>316</v>
      </c>
      <c r="AL58" s="8" t="s">
        <v>88</v>
      </c>
      <c r="AM58" s="8" t="s">
        <v>88</v>
      </c>
      <c r="AN58" s="8" t="s">
        <v>88</v>
      </c>
      <c r="AO58" s="8">
        <v>1002</v>
      </c>
      <c r="AP58" s="8" t="s">
        <v>317</v>
      </c>
      <c r="AQ58" s="8" t="s">
        <v>100</v>
      </c>
      <c r="AR58" s="8" t="s">
        <v>101</v>
      </c>
      <c r="AS58" s="8" t="s">
        <v>120</v>
      </c>
      <c r="AT58" s="8" t="s">
        <v>103</v>
      </c>
      <c r="AU58" s="8" t="s">
        <v>103</v>
      </c>
      <c r="AX58" s="8" t="s">
        <v>104</v>
      </c>
      <c r="AY58" s="8" t="s">
        <v>121</v>
      </c>
      <c r="AZ58" s="8" t="s">
        <v>100</v>
      </c>
      <c r="BA58" s="8" t="s">
        <v>101</v>
      </c>
      <c r="BB58" s="8" t="s">
        <v>102</v>
      </c>
      <c r="BC58" s="8" t="s">
        <v>103</v>
      </c>
      <c r="BD58" s="8" t="s">
        <v>103</v>
      </c>
      <c r="BF58" s="8" t="s">
        <v>107</v>
      </c>
      <c r="BG58" s="8">
        <v>16700</v>
      </c>
      <c r="BH58" s="8" t="s">
        <v>122</v>
      </c>
      <c r="BO58" s="8">
        <v>12</v>
      </c>
      <c r="BR58" s="8" t="s">
        <v>100</v>
      </c>
      <c r="BS58" s="8" t="s">
        <v>182</v>
      </c>
      <c r="BT58" s="8" t="s">
        <v>183</v>
      </c>
      <c r="BU58" s="8" t="s">
        <v>106</v>
      </c>
      <c r="BV58" s="8" t="s">
        <v>123</v>
      </c>
      <c r="BW58" s="8" t="s">
        <v>110</v>
      </c>
    </row>
    <row r="59" spans="1:75" s="8" customFormat="1" x14ac:dyDescent="0.35">
      <c r="A59" s="8" t="s">
        <v>315</v>
      </c>
      <c r="B59" s="9">
        <v>45990</v>
      </c>
      <c r="C59" s="10">
        <v>0.77057870370370374</v>
      </c>
      <c r="D59" s="8" t="s">
        <v>220</v>
      </c>
      <c r="E59" s="8" t="s">
        <v>221</v>
      </c>
      <c r="F59" s="11" t="s">
        <v>172</v>
      </c>
      <c r="G59" s="8">
        <f>COUNTIF($F$2:$F$350,F59)</f>
        <v>213</v>
      </c>
      <c r="H59" s="8" t="s">
        <v>115</v>
      </c>
      <c r="I59" s="8" t="s">
        <v>82</v>
      </c>
      <c r="J59" s="8" t="s">
        <v>83</v>
      </c>
      <c r="K59" s="8" t="s">
        <v>84</v>
      </c>
      <c r="M59" s="8" t="s">
        <v>85</v>
      </c>
      <c r="N59" s="8" t="s">
        <v>86</v>
      </c>
      <c r="O59" s="8" t="s">
        <v>87</v>
      </c>
      <c r="P59" s="8" t="s">
        <v>88</v>
      </c>
      <c r="Q59" s="8" t="s">
        <v>185</v>
      </c>
      <c r="R59" s="8" t="s">
        <v>186</v>
      </c>
      <c r="S59" s="8" t="s">
        <v>132</v>
      </c>
      <c r="T59" s="8" t="s">
        <v>133</v>
      </c>
      <c r="U59" s="8" t="s">
        <v>93</v>
      </c>
      <c r="V59" s="8" t="s">
        <v>22</v>
      </c>
      <c r="X59" s="8" t="s">
        <v>177</v>
      </c>
      <c r="Y59" s="8" t="s">
        <v>95</v>
      </c>
      <c r="Z59" s="8" t="s">
        <v>189</v>
      </c>
      <c r="AA59" s="8" t="b">
        <v>0</v>
      </c>
      <c r="AC59" s="8">
        <v>0</v>
      </c>
      <c r="AD59" s="8">
        <v>67</v>
      </c>
      <c r="AI59" s="8" t="s">
        <v>223</v>
      </c>
      <c r="AJ59" s="8" t="s">
        <v>88</v>
      </c>
      <c r="AK59" s="8" t="s">
        <v>318</v>
      </c>
      <c r="AL59" s="8" t="s">
        <v>88</v>
      </c>
      <c r="AM59" s="8" t="s">
        <v>88</v>
      </c>
      <c r="AN59" s="8" t="s">
        <v>88</v>
      </c>
      <c r="AO59" s="8">
        <v>1002</v>
      </c>
      <c r="AP59" s="8" t="s">
        <v>319</v>
      </c>
      <c r="AQ59" s="8" t="s">
        <v>100</v>
      </c>
      <c r="AR59" s="8" t="s">
        <v>101</v>
      </c>
      <c r="AS59" s="8" t="s">
        <v>120</v>
      </c>
      <c r="AT59" s="8" t="s">
        <v>103</v>
      </c>
      <c r="AU59" s="8" t="s">
        <v>103</v>
      </c>
      <c r="AX59" s="8" t="s">
        <v>104</v>
      </c>
      <c r="AY59" s="8" t="s">
        <v>121</v>
      </c>
      <c r="AZ59" s="8" t="s">
        <v>100</v>
      </c>
      <c r="BA59" s="8" t="s">
        <v>101</v>
      </c>
      <c r="BB59" s="8" t="s">
        <v>102</v>
      </c>
      <c r="BC59" s="8" t="s">
        <v>103</v>
      </c>
      <c r="BD59" s="8" t="s">
        <v>103</v>
      </c>
      <c r="BF59" s="8" t="s">
        <v>107</v>
      </c>
      <c r="BG59" s="8">
        <v>16700</v>
      </c>
      <c r="BH59" s="8" t="s">
        <v>122</v>
      </c>
      <c r="BO59" s="8">
        <v>12</v>
      </c>
      <c r="BR59" s="8" t="s">
        <v>100</v>
      </c>
      <c r="BS59" s="8" t="s">
        <v>182</v>
      </c>
      <c r="BT59" s="8" t="s">
        <v>183</v>
      </c>
      <c r="BU59" s="8" t="s">
        <v>106</v>
      </c>
      <c r="BV59" s="8" t="s">
        <v>123</v>
      </c>
      <c r="BW59" s="8" t="s">
        <v>110</v>
      </c>
    </row>
    <row r="60" spans="1:75" s="8" customFormat="1" x14ac:dyDescent="0.35">
      <c r="A60" s="8" t="s">
        <v>315</v>
      </c>
      <c r="B60" s="9">
        <v>45990</v>
      </c>
      <c r="C60" s="10">
        <v>0.77057870370370374</v>
      </c>
      <c r="D60" s="8" t="s">
        <v>220</v>
      </c>
      <c r="E60" s="8" t="s">
        <v>221</v>
      </c>
      <c r="F60" s="11" t="s">
        <v>172</v>
      </c>
      <c r="G60" s="8">
        <f>COUNTIF($F$2:$F$350,F60)</f>
        <v>213</v>
      </c>
      <c r="H60" s="8" t="s">
        <v>115</v>
      </c>
      <c r="I60" s="8" t="s">
        <v>82</v>
      </c>
      <c r="J60" s="8" t="s">
        <v>83</v>
      </c>
      <c r="K60" s="8" t="s">
        <v>84</v>
      </c>
      <c r="M60" s="8" t="s">
        <v>85</v>
      </c>
      <c r="N60" s="8" t="s">
        <v>86</v>
      </c>
      <c r="O60" s="8" t="s">
        <v>87</v>
      </c>
      <c r="P60" s="8" t="s">
        <v>88</v>
      </c>
      <c r="Q60" s="8" t="s">
        <v>185</v>
      </c>
      <c r="R60" s="8" t="s">
        <v>186</v>
      </c>
      <c r="S60" s="8" t="s">
        <v>187</v>
      </c>
      <c r="T60" s="8" t="s">
        <v>188</v>
      </c>
      <c r="U60" s="8" t="s">
        <v>93</v>
      </c>
      <c r="V60" s="8" t="s">
        <v>22</v>
      </c>
      <c r="X60" s="8" t="s">
        <v>177</v>
      </c>
      <c r="Y60" s="8" t="s">
        <v>95</v>
      </c>
      <c r="Z60" s="8" t="s">
        <v>189</v>
      </c>
      <c r="AA60" s="8" t="b">
        <v>0</v>
      </c>
      <c r="AC60" s="8">
        <v>0</v>
      </c>
      <c r="AD60" s="8">
        <v>57</v>
      </c>
      <c r="AI60" s="8" t="s">
        <v>223</v>
      </c>
      <c r="AJ60" s="8" t="s">
        <v>88</v>
      </c>
      <c r="AK60" s="8" t="s">
        <v>320</v>
      </c>
      <c r="AL60" s="8" t="s">
        <v>88</v>
      </c>
      <c r="AM60" s="8" t="s">
        <v>88</v>
      </c>
      <c r="AN60" s="8" t="s">
        <v>88</v>
      </c>
      <c r="AO60" s="8">
        <v>1002</v>
      </c>
      <c r="AP60" s="8" t="s">
        <v>321</v>
      </c>
      <c r="AQ60" s="8" t="s">
        <v>100</v>
      </c>
      <c r="AR60" s="8" t="s">
        <v>101</v>
      </c>
      <c r="AS60" s="8" t="s">
        <v>120</v>
      </c>
      <c r="AT60" s="8" t="s">
        <v>103</v>
      </c>
      <c r="AU60" s="8" t="s">
        <v>103</v>
      </c>
      <c r="AX60" s="8" t="s">
        <v>104</v>
      </c>
      <c r="AY60" s="8" t="s">
        <v>121</v>
      </c>
      <c r="AZ60" s="8" t="s">
        <v>100</v>
      </c>
      <c r="BA60" s="8" t="s">
        <v>101</v>
      </c>
      <c r="BB60" s="8" t="s">
        <v>102</v>
      </c>
      <c r="BC60" s="8" t="s">
        <v>103</v>
      </c>
      <c r="BD60" s="8" t="s">
        <v>103</v>
      </c>
      <c r="BF60" s="8" t="s">
        <v>107</v>
      </c>
      <c r="BG60" s="8">
        <v>16700</v>
      </c>
      <c r="BH60" s="8" t="s">
        <v>122</v>
      </c>
      <c r="BO60" s="8">
        <v>12</v>
      </c>
      <c r="BR60" s="8" t="s">
        <v>100</v>
      </c>
      <c r="BS60" s="8" t="s">
        <v>182</v>
      </c>
      <c r="BT60" s="8" t="s">
        <v>183</v>
      </c>
      <c r="BU60" s="8" t="s">
        <v>106</v>
      </c>
      <c r="BV60" s="8" t="s">
        <v>123</v>
      </c>
      <c r="BW60" s="8" t="s">
        <v>110</v>
      </c>
    </row>
    <row r="61" spans="1:75" s="8" customFormat="1" x14ac:dyDescent="0.35">
      <c r="A61" s="8" t="s">
        <v>322</v>
      </c>
      <c r="B61" s="9">
        <v>45990</v>
      </c>
      <c r="C61" s="10">
        <v>0.77056712962962959</v>
      </c>
      <c r="D61" s="8" t="s">
        <v>220</v>
      </c>
      <c r="E61" s="8" t="s">
        <v>221</v>
      </c>
      <c r="F61" s="11" t="s">
        <v>172</v>
      </c>
      <c r="G61" s="8">
        <f>COUNTIF($F$2:$F$350,F61)</f>
        <v>213</v>
      </c>
      <c r="H61" s="8" t="s">
        <v>115</v>
      </c>
      <c r="I61" s="8" t="s">
        <v>82</v>
      </c>
      <c r="J61" s="8" t="s">
        <v>83</v>
      </c>
      <c r="K61" s="8" t="s">
        <v>84</v>
      </c>
      <c r="M61" s="8" t="s">
        <v>85</v>
      </c>
      <c r="N61" s="8" t="s">
        <v>86</v>
      </c>
      <c r="O61" s="8" t="s">
        <v>87</v>
      </c>
      <c r="P61" s="8" t="s">
        <v>88</v>
      </c>
      <c r="Q61" s="8" t="s">
        <v>323</v>
      </c>
      <c r="R61" s="8" t="s">
        <v>324</v>
      </c>
      <c r="S61" s="8" t="s">
        <v>132</v>
      </c>
      <c r="T61" s="8" t="s">
        <v>133</v>
      </c>
      <c r="U61" s="8" t="s">
        <v>93</v>
      </c>
      <c r="V61" s="8" t="s">
        <v>22</v>
      </c>
      <c r="X61" s="8" t="s">
        <v>177</v>
      </c>
      <c r="Y61" s="8" t="s">
        <v>95</v>
      </c>
      <c r="Z61" s="8" t="s">
        <v>189</v>
      </c>
      <c r="AA61" s="8" t="b">
        <v>0</v>
      </c>
      <c r="AC61" s="8">
        <v>0</v>
      </c>
      <c r="AD61" s="8">
        <v>119</v>
      </c>
      <c r="AI61" s="8" t="s">
        <v>223</v>
      </c>
      <c r="AJ61" s="8" t="s">
        <v>88</v>
      </c>
      <c r="AK61" s="8" t="s">
        <v>325</v>
      </c>
      <c r="AL61" s="8" t="s">
        <v>88</v>
      </c>
      <c r="AM61" s="8" t="s">
        <v>88</v>
      </c>
      <c r="AN61" s="8" t="s">
        <v>88</v>
      </c>
      <c r="AO61" s="8">
        <v>1002</v>
      </c>
      <c r="AP61" s="8" t="s">
        <v>326</v>
      </c>
      <c r="AQ61" s="8" t="s">
        <v>100</v>
      </c>
      <c r="AR61" s="8" t="s">
        <v>101</v>
      </c>
      <c r="AS61" s="8" t="s">
        <v>120</v>
      </c>
      <c r="AT61" s="8" t="s">
        <v>103</v>
      </c>
      <c r="AU61" s="8" t="s">
        <v>103</v>
      </c>
      <c r="AX61" s="8" t="s">
        <v>104</v>
      </c>
      <c r="AY61" s="8" t="s">
        <v>121</v>
      </c>
      <c r="AZ61" s="8" t="s">
        <v>100</v>
      </c>
      <c r="BA61" s="8" t="s">
        <v>101</v>
      </c>
      <c r="BB61" s="8" t="s">
        <v>102</v>
      </c>
      <c r="BC61" s="8" t="s">
        <v>103</v>
      </c>
      <c r="BD61" s="8" t="s">
        <v>103</v>
      </c>
      <c r="BF61" s="8" t="s">
        <v>107</v>
      </c>
      <c r="BG61" s="8">
        <v>16700</v>
      </c>
      <c r="BH61" s="8" t="s">
        <v>122</v>
      </c>
      <c r="BO61" s="8">
        <v>12</v>
      </c>
      <c r="BR61" s="8" t="s">
        <v>100</v>
      </c>
      <c r="BS61" s="8" t="s">
        <v>182</v>
      </c>
      <c r="BT61" s="8" t="s">
        <v>183</v>
      </c>
      <c r="BU61" s="8" t="s">
        <v>106</v>
      </c>
      <c r="BV61" s="8" t="s">
        <v>123</v>
      </c>
      <c r="BW61" s="8" t="s">
        <v>110</v>
      </c>
    </row>
    <row r="62" spans="1:75" s="8" customFormat="1" x14ac:dyDescent="0.35">
      <c r="A62" s="8" t="s">
        <v>327</v>
      </c>
      <c r="B62" s="9">
        <v>45990</v>
      </c>
      <c r="C62" s="10">
        <v>0.77050925925925917</v>
      </c>
      <c r="D62" s="8" t="s">
        <v>220</v>
      </c>
      <c r="E62" s="8" t="s">
        <v>221</v>
      </c>
      <c r="F62" s="11" t="s">
        <v>172</v>
      </c>
      <c r="G62" s="8">
        <f>COUNTIF($F$2:$F$350,F62)</f>
        <v>213</v>
      </c>
      <c r="H62" s="8" t="s">
        <v>115</v>
      </c>
      <c r="I62" s="8" t="s">
        <v>82</v>
      </c>
      <c r="J62" s="8" t="s">
        <v>83</v>
      </c>
      <c r="K62" s="8" t="s">
        <v>84</v>
      </c>
      <c r="M62" s="8" t="s">
        <v>85</v>
      </c>
      <c r="N62" s="8" t="s">
        <v>86</v>
      </c>
      <c r="O62" s="8" t="s">
        <v>87</v>
      </c>
      <c r="P62" s="8" t="s">
        <v>88</v>
      </c>
      <c r="Q62" s="8" t="s">
        <v>328</v>
      </c>
      <c r="R62" s="8" t="s">
        <v>329</v>
      </c>
      <c r="S62" s="8" t="s">
        <v>328</v>
      </c>
      <c r="T62" s="8" t="s">
        <v>329</v>
      </c>
      <c r="U62" s="8" t="s">
        <v>93</v>
      </c>
      <c r="V62" s="8" t="s">
        <v>22</v>
      </c>
      <c r="X62" s="8" t="s">
        <v>177</v>
      </c>
      <c r="Y62" s="8" t="s">
        <v>95</v>
      </c>
      <c r="Z62" s="8" t="s">
        <v>222</v>
      </c>
      <c r="AA62" s="8" t="b">
        <v>0</v>
      </c>
      <c r="AC62" s="8">
        <v>0</v>
      </c>
      <c r="AD62" s="8">
        <v>99</v>
      </c>
      <c r="AI62" s="8" t="s">
        <v>223</v>
      </c>
      <c r="AJ62" s="8" t="s">
        <v>88</v>
      </c>
      <c r="AK62" s="8" t="s">
        <v>330</v>
      </c>
      <c r="AL62" s="8" t="s">
        <v>88</v>
      </c>
      <c r="AM62" s="8" t="s">
        <v>88</v>
      </c>
      <c r="AN62" s="8" t="s">
        <v>88</v>
      </c>
      <c r="AO62" s="8">
        <v>1002</v>
      </c>
      <c r="AP62" s="8" t="s">
        <v>331</v>
      </c>
      <c r="AQ62" s="8" t="s">
        <v>100</v>
      </c>
      <c r="AR62" s="8" t="s">
        <v>101</v>
      </c>
      <c r="AS62" s="8" t="s">
        <v>120</v>
      </c>
      <c r="AT62" s="8" t="s">
        <v>103</v>
      </c>
      <c r="AU62" s="8" t="s">
        <v>103</v>
      </c>
      <c r="AX62" s="8" t="s">
        <v>104</v>
      </c>
      <c r="AY62" s="8" t="s">
        <v>121</v>
      </c>
      <c r="AZ62" s="8" t="s">
        <v>100</v>
      </c>
      <c r="BA62" s="8" t="s">
        <v>101</v>
      </c>
      <c r="BB62" s="8" t="s">
        <v>102</v>
      </c>
      <c r="BC62" s="8" t="s">
        <v>103</v>
      </c>
      <c r="BD62" s="8" t="s">
        <v>103</v>
      </c>
      <c r="BF62" s="8" t="s">
        <v>107</v>
      </c>
      <c r="BG62" s="8">
        <v>16700</v>
      </c>
      <c r="BH62" s="8" t="s">
        <v>122</v>
      </c>
      <c r="BO62" s="8">
        <v>12</v>
      </c>
      <c r="BR62" s="8" t="s">
        <v>100</v>
      </c>
      <c r="BS62" s="8" t="s">
        <v>182</v>
      </c>
      <c r="BT62" s="8" t="s">
        <v>183</v>
      </c>
      <c r="BU62" s="8" t="s">
        <v>106</v>
      </c>
      <c r="BV62" s="8" t="s">
        <v>123</v>
      </c>
      <c r="BW62" s="8" t="s">
        <v>110</v>
      </c>
    </row>
    <row r="63" spans="1:75" s="8" customFormat="1" x14ac:dyDescent="0.35">
      <c r="A63" s="8" t="s">
        <v>332</v>
      </c>
      <c r="B63" s="9">
        <v>45990</v>
      </c>
      <c r="C63" s="10">
        <v>0.77032407407407411</v>
      </c>
      <c r="D63" s="8" t="s">
        <v>220</v>
      </c>
      <c r="E63" s="8" t="s">
        <v>221</v>
      </c>
      <c r="F63" s="11" t="s">
        <v>172</v>
      </c>
      <c r="G63" s="8">
        <f>COUNTIF($F$2:$F$350,F63)</f>
        <v>213</v>
      </c>
      <c r="H63" s="8" t="s">
        <v>115</v>
      </c>
      <c r="I63" s="8" t="s">
        <v>82</v>
      </c>
      <c r="J63" s="8" t="s">
        <v>83</v>
      </c>
      <c r="K63" s="8" t="s">
        <v>84</v>
      </c>
      <c r="M63" s="8" t="s">
        <v>85</v>
      </c>
      <c r="N63" s="8" t="s">
        <v>86</v>
      </c>
      <c r="O63" s="8" t="s">
        <v>87</v>
      </c>
      <c r="P63" s="8" t="s">
        <v>88</v>
      </c>
      <c r="Q63" s="8" t="s">
        <v>89</v>
      </c>
      <c r="R63" s="8" t="s">
        <v>90</v>
      </c>
      <c r="S63" s="8" t="s">
        <v>91</v>
      </c>
      <c r="T63" s="8" t="s">
        <v>92</v>
      </c>
      <c r="U63" s="8" t="s">
        <v>93</v>
      </c>
      <c r="V63" s="8" t="s">
        <v>22</v>
      </c>
      <c r="X63" s="8" t="s">
        <v>177</v>
      </c>
      <c r="Y63" s="8" t="s">
        <v>95</v>
      </c>
      <c r="Z63" s="8" t="s">
        <v>222</v>
      </c>
      <c r="AA63" s="8" t="b">
        <v>0</v>
      </c>
      <c r="AC63" s="8">
        <v>0</v>
      </c>
      <c r="AD63" s="8">
        <v>107</v>
      </c>
      <c r="AH63" s="8" t="s">
        <v>221</v>
      </c>
      <c r="AI63" s="8" t="s">
        <v>223</v>
      </c>
      <c r="AJ63" s="8" t="s">
        <v>88</v>
      </c>
      <c r="AK63" s="8" t="s">
        <v>333</v>
      </c>
      <c r="AL63" s="8" t="s">
        <v>88</v>
      </c>
      <c r="AM63" s="8" t="s">
        <v>88</v>
      </c>
      <c r="AN63" s="8" t="s">
        <v>88</v>
      </c>
      <c r="AO63" s="8">
        <v>1002</v>
      </c>
      <c r="AP63" s="8" t="s">
        <v>334</v>
      </c>
      <c r="AQ63" s="8" t="s">
        <v>100</v>
      </c>
      <c r="AR63" s="8" t="s">
        <v>101</v>
      </c>
      <c r="AS63" s="8" t="s">
        <v>120</v>
      </c>
      <c r="AT63" s="8" t="s">
        <v>103</v>
      </c>
      <c r="AU63" s="8" t="s">
        <v>103</v>
      </c>
      <c r="AX63" s="8" t="s">
        <v>104</v>
      </c>
      <c r="AY63" s="8" t="s">
        <v>121</v>
      </c>
      <c r="AZ63" s="8" t="s">
        <v>100</v>
      </c>
      <c r="BA63" s="8" t="s">
        <v>101</v>
      </c>
      <c r="BB63" s="8" t="s">
        <v>102</v>
      </c>
      <c r="BC63" s="8" t="s">
        <v>103</v>
      </c>
      <c r="BD63" s="8" t="s">
        <v>103</v>
      </c>
      <c r="BF63" s="8" t="s">
        <v>107</v>
      </c>
      <c r="BG63" s="8">
        <v>16700</v>
      </c>
      <c r="BH63" s="8" t="s">
        <v>122</v>
      </c>
      <c r="BO63" s="8">
        <v>12</v>
      </c>
      <c r="BR63" s="8" t="s">
        <v>100</v>
      </c>
      <c r="BS63" s="8" t="s">
        <v>182</v>
      </c>
      <c r="BT63" s="8" t="s">
        <v>183</v>
      </c>
      <c r="BU63" s="8" t="s">
        <v>106</v>
      </c>
      <c r="BV63" s="8" t="s">
        <v>123</v>
      </c>
      <c r="BW63" s="8" t="s">
        <v>110</v>
      </c>
    </row>
    <row r="64" spans="1:75" s="8" customFormat="1" x14ac:dyDescent="0.35">
      <c r="A64" s="8" t="s">
        <v>335</v>
      </c>
      <c r="B64" s="9">
        <v>45990</v>
      </c>
      <c r="C64" s="10">
        <v>0.76984953703703696</v>
      </c>
      <c r="D64" s="8" t="s">
        <v>220</v>
      </c>
      <c r="E64" s="8" t="s">
        <v>221</v>
      </c>
      <c r="F64" s="11" t="s">
        <v>172</v>
      </c>
      <c r="G64" s="8">
        <f>COUNTIF($F$2:$F$350,F64)</f>
        <v>213</v>
      </c>
      <c r="H64" s="8" t="s">
        <v>115</v>
      </c>
      <c r="I64" s="8" t="s">
        <v>82</v>
      </c>
      <c r="J64" s="8" t="s">
        <v>83</v>
      </c>
      <c r="K64" s="8" t="s">
        <v>165</v>
      </c>
      <c r="L64" s="8">
        <v>50140</v>
      </c>
      <c r="M64" s="8" t="s">
        <v>85</v>
      </c>
      <c r="N64" s="8" t="s">
        <v>86</v>
      </c>
      <c r="O64" s="8" t="s">
        <v>87</v>
      </c>
      <c r="P64" s="8" t="s">
        <v>88</v>
      </c>
      <c r="Q64" s="8" t="s">
        <v>89</v>
      </c>
      <c r="R64" s="8" t="s">
        <v>90</v>
      </c>
      <c r="S64" s="8" t="s">
        <v>91</v>
      </c>
      <c r="T64" s="8" t="s">
        <v>92</v>
      </c>
      <c r="U64" s="8" t="s">
        <v>166</v>
      </c>
      <c r="V64" s="8" t="s">
        <v>22</v>
      </c>
      <c r="X64" s="8" t="s">
        <v>177</v>
      </c>
      <c r="Y64" s="8" t="s">
        <v>95</v>
      </c>
      <c r="Z64" s="8" t="s">
        <v>222</v>
      </c>
      <c r="AA64" s="8" t="b">
        <v>0</v>
      </c>
      <c r="AC64" s="8">
        <v>0</v>
      </c>
      <c r="AD64" s="8">
        <v>89</v>
      </c>
      <c r="AE64" s="8" t="s">
        <v>167</v>
      </c>
      <c r="AH64" s="8" t="s">
        <v>221</v>
      </c>
      <c r="AI64" s="8" t="s">
        <v>223</v>
      </c>
      <c r="AJ64" s="8" t="s">
        <v>88</v>
      </c>
      <c r="AK64" s="8" t="s">
        <v>336</v>
      </c>
      <c r="AL64" s="8" t="s">
        <v>88</v>
      </c>
      <c r="AM64" s="8" t="s">
        <v>88</v>
      </c>
      <c r="AN64" s="8" t="s">
        <v>88</v>
      </c>
      <c r="AO64" s="8">
        <v>1002</v>
      </c>
      <c r="AP64" s="8" t="s">
        <v>334</v>
      </c>
      <c r="AQ64" s="8" t="s">
        <v>100</v>
      </c>
      <c r="AR64" s="8" t="s">
        <v>101</v>
      </c>
      <c r="AS64" s="8" t="s">
        <v>120</v>
      </c>
      <c r="AT64" s="8" t="s">
        <v>103</v>
      </c>
      <c r="AU64" s="8" t="s">
        <v>103</v>
      </c>
      <c r="AX64" s="8" t="s">
        <v>104</v>
      </c>
      <c r="AY64" s="8" t="s">
        <v>121</v>
      </c>
      <c r="AZ64" s="8" t="s">
        <v>100</v>
      </c>
      <c r="BA64" s="8" t="s">
        <v>101</v>
      </c>
      <c r="BB64" s="8" t="s">
        <v>102</v>
      </c>
      <c r="BC64" s="8" t="s">
        <v>103</v>
      </c>
      <c r="BD64" s="8" t="s">
        <v>103</v>
      </c>
      <c r="BF64" s="8" t="s">
        <v>107</v>
      </c>
      <c r="BG64" s="8">
        <v>16700</v>
      </c>
      <c r="BH64" s="8" t="s">
        <v>122</v>
      </c>
      <c r="BO64" s="8">
        <v>12</v>
      </c>
      <c r="BR64" s="8" t="s">
        <v>100</v>
      </c>
      <c r="BS64" s="8" t="s">
        <v>182</v>
      </c>
      <c r="BT64" s="8" t="s">
        <v>183</v>
      </c>
      <c r="BU64" s="8" t="s">
        <v>106</v>
      </c>
      <c r="BV64" s="8" t="s">
        <v>123</v>
      </c>
      <c r="BW64" s="8" t="s">
        <v>110</v>
      </c>
    </row>
    <row r="65" spans="1:75" s="8" customFormat="1" x14ac:dyDescent="0.35">
      <c r="A65" s="8" t="s">
        <v>337</v>
      </c>
      <c r="B65" s="9">
        <v>45990</v>
      </c>
      <c r="C65" s="10">
        <v>0.76960648148148147</v>
      </c>
      <c r="D65" s="8" t="s">
        <v>170</v>
      </c>
      <c r="E65" s="8" t="s">
        <v>171</v>
      </c>
      <c r="F65" s="11" t="s">
        <v>172</v>
      </c>
      <c r="G65" s="8">
        <f>COUNTIF($F$2:$F$350,F65)</f>
        <v>213</v>
      </c>
      <c r="H65" s="8" t="s">
        <v>115</v>
      </c>
      <c r="I65" s="8" t="s">
        <v>82</v>
      </c>
      <c r="J65" s="8" t="s">
        <v>83</v>
      </c>
      <c r="K65" s="8" t="s">
        <v>84</v>
      </c>
      <c r="M65" s="8" t="s">
        <v>85</v>
      </c>
      <c r="N65" s="8" t="s">
        <v>116</v>
      </c>
      <c r="O65" s="8" t="s">
        <v>87</v>
      </c>
      <c r="P65" s="8" t="s">
        <v>173</v>
      </c>
      <c r="Q65" s="8" t="s">
        <v>185</v>
      </c>
      <c r="R65" s="8" t="s">
        <v>186</v>
      </c>
      <c r="S65" s="8" t="s">
        <v>187</v>
      </c>
      <c r="T65" s="8" t="s">
        <v>188</v>
      </c>
      <c r="U65" s="8" t="s">
        <v>93</v>
      </c>
      <c r="V65" s="8" t="s">
        <v>22</v>
      </c>
      <c r="W65" s="8" t="s">
        <v>176</v>
      </c>
      <c r="X65" s="8" t="s">
        <v>177</v>
      </c>
      <c r="Y65" s="8" t="s">
        <v>95</v>
      </c>
      <c r="Z65" s="8" t="s">
        <v>189</v>
      </c>
      <c r="AA65" s="8" t="b">
        <v>0</v>
      </c>
      <c r="AC65" s="8">
        <v>0</v>
      </c>
      <c r="AD65" s="8">
        <v>66</v>
      </c>
      <c r="AI65" s="8" t="s">
        <v>179</v>
      </c>
      <c r="AJ65" s="8" t="s">
        <v>88</v>
      </c>
      <c r="AK65" s="8" t="s">
        <v>338</v>
      </c>
      <c r="AL65" s="8" t="s">
        <v>88</v>
      </c>
      <c r="AM65" s="8" t="s">
        <v>88</v>
      </c>
      <c r="AN65" s="8" t="s">
        <v>88</v>
      </c>
      <c r="AP65" s="8" t="s">
        <v>339</v>
      </c>
      <c r="AQ65" s="8" t="s">
        <v>100</v>
      </c>
      <c r="AR65" s="8" t="s">
        <v>101</v>
      </c>
      <c r="AS65" s="8" t="s">
        <v>120</v>
      </c>
      <c r="AT65" s="8" t="s">
        <v>103</v>
      </c>
      <c r="AU65" s="8" t="s">
        <v>103</v>
      </c>
      <c r="AX65" s="8" t="s">
        <v>104</v>
      </c>
      <c r="AY65" s="8" t="s">
        <v>121</v>
      </c>
      <c r="AZ65" s="8" t="s">
        <v>100</v>
      </c>
      <c r="BA65" s="8" t="s">
        <v>101</v>
      </c>
      <c r="BB65" s="8" t="s">
        <v>102</v>
      </c>
      <c r="BC65" s="8" t="s">
        <v>103</v>
      </c>
      <c r="BD65" s="8" t="s">
        <v>103</v>
      </c>
      <c r="BF65" s="8" t="s">
        <v>107</v>
      </c>
      <c r="BG65" s="8">
        <v>16700</v>
      </c>
      <c r="BH65" s="8" t="s">
        <v>122</v>
      </c>
      <c r="BO65" s="8">
        <v>12</v>
      </c>
      <c r="BR65" s="8" t="s">
        <v>100</v>
      </c>
      <c r="BS65" s="8" t="s">
        <v>182</v>
      </c>
      <c r="BT65" s="8" t="s">
        <v>183</v>
      </c>
      <c r="BU65" s="8" t="s">
        <v>106</v>
      </c>
      <c r="BV65" s="8" t="s">
        <v>123</v>
      </c>
      <c r="BW65" s="8" t="s">
        <v>110</v>
      </c>
    </row>
    <row r="66" spans="1:75" s="8" customFormat="1" x14ac:dyDescent="0.35">
      <c r="A66" s="8" t="s">
        <v>340</v>
      </c>
      <c r="B66" s="9">
        <v>45990</v>
      </c>
      <c r="C66" s="10">
        <v>0.76874999999999993</v>
      </c>
      <c r="D66" s="8" t="s">
        <v>170</v>
      </c>
      <c r="E66" s="8" t="s">
        <v>171</v>
      </c>
      <c r="F66" s="11" t="s">
        <v>172</v>
      </c>
      <c r="G66" s="8">
        <f>COUNTIF($F$2:$F$350,F66)</f>
        <v>213</v>
      </c>
      <c r="H66" s="8" t="s">
        <v>115</v>
      </c>
      <c r="I66" s="8" t="s">
        <v>82</v>
      </c>
      <c r="J66" s="8" t="s">
        <v>83</v>
      </c>
      <c r="K66" s="8" t="s">
        <v>84</v>
      </c>
      <c r="M66" s="8" t="s">
        <v>85</v>
      </c>
      <c r="N66" s="8" t="s">
        <v>116</v>
      </c>
      <c r="O66" s="8" t="s">
        <v>87</v>
      </c>
      <c r="P66" s="8" t="s">
        <v>173</v>
      </c>
      <c r="Q66" s="8" t="s">
        <v>185</v>
      </c>
      <c r="R66" s="8" t="s">
        <v>186</v>
      </c>
      <c r="S66" s="8" t="s">
        <v>132</v>
      </c>
      <c r="T66" s="8" t="s">
        <v>133</v>
      </c>
      <c r="U66" s="8" t="s">
        <v>93</v>
      </c>
      <c r="V66" s="8" t="s">
        <v>22</v>
      </c>
      <c r="W66" s="8" t="s">
        <v>176</v>
      </c>
      <c r="X66" s="8" t="s">
        <v>177</v>
      </c>
      <c r="Y66" s="8" t="s">
        <v>95</v>
      </c>
      <c r="Z66" s="8" t="s">
        <v>189</v>
      </c>
      <c r="AA66" s="8" t="b">
        <v>0</v>
      </c>
      <c r="AC66" s="8">
        <v>0</v>
      </c>
      <c r="AD66" s="8">
        <v>123</v>
      </c>
      <c r="AI66" s="8" t="s">
        <v>179</v>
      </c>
      <c r="AJ66" s="8" t="s">
        <v>88</v>
      </c>
      <c r="AK66" s="8" t="s">
        <v>341</v>
      </c>
      <c r="AL66" s="8" t="s">
        <v>88</v>
      </c>
      <c r="AM66" s="8" t="s">
        <v>88</v>
      </c>
      <c r="AN66" s="8" t="s">
        <v>88</v>
      </c>
      <c r="AP66" s="8" t="s">
        <v>342</v>
      </c>
      <c r="AQ66" s="8" t="s">
        <v>100</v>
      </c>
      <c r="AR66" s="8" t="s">
        <v>101</v>
      </c>
      <c r="AS66" s="8" t="s">
        <v>120</v>
      </c>
      <c r="AT66" s="8" t="s">
        <v>103</v>
      </c>
      <c r="AU66" s="8" t="s">
        <v>103</v>
      </c>
      <c r="AX66" s="8" t="s">
        <v>104</v>
      </c>
      <c r="AY66" s="8" t="s">
        <v>121</v>
      </c>
      <c r="AZ66" s="8" t="s">
        <v>100</v>
      </c>
      <c r="BA66" s="8" t="s">
        <v>101</v>
      </c>
      <c r="BB66" s="8" t="s">
        <v>102</v>
      </c>
      <c r="BC66" s="8" t="s">
        <v>103</v>
      </c>
      <c r="BD66" s="8" t="s">
        <v>103</v>
      </c>
      <c r="BF66" s="8" t="s">
        <v>107</v>
      </c>
      <c r="BG66" s="8">
        <v>16700</v>
      </c>
      <c r="BH66" s="8" t="s">
        <v>122</v>
      </c>
      <c r="BO66" s="8">
        <v>12</v>
      </c>
      <c r="BR66" s="8" t="s">
        <v>100</v>
      </c>
      <c r="BS66" s="8" t="s">
        <v>182</v>
      </c>
      <c r="BT66" s="8" t="s">
        <v>183</v>
      </c>
      <c r="BU66" s="8" t="s">
        <v>106</v>
      </c>
      <c r="BV66" s="8" t="s">
        <v>123</v>
      </c>
      <c r="BW66" s="8" t="s">
        <v>110</v>
      </c>
    </row>
    <row r="67" spans="1:75" s="8" customFormat="1" x14ac:dyDescent="0.35">
      <c r="A67" s="8" t="s">
        <v>340</v>
      </c>
      <c r="B67" s="9">
        <v>45990</v>
      </c>
      <c r="C67" s="10">
        <v>0.76874999999999993</v>
      </c>
      <c r="D67" s="8" t="s">
        <v>170</v>
      </c>
      <c r="E67" s="8" t="s">
        <v>171</v>
      </c>
      <c r="F67" s="11" t="s">
        <v>172</v>
      </c>
      <c r="G67" s="8">
        <f>COUNTIF($F$2:$F$350,F67)</f>
        <v>213</v>
      </c>
      <c r="H67" s="8" t="s">
        <v>115</v>
      </c>
      <c r="I67" s="8" t="s">
        <v>82</v>
      </c>
      <c r="J67" s="8" t="s">
        <v>83</v>
      </c>
      <c r="K67" s="8" t="s">
        <v>84</v>
      </c>
      <c r="M67" s="8" t="s">
        <v>85</v>
      </c>
      <c r="N67" s="8" t="s">
        <v>116</v>
      </c>
      <c r="O67" s="8" t="s">
        <v>87</v>
      </c>
      <c r="P67" s="8" t="s">
        <v>173</v>
      </c>
      <c r="Q67" s="8" t="s">
        <v>185</v>
      </c>
      <c r="R67" s="8" t="s">
        <v>186</v>
      </c>
      <c r="S67" s="8" t="s">
        <v>187</v>
      </c>
      <c r="T67" s="8" t="s">
        <v>188</v>
      </c>
      <c r="U67" s="8" t="s">
        <v>93</v>
      </c>
      <c r="V67" s="8" t="s">
        <v>22</v>
      </c>
      <c r="W67" s="8" t="s">
        <v>176</v>
      </c>
      <c r="X67" s="8" t="s">
        <v>177</v>
      </c>
      <c r="Y67" s="8" t="s">
        <v>95</v>
      </c>
      <c r="Z67" s="8" t="s">
        <v>189</v>
      </c>
      <c r="AA67" s="8" t="b">
        <v>0</v>
      </c>
      <c r="AC67" s="8">
        <v>0</v>
      </c>
      <c r="AD67" s="8">
        <v>89</v>
      </c>
      <c r="AI67" s="8" t="s">
        <v>179</v>
      </c>
      <c r="AJ67" s="8" t="s">
        <v>88</v>
      </c>
      <c r="AK67" s="8" t="s">
        <v>343</v>
      </c>
      <c r="AL67" s="8" t="s">
        <v>88</v>
      </c>
      <c r="AM67" s="8" t="s">
        <v>88</v>
      </c>
      <c r="AN67" s="8" t="s">
        <v>88</v>
      </c>
      <c r="AP67" s="8" t="s">
        <v>344</v>
      </c>
      <c r="AQ67" s="8" t="s">
        <v>100</v>
      </c>
      <c r="AR67" s="8" t="s">
        <v>101</v>
      </c>
      <c r="AS67" s="8" t="s">
        <v>120</v>
      </c>
      <c r="AT67" s="8" t="s">
        <v>103</v>
      </c>
      <c r="AU67" s="8" t="s">
        <v>103</v>
      </c>
      <c r="AX67" s="8" t="s">
        <v>104</v>
      </c>
      <c r="AY67" s="8" t="s">
        <v>121</v>
      </c>
      <c r="AZ67" s="8" t="s">
        <v>100</v>
      </c>
      <c r="BA67" s="8" t="s">
        <v>101</v>
      </c>
      <c r="BB67" s="8" t="s">
        <v>102</v>
      </c>
      <c r="BC67" s="8" t="s">
        <v>103</v>
      </c>
      <c r="BD67" s="8" t="s">
        <v>103</v>
      </c>
      <c r="BF67" s="8" t="s">
        <v>107</v>
      </c>
      <c r="BG67" s="8">
        <v>16700</v>
      </c>
      <c r="BH67" s="8" t="s">
        <v>122</v>
      </c>
      <c r="BO67" s="8">
        <v>12</v>
      </c>
      <c r="BR67" s="8" t="s">
        <v>100</v>
      </c>
      <c r="BS67" s="8" t="s">
        <v>182</v>
      </c>
      <c r="BT67" s="8" t="s">
        <v>183</v>
      </c>
      <c r="BU67" s="8" t="s">
        <v>106</v>
      </c>
      <c r="BV67" s="8" t="s">
        <v>123</v>
      </c>
      <c r="BW67" s="8" t="s">
        <v>110</v>
      </c>
    </row>
    <row r="68" spans="1:75" s="8" customFormat="1" x14ac:dyDescent="0.35">
      <c r="A68" s="8" t="s">
        <v>340</v>
      </c>
      <c r="B68" s="9">
        <v>45990</v>
      </c>
      <c r="C68" s="10">
        <v>0.76874999999999993</v>
      </c>
      <c r="D68" s="8" t="s">
        <v>170</v>
      </c>
      <c r="E68" s="8" t="s">
        <v>171</v>
      </c>
      <c r="F68" s="11" t="s">
        <v>172</v>
      </c>
      <c r="G68" s="8">
        <f>COUNTIF($F$2:$F$350,F68)</f>
        <v>213</v>
      </c>
      <c r="H68" s="8" t="s">
        <v>115</v>
      </c>
      <c r="I68" s="8" t="s">
        <v>82</v>
      </c>
      <c r="J68" s="8" t="s">
        <v>83</v>
      </c>
      <c r="K68" s="8" t="s">
        <v>84</v>
      </c>
      <c r="M68" s="8" t="s">
        <v>85</v>
      </c>
      <c r="N68" s="8" t="s">
        <v>116</v>
      </c>
      <c r="O68" s="8" t="s">
        <v>87</v>
      </c>
      <c r="P68" s="8" t="s">
        <v>173</v>
      </c>
      <c r="Q68" s="8" t="s">
        <v>185</v>
      </c>
      <c r="R68" s="8" t="s">
        <v>186</v>
      </c>
      <c r="S68" s="8" t="s">
        <v>132</v>
      </c>
      <c r="T68" s="8" t="s">
        <v>133</v>
      </c>
      <c r="U68" s="8" t="s">
        <v>93</v>
      </c>
      <c r="V68" s="8" t="s">
        <v>22</v>
      </c>
      <c r="W68" s="8" t="s">
        <v>176</v>
      </c>
      <c r="X68" s="8" t="s">
        <v>177</v>
      </c>
      <c r="Y68" s="8" t="s">
        <v>95</v>
      </c>
      <c r="Z68" s="8" t="s">
        <v>189</v>
      </c>
      <c r="AA68" s="8" t="b">
        <v>0</v>
      </c>
      <c r="AC68" s="8">
        <v>0</v>
      </c>
      <c r="AD68" s="8">
        <v>89</v>
      </c>
      <c r="AI68" s="8" t="s">
        <v>179</v>
      </c>
      <c r="AJ68" s="8" t="s">
        <v>88</v>
      </c>
      <c r="AK68" s="8" t="s">
        <v>345</v>
      </c>
      <c r="AL68" s="8" t="s">
        <v>88</v>
      </c>
      <c r="AM68" s="8" t="s">
        <v>88</v>
      </c>
      <c r="AN68" s="8" t="s">
        <v>88</v>
      </c>
      <c r="AP68" s="8" t="s">
        <v>346</v>
      </c>
      <c r="AQ68" s="8" t="s">
        <v>100</v>
      </c>
      <c r="AR68" s="8" t="s">
        <v>101</v>
      </c>
      <c r="AS68" s="8" t="s">
        <v>120</v>
      </c>
      <c r="AT68" s="8" t="s">
        <v>103</v>
      </c>
      <c r="AU68" s="8" t="s">
        <v>103</v>
      </c>
      <c r="AX68" s="8" t="s">
        <v>104</v>
      </c>
      <c r="AY68" s="8" t="s">
        <v>121</v>
      </c>
      <c r="AZ68" s="8" t="s">
        <v>100</v>
      </c>
      <c r="BA68" s="8" t="s">
        <v>101</v>
      </c>
      <c r="BB68" s="8" t="s">
        <v>102</v>
      </c>
      <c r="BC68" s="8" t="s">
        <v>103</v>
      </c>
      <c r="BD68" s="8" t="s">
        <v>103</v>
      </c>
      <c r="BF68" s="8" t="s">
        <v>107</v>
      </c>
      <c r="BG68" s="8">
        <v>16700</v>
      </c>
      <c r="BH68" s="8" t="s">
        <v>122</v>
      </c>
      <c r="BO68" s="8">
        <v>12</v>
      </c>
      <c r="BR68" s="8" t="s">
        <v>100</v>
      </c>
      <c r="BS68" s="8" t="s">
        <v>182</v>
      </c>
      <c r="BT68" s="8" t="s">
        <v>183</v>
      </c>
      <c r="BU68" s="8" t="s">
        <v>106</v>
      </c>
      <c r="BV68" s="8" t="s">
        <v>123</v>
      </c>
      <c r="BW68" s="8" t="s">
        <v>110</v>
      </c>
    </row>
    <row r="69" spans="1:75" s="8" customFormat="1" x14ac:dyDescent="0.35">
      <c r="A69" s="8" t="s">
        <v>347</v>
      </c>
      <c r="B69" s="9">
        <v>45990</v>
      </c>
      <c r="C69" s="10">
        <v>0.76736111111111116</v>
      </c>
      <c r="D69" s="8" t="s">
        <v>220</v>
      </c>
      <c r="E69" s="8" t="s">
        <v>221</v>
      </c>
      <c r="F69" s="11" t="s">
        <v>172</v>
      </c>
      <c r="G69" s="8">
        <f>COUNTIF($F$2:$F$350,F69)</f>
        <v>213</v>
      </c>
      <c r="H69" s="8" t="s">
        <v>115</v>
      </c>
      <c r="I69" s="8" t="s">
        <v>82</v>
      </c>
      <c r="J69" s="8" t="s">
        <v>83</v>
      </c>
      <c r="K69" s="8" t="s">
        <v>165</v>
      </c>
      <c r="L69" s="8">
        <v>50055</v>
      </c>
      <c r="M69" s="8" t="s">
        <v>85</v>
      </c>
      <c r="N69" s="8" t="s">
        <v>86</v>
      </c>
      <c r="O69" s="8" t="s">
        <v>87</v>
      </c>
      <c r="P69" s="8" t="s">
        <v>88</v>
      </c>
      <c r="Q69" s="8" t="s">
        <v>89</v>
      </c>
      <c r="R69" s="8" t="s">
        <v>90</v>
      </c>
      <c r="S69" s="8" t="s">
        <v>91</v>
      </c>
      <c r="T69" s="8" t="s">
        <v>92</v>
      </c>
      <c r="U69" s="8" t="s">
        <v>348</v>
      </c>
      <c r="V69" s="8" t="s">
        <v>22</v>
      </c>
      <c r="X69" s="8" t="s">
        <v>177</v>
      </c>
      <c r="Y69" s="8" t="s">
        <v>95</v>
      </c>
      <c r="Z69" s="8" t="s">
        <v>222</v>
      </c>
      <c r="AA69" s="8" t="b">
        <v>0</v>
      </c>
      <c r="AC69" s="8">
        <v>0</v>
      </c>
      <c r="AD69" s="8">
        <v>213</v>
      </c>
      <c r="AE69" s="8" t="s">
        <v>349</v>
      </c>
      <c r="AH69" s="8" t="s">
        <v>221</v>
      </c>
      <c r="AI69" s="8" t="s">
        <v>350</v>
      </c>
      <c r="AJ69" s="8" t="s">
        <v>88</v>
      </c>
      <c r="AK69" s="8" t="s">
        <v>351</v>
      </c>
      <c r="AL69" s="8" t="s">
        <v>88</v>
      </c>
      <c r="AM69" s="8" t="s">
        <v>88</v>
      </c>
      <c r="AN69" s="8" t="s">
        <v>88</v>
      </c>
      <c r="AO69" s="8">
        <v>1002</v>
      </c>
      <c r="AP69" s="8" t="s">
        <v>334</v>
      </c>
      <c r="AQ69" s="8" t="s">
        <v>100</v>
      </c>
      <c r="AR69" s="8" t="s">
        <v>101</v>
      </c>
      <c r="AS69" s="8" t="s">
        <v>120</v>
      </c>
      <c r="AT69" s="8" t="s">
        <v>103</v>
      </c>
      <c r="AU69" s="8" t="s">
        <v>103</v>
      </c>
      <c r="AX69" s="8" t="s">
        <v>104</v>
      </c>
      <c r="AY69" s="8" t="s">
        <v>121</v>
      </c>
      <c r="AZ69" s="8" t="s">
        <v>100</v>
      </c>
      <c r="BA69" s="8" t="s">
        <v>101</v>
      </c>
      <c r="BB69" s="8" t="s">
        <v>102</v>
      </c>
      <c r="BC69" s="8" t="s">
        <v>103</v>
      </c>
      <c r="BD69" s="8" t="s">
        <v>103</v>
      </c>
      <c r="BF69" s="8" t="s">
        <v>107</v>
      </c>
      <c r="BG69" s="8">
        <v>16700</v>
      </c>
      <c r="BH69" s="8" t="s">
        <v>122</v>
      </c>
      <c r="BO69" s="8">
        <v>12</v>
      </c>
      <c r="BR69" s="8" t="s">
        <v>100</v>
      </c>
      <c r="BS69" s="8" t="s">
        <v>182</v>
      </c>
      <c r="BT69" s="8" t="s">
        <v>183</v>
      </c>
      <c r="BU69" s="8" t="s">
        <v>106</v>
      </c>
      <c r="BV69" s="8" t="s">
        <v>123</v>
      </c>
      <c r="BW69" s="8" t="s">
        <v>110</v>
      </c>
    </row>
    <row r="70" spans="1:75" s="8" customFormat="1" x14ac:dyDescent="0.35">
      <c r="A70" s="8" t="s">
        <v>352</v>
      </c>
      <c r="B70" s="9">
        <v>45990</v>
      </c>
      <c r="C70" s="10">
        <v>0.7559027777777777</v>
      </c>
      <c r="D70" s="8" t="s">
        <v>170</v>
      </c>
      <c r="E70" s="8" t="s">
        <v>171</v>
      </c>
      <c r="F70" s="11" t="s">
        <v>172</v>
      </c>
      <c r="G70" s="8">
        <f>COUNTIF($F$2:$F$350,F70)</f>
        <v>213</v>
      </c>
      <c r="H70" s="8" t="s">
        <v>115</v>
      </c>
      <c r="I70" s="8" t="s">
        <v>82</v>
      </c>
      <c r="J70" s="8" t="s">
        <v>83</v>
      </c>
      <c r="K70" s="8" t="s">
        <v>84</v>
      </c>
      <c r="M70" s="8" t="s">
        <v>85</v>
      </c>
      <c r="N70" s="8" t="s">
        <v>116</v>
      </c>
      <c r="O70" s="8" t="s">
        <v>87</v>
      </c>
      <c r="P70" s="8" t="s">
        <v>173</v>
      </c>
      <c r="Q70" s="8" t="s">
        <v>211</v>
      </c>
      <c r="R70" s="8" t="s">
        <v>212</v>
      </c>
      <c r="S70" s="8" t="s">
        <v>132</v>
      </c>
      <c r="T70" s="8" t="s">
        <v>133</v>
      </c>
      <c r="U70" s="8" t="s">
        <v>93</v>
      </c>
      <c r="V70" s="8" t="s">
        <v>22</v>
      </c>
      <c r="W70" s="8" t="s">
        <v>176</v>
      </c>
      <c r="X70" s="8" t="s">
        <v>177</v>
      </c>
      <c r="Y70" s="8" t="s">
        <v>95</v>
      </c>
      <c r="Z70" s="8" t="s">
        <v>189</v>
      </c>
      <c r="AA70" s="8" t="b">
        <v>0</v>
      </c>
      <c r="AC70" s="8">
        <v>0</v>
      </c>
      <c r="AD70" s="8">
        <v>127</v>
      </c>
      <c r="AI70" s="8" t="s">
        <v>179</v>
      </c>
      <c r="AJ70" s="8" t="s">
        <v>88</v>
      </c>
      <c r="AK70" s="8" t="s">
        <v>353</v>
      </c>
      <c r="AL70" s="8" t="s">
        <v>88</v>
      </c>
      <c r="AM70" s="8" t="s">
        <v>88</v>
      </c>
      <c r="AN70" s="8" t="s">
        <v>88</v>
      </c>
      <c r="AP70" s="8" t="s">
        <v>354</v>
      </c>
      <c r="AQ70" s="8" t="s">
        <v>100</v>
      </c>
      <c r="AR70" s="8" t="s">
        <v>101</v>
      </c>
      <c r="AS70" s="8" t="s">
        <v>120</v>
      </c>
      <c r="AT70" s="8" t="s">
        <v>103</v>
      </c>
      <c r="AU70" s="8" t="s">
        <v>103</v>
      </c>
      <c r="AX70" s="8" t="s">
        <v>104</v>
      </c>
      <c r="AY70" s="8" t="s">
        <v>121</v>
      </c>
      <c r="AZ70" s="8" t="s">
        <v>100</v>
      </c>
      <c r="BA70" s="8" t="s">
        <v>101</v>
      </c>
      <c r="BB70" s="8" t="s">
        <v>102</v>
      </c>
      <c r="BC70" s="8" t="s">
        <v>103</v>
      </c>
      <c r="BD70" s="8" t="s">
        <v>103</v>
      </c>
      <c r="BF70" s="8" t="s">
        <v>107</v>
      </c>
      <c r="BG70" s="8">
        <v>16700</v>
      </c>
      <c r="BH70" s="8" t="s">
        <v>122</v>
      </c>
      <c r="BO70" s="8">
        <v>12</v>
      </c>
      <c r="BR70" s="8" t="s">
        <v>100</v>
      </c>
      <c r="BS70" s="8" t="s">
        <v>182</v>
      </c>
      <c r="BT70" s="8" t="s">
        <v>183</v>
      </c>
      <c r="BU70" s="8" t="s">
        <v>106</v>
      </c>
      <c r="BV70" s="8" t="s">
        <v>123</v>
      </c>
      <c r="BW70" s="8" t="s">
        <v>110</v>
      </c>
    </row>
    <row r="71" spans="1:75" x14ac:dyDescent="0.35">
      <c r="A71" t="s">
        <v>355</v>
      </c>
      <c r="B71" s="1">
        <v>45990</v>
      </c>
      <c r="C71" s="2">
        <v>0.75399305555555562</v>
      </c>
      <c r="D71" t="s">
        <v>356</v>
      </c>
      <c r="E71" t="s">
        <v>357</v>
      </c>
      <c r="F71" t="s">
        <v>358</v>
      </c>
      <c r="G71">
        <f>COUNTIF($F$2:$F$350,F71)</f>
        <v>16</v>
      </c>
      <c r="H71" t="s">
        <v>359</v>
      </c>
      <c r="I71" t="s">
        <v>360</v>
      </c>
      <c r="J71" t="s">
        <v>83</v>
      </c>
      <c r="K71" t="s">
        <v>361</v>
      </c>
      <c r="L71">
        <v>50126</v>
      </c>
      <c r="M71" t="s">
        <v>85</v>
      </c>
      <c r="N71" t="s">
        <v>86</v>
      </c>
      <c r="O71" t="s">
        <v>87</v>
      </c>
      <c r="P71" t="s">
        <v>88</v>
      </c>
      <c r="Q71" t="s">
        <v>155</v>
      </c>
      <c r="R71" t="s">
        <v>156</v>
      </c>
      <c r="S71" t="s">
        <v>155</v>
      </c>
      <c r="T71" t="s">
        <v>156</v>
      </c>
      <c r="U71" t="s">
        <v>362</v>
      </c>
      <c r="V71" t="s">
        <v>22</v>
      </c>
      <c r="X71" t="s">
        <v>363</v>
      </c>
      <c r="Y71" t="s">
        <v>95</v>
      </c>
      <c r="Z71" t="s">
        <v>364</v>
      </c>
      <c r="AA71" t="b">
        <v>0</v>
      </c>
      <c r="AC71">
        <v>0</v>
      </c>
      <c r="AD71">
        <v>216</v>
      </c>
      <c r="AE71" t="s">
        <v>365</v>
      </c>
      <c r="AH71" t="s">
        <v>357</v>
      </c>
      <c r="AJ71" t="s">
        <v>88</v>
      </c>
      <c r="AK71" t="s">
        <v>366</v>
      </c>
      <c r="AL71" t="s">
        <v>88</v>
      </c>
      <c r="AM71" t="s">
        <v>88</v>
      </c>
      <c r="AN71" t="s">
        <v>88</v>
      </c>
      <c r="AP71" t="s">
        <v>367</v>
      </c>
      <c r="AQ71" t="s">
        <v>368</v>
      </c>
      <c r="AR71" t="s">
        <v>369</v>
      </c>
      <c r="AS71" t="s">
        <v>370</v>
      </c>
      <c r="AT71" t="s">
        <v>371</v>
      </c>
      <c r="AU71" t="s">
        <v>371</v>
      </c>
      <c r="AX71" t="s">
        <v>372</v>
      </c>
      <c r="AY71" t="s">
        <v>373</v>
      </c>
      <c r="AZ71" t="s">
        <v>368</v>
      </c>
      <c r="BA71" t="s">
        <v>374</v>
      </c>
      <c r="BB71" t="s">
        <v>375</v>
      </c>
      <c r="BC71" t="s">
        <v>376</v>
      </c>
      <c r="BD71" t="s">
        <v>376</v>
      </c>
      <c r="BE71" t="s">
        <v>377</v>
      </c>
      <c r="BF71" t="s">
        <v>378</v>
      </c>
      <c r="BG71">
        <v>14061</v>
      </c>
      <c r="BH71" t="s">
        <v>379</v>
      </c>
      <c r="BO71">
        <v>55</v>
      </c>
      <c r="BR71" t="s">
        <v>368</v>
      </c>
      <c r="BS71" t="s">
        <v>369</v>
      </c>
      <c r="BT71" t="s">
        <v>370</v>
      </c>
      <c r="BU71" t="s">
        <v>376</v>
      </c>
      <c r="BV71" t="s">
        <v>376</v>
      </c>
      <c r="BW71" t="s">
        <v>380</v>
      </c>
    </row>
    <row r="72" spans="1:75" x14ac:dyDescent="0.35">
      <c r="A72" t="s">
        <v>381</v>
      </c>
      <c r="B72" s="1">
        <v>45990</v>
      </c>
      <c r="C72" s="2">
        <v>0.75398148148148147</v>
      </c>
      <c r="D72" t="s">
        <v>356</v>
      </c>
      <c r="E72" t="s">
        <v>357</v>
      </c>
      <c r="F72" t="s">
        <v>358</v>
      </c>
      <c r="G72">
        <f>COUNTIF($F$2:$F$350,F72)</f>
        <v>16</v>
      </c>
      <c r="H72" t="s">
        <v>359</v>
      </c>
      <c r="I72" t="s">
        <v>360</v>
      </c>
      <c r="J72" t="s">
        <v>83</v>
      </c>
      <c r="K72" t="s">
        <v>361</v>
      </c>
      <c r="L72">
        <v>50126</v>
      </c>
      <c r="M72" t="s">
        <v>85</v>
      </c>
      <c r="N72" t="s">
        <v>86</v>
      </c>
      <c r="O72" t="s">
        <v>87</v>
      </c>
      <c r="P72" t="s">
        <v>88</v>
      </c>
      <c r="Q72" t="s">
        <v>155</v>
      </c>
      <c r="R72" t="s">
        <v>156</v>
      </c>
      <c r="S72" t="s">
        <v>155</v>
      </c>
      <c r="T72" t="s">
        <v>156</v>
      </c>
      <c r="U72" t="s">
        <v>362</v>
      </c>
      <c r="V72" t="s">
        <v>22</v>
      </c>
      <c r="X72" t="s">
        <v>363</v>
      </c>
      <c r="Y72" t="s">
        <v>95</v>
      </c>
      <c r="Z72" t="s">
        <v>364</v>
      </c>
      <c r="AA72" t="b">
        <v>0</v>
      </c>
      <c r="AC72">
        <v>0</v>
      </c>
      <c r="AD72">
        <v>288</v>
      </c>
      <c r="AE72" t="s">
        <v>365</v>
      </c>
      <c r="AH72" t="s">
        <v>357</v>
      </c>
      <c r="AJ72" t="s">
        <v>88</v>
      </c>
      <c r="AK72" t="s">
        <v>382</v>
      </c>
      <c r="AL72" t="s">
        <v>88</v>
      </c>
      <c r="AM72" t="s">
        <v>88</v>
      </c>
      <c r="AN72" t="s">
        <v>88</v>
      </c>
      <c r="AP72" t="s">
        <v>383</v>
      </c>
      <c r="AQ72" t="s">
        <v>368</v>
      </c>
      <c r="AR72" t="s">
        <v>369</v>
      </c>
      <c r="AS72" t="s">
        <v>370</v>
      </c>
      <c r="AT72" t="s">
        <v>371</v>
      </c>
      <c r="AU72" t="s">
        <v>371</v>
      </c>
      <c r="AX72" t="s">
        <v>372</v>
      </c>
      <c r="AY72" t="s">
        <v>373</v>
      </c>
      <c r="AZ72" t="s">
        <v>368</v>
      </c>
      <c r="BA72" t="s">
        <v>374</v>
      </c>
      <c r="BB72" t="s">
        <v>375</v>
      </c>
      <c r="BC72" t="s">
        <v>376</v>
      </c>
      <c r="BD72" t="s">
        <v>376</v>
      </c>
      <c r="BE72" t="s">
        <v>377</v>
      </c>
      <c r="BF72" t="s">
        <v>378</v>
      </c>
      <c r="BG72">
        <v>14061</v>
      </c>
      <c r="BH72" t="s">
        <v>379</v>
      </c>
      <c r="BO72">
        <v>55</v>
      </c>
      <c r="BR72" t="s">
        <v>368</v>
      </c>
      <c r="BS72" t="s">
        <v>369</v>
      </c>
      <c r="BT72" t="s">
        <v>370</v>
      </c>
      <c r="BU72" t="s">
        <v>376</v>
      </c>
      <c r="BV72" t="s">
        <v>376</v>
      </c>
      <c r="BW72" t="s">
        <v>380</v>
      </c>
    </row>
    <row r="73" spans="1:75" s="8" customFormat="1" x14ac:dyDescent="0.35">
      <c r="A73" s="8" t="s">
        <v>384</v>
      </c>
      <c r="B73" s="9">
        <v>45990</v>
      </c>
      <c r="C73" s="10">
        <v>0.74716435185185182</v>
      </c>
      <c r="D73" s="8" t="s">
        <v>385</v>
      </c>
      <c r="E73" s="8" t="s">
        <v>386</v>
      </c>
      <c r="F73" s="11" t="s">
        <v>172</v>
      </c>
      <c r="G73" s="8">
        <f>COUNTIF($F$2:$F$350,F73)</f>
        <v>213</v>
      </c>
      <c r="H73" s="8" t="s">
        <v>115</v>
      </c>
      <c r="I73" s="8" t="s">
        <v>82</v>
      </c>
      <c r="J73" s="8" t="s">
        <v>83</v>
      </c>
      <c r="K73" s="8" t="s">
        <v>84</v>
      </c>
      <c r="M73" s="8" t="s">
        <v>85</v>
      </c>
      <c r="N73" s="8" t="s">
        <v>116</v>
      </c>
      <c r="O73" s="8" t="s">
        <v>87</v>
      </c>
      <c r="P73" s="8" t="s">
        <v>88</v>
      </c>
      <c r="Q73" s="8" t="s">
        <v>89</v>
      </c>
      <c r="R73" s="8" t="s">
        <v>90</v>
      </c>
      <c r="S73" s="8" t="s">
        <v>91</v>
      </c>
      <c r="T73" s="8" t="s">
        <v>92</v>
      </c>
      <c r="U73" s="8" t="s">
        <v>93</v>
      </c>
      <c r="V73" s="8" t="s">
        <v>22</v>
      </c>
      <c r="X73" s="8" t="s">
        <v>387</v>
      </c>
      <c r="Y73" s="8" t="s">
        <v>95</v>
      </c>
      <c r="Z73" s="8" t="s">
        <v>388</v>
      </c>
      <c r="AA73" s="8" t="b">
        <v>0</v>
      </c>
      <c r="AC73" s="8">
        <v>0</v>
      </c>
      <c r="AD73" s="8">
        <v>88</v>
      </c>
      <c r="AI73" s="12" t="s">
        <v>389</v>
      </c>
      <c r="AJ73" s="8" t="s">
        <v>88</v>
      </c>
      <c r="AK73" s="8" t="s">
        <v>390</v>
      </c>
      <c r="AL73" s="8" t="s">
        <v>88</v>
      </c>
      <c r="AM73" s="8" t="s">
        <v>88</v>
      </c>
      <c r="AN73" s="8" t="s">
        <v>88</v>
      </c>
      <c r="AO73" s="8">
        <v>1002</v>
      </c>
      <c r="AP73" s="8" t="s">
        <v>391</v>
      </c>
      <c r="AQ73" s="8" t="s">
        <v>100</v>
      </c>
      <c r="AR73" s="8" t="s">
        <v>101</v>
      </c>
      <c r="AS73" s="8" t="s">
        <v>120</v>
      </c>
      <c r="AT73" s="8" t="s">
        <v>103</v>
      </c>
      <c r="AU73" s="8" t="s">
        <v>103</v>
      </c>
      <c r="AX73" s="8" t="s">
        <v>104</v>
      </c>
      <c r="AY73" s="8" t="s">
        <v>121</v>
      </c>
      <c r="AZ73" s="8" t="s">
        <v>100</v>
      </c>
      <c r="BA73" s="8" t="s">
        <v>101</v>
      </c>
      <c r="BB73" s="8" t="s">
        <v>102</v>
      </c>
      <c r="BC73" s="8" t="s">
        <v>103</v>
      </c>
      <c r="BD73" s="8" t="s">
        <v>103</v>
      </c>
      <c r="BF73" s="8" t="s">
        <v>107</v>
      </c>
      <c r="BG73" s="8">
        <v>16700</v>
      </c>
      <c r="BH73" s="8" t="s">
        <v>122</v>
      </c>
      <c r="BO73" s="8">
        <v>12</v>
      </c>
      <c r="BR73" s="8" t="s">
        <v>100</v>
      </c>
      <c r="BS73" s="8" t="s">
        <v>182</v>
      </c>
      <c r="BT73" s="8" t="s">
        <v>183</v>
      </c>
      <c r="BU73" s="8" t="s">
        <v>106</v>
      </c>
      <c r="BV73" s="8" t="s">
        <v>123</v>
      </c>
      <c r="BW73" s="8" t="s">
        <v>110</v>
      </c>
    </row>
    <row r="74" spans="1:75" x14ac:dyDescent="0.35">
      <c r="A74" t="s">
        <v>392</v>
      </c>
      <c r="B74" s="1">
        <v>45990</v>
      </c>
      <c r="C74" s="2">
        <v>0.72745370370370377</v>
      </c>
      <c r="D74" t="s">
        <v>393</v>
      </c>
      <c r="E74" t="s">
        <v>394</v>
      </c>
      <c r="F74" t="s">
        <v>358</v>
      </c>
      <c r="G74">
        <f>COUNTIF($F$2:$F$350,F74)</f>
        <v>16</v>
      </c>
      <c r="H74" t="s">
        <v>359</v>
      </c>
      <c r="I74" t="s">
        <v>360</v>
      </c>
      <c r="J74" t="s">
        <v>83</v>
      </c>
      <c r="K74" t="s">
        <v>84</v>
      </c>
      <c r="M74" t="s">
        <v>85</v>
      </c>
      <c r="N74" t="s">
        <v>86</v>
      </c>
      <c r="O74" t="s">
        <v>87</v>
      </c>
      <c r="P74" t="s">
        <v>88</v>
      </c>
      <c r="Q74" t="s">
        <v>155</v>
      </c>
      <c r="R74" t="s">
        <v>156</v>
      </c>
      <c r="S74" t="s">
        <v>155</v>
      </c>
      <c r="T74" t="s">
        <v>156</v>
      </c>
      <c r="U74" t="s">
        <v>93</v>
      </c>
      <c r="V74" t="s">
        <v>22</v>
      </c>
      <c r="X74" t="s">
        <v>363</v>
      </c>
      <c r="Y74" t="s">
        <v>95</v>
      </c>
      <c r="Z74" t="s">
        <v>364</v>
      </c>
      <c r="AA74" t="b">
        <v>0</v>
      </c>
      <c r="AC74">
        <v>0</v>
      </c>
      <c r="AD74">
        <v>61</v>
      </c>
      <c r="AH74" t="s">
        <v>394</v>
      </c>
      <c r="AI74" t="s">
        <v>395</v>
      </c>
      <c r="AJ74" t="s">
        <v>88</v>
      </c>
      <c r="AK74" t="s">
        <v>396</v>
      </c>
      <c r="AL74" t="s">
        <v>88</v>
      </c>
      <c r="AM74" t="s">
        <v>88</v>
      </c>
      <c r="AN74" t="s">
        <v>88</v>
      </c>
      <c r="AO74">
        <v>1002</v>
      </c>
      <c r="AP74" t="s">
        <v>397</v>
      </c>
      <c r="AQ74" t="s">
        <v>368</v>
      </c>
      <c r="AR74" t="s">
        <v>369</v>
      </c>
      <c r="AS74" t="s">
        <v>370</v>
      </c>
      <c r="AT74" t="s">
        <v>371</v>
      </c>
      <c r="AU74" t="s">
        <v>371</v>
      </c>
      <c r="AX74" t="s">
        <v>372</v>
      </c>
      <c r="AY74" t="s">
        <v>373</v>
      </c>
      <c r="AZ74" t="s">
        <v>368</v>
      </c>
      <c r="BA74" t="s">
        <v>374</v>
      </c>
      <c r="BB74" t="s">
        <v>375</v>
      </c>
      <c r="BC74" t="s">
        <v>376</v>
      </c>
      <c r="BD74" t="s">
        <v>376</v>
      </c>
      <c r="BE74" t="s">
        <v>377</v>
      </c>
      <c r="BF74" t="s">
        <v>378</v>
      </c>
      <c r="BG74">
        <v>14061</v>
      </c>
      <c r="BH74" t="s">
        <v>379</v>
      </c>
      <c r="BO74">
        <v>55</v>
      </c>
      <c r="BR74" t="s">
        <v>368</v>
      </c>
      <c r="BS74" t="s">
        <v>369</v>
      </c>
      <c r="BT74" t="s">
        <v>370</v>
      </c>
      <c r="BU74" t="s">
        <v>376</v>
      </c>
      <c r="BV74" t="s">
        <v>376</v>
      </c>
      <c r="BW74" t="s">
        <v>380</v>
      </c>
    </row>
    <row r="75" spans="1:75" x14ac:dyDescent="0.35">
      <c r="A75" t="s">
        <v>392</v>
      </c>
      <c r="B75" s="1">
        <v>45990</v>
      </c>
      <c r="C75" s="2">
        <v>0.72745370370370377</v>
      </c>
      <c r="D75" t="s">
        <v>393</v>
      </c>
      <c r="E75" t="s">
        <v>394</v>
      </c>
      <c r="F75" t="s">
        <v>358</v>
      </c>
      <c r="G75">
        <f>COUNTIF($F$2:$F$350,F75)</f>
        <v>16</v>
      </c>
      <c r="H75" t="s">
        <v>359</v>
      </c>
      <c r="I75" t="s">
        <v>360</v>
      </c>
      <c r="J75" t="s">
        <v>83</v>
      </c>
      <c r="K75" t="s">
        <v>165</v>
      </c>
      <c r="L75">
        <v>50140</v>
      </c>
      <c r="M75" t="s">
        <v>85</v>
      </c>
      <c r="N75" t="s">
        <v>86</v>
      </c>
      <c r="O75" t="s">
        <v>87</v>
      </c>
      <c r="P75" t="s">
        <v>88</v>
      </c>
      <c r="Q75" t="s">
        <v>155</v>
      </c>
      <c r="R75" t="s">
        <v>156</v>
      </c>
      <c r="S75" t="s">
        <v>155</v>
      </c>
      <c r="T75" t="s">
        <v>156</v>
      </c>
      <c r="U75" t="s">
        <v>166</v>
      </c>
      <c r="V75" t="s">
        <v>22</v>
      </c>
      <c r="X75" t="s">
        <v>363</v>
      </c>
      <c r="Y75" t="s">
        <v>95</v>
      </c>
      <c r="Z75" t="s">
        <v>364</v>
      </c>
      <c r="AA75" t="b">
        <v>0</v>
      </c>
      <c r="AC75">
        <v>0</v>
      </c>
      <c r="AD75">
        <v>159</v>
      </c>
      <c r="AE75" t="s">
        <v>167</v>
      </c>
      <c r="AH75" t="s">
        <v>394</v>
      </c>
      <c r="AI75" t="s">
        <v>395</v>
      </c>
      <c r="AJ75" t="s">
        <v>88</v>
      </c>
      <c r="AK75" t="s">
        <v>398</v>
      </c>
      <c r="AL75" t="s">
        <v>88</v>
      </c>
      <c r="AM75" t="s">
        <v>88</v>
      </c>
      <c r="AN75" t="s">
        <v>88</v>
      </c>
      <c r="AO75">
        <v>1002</v>
      </c>
      <c r="AP75" t="s">
        <v>397</v>
      </c>
      <c r="AQ75" t="s">
        <v>368</v>
      </c>
      <c r="AR75" t="s">
        <v>369</v>
      </c>
      <c r="AS75" t="s">
        <v>370</v>
      </c>
      <c r="AT75" t="s">
        <v>371</v>
      </c>
      <c r="AU75" t="s">
        <v>371</v>
      </c>
      <c r="AX75" t="s">
        <v>372</v>
      </c>
      <c r="AY75" t="s">
        <v>373</v>
      </c>
      <c r="AZ75" t="s">
        <v>368</v>
      </c>
      <c r="BA75" t="s">
        <v>374</v>
      </c>
      <c r="BB75" t="s">
        <v>375</v>
      </c>
      <c r="BC75" t="s">
        <v>376</v>
      </c>
      <c r="BD75" t="s">
        <v>376</v>
      </c>
      <c r="BE75" t="s">
        <v>377</v>
      </c>
      <c r="BF75" t="s">
        <v>378</v>
      </c>
      <c r="BG75">
        <v>14061</v>
      </c>
      <c r="BH75" t="s">
        <v>379</v>
      </c>
      <c r="BO75">
        <v>55</v>
      </c>
      <c r="BR75" t="s">
        <v>368</v>
      </c>
      <c r="BS75" t="s">
        <v>369</v>
      </c>
      <c r="BT75" t="s">
        <v>370</v>
      </c>
      <c r="BU75" t="s">
        <v>376</v>
      </c>
      <c r="BV75" t="s">
        <v>376</v>
      </c>
      <c r="BW75" t="s">
        <v>380</v>
      </c>
    </row>
    <row r="76" spans="1:75" x14ac:dyDescent="0.35">
      <c r="A76" t="s">
        <v>399</v>
      </c>
      <c r="B76" s="1">
        <v>45990</v>
      </c>
      <c r="C76" s="2">
        <v>0.72709490740740745</v>
      </c>
      <c r="D76" t="s">
        <v>393</v>
      </c>
      <c r="E76" t="s">
        <v>394</v>
      </c>
      <c r="F76" t="s">
        <v>358</v>
      </c>
      <c r="G76">
        <f>COUNTIF($F$2:$F$350,F76)</f>
        <v>16</v>
      </c>
      <c r="H76" t="s">
        <v>359</v>
      </c>
      <c r="I76" t="s">
        <v>360</v>
      </c>
      <c r="J76" t="s">
        <v>83</v>
      </c>
      <c r="K76" t="s">
        <v>361</v>
      </c>
      <c r="L76">
        <v>50126</v>
      </c>
      <c r="M76" t="s">
        <v>85</v>
      </c>
      <c r="N76" t="s">
        <v>86</v>
      </c>
      <c r="O76" t="s">
        <v>87</v>
      </c>
      <c r="P76" t="s">
        <v>88</v>
      </c>
      <c r="Q76" t="s">
        <v>155</v>
      </c>
      <c r="R76" t="s">
        <v>156</v>
      </c>
      <c r="S76" t="s">
        <v>155</v>
      </c>
      <c r="T76" t="s">
        <v>156</v>
      </c>
      <c r="U76" t="s">
        <v>362</v>
      </c>
      <c r="V76" t="s">
        <v>22</v>
      </c>
      <c r="X76" t="s">
        <v>363</v>
      </c>
      <c r="Y76" t="s">
        <v>95</v>
      </c>
      <c r="Z76" t="s">
        <v>364</v>
      </c>
      <c r="AA76" t="b">
        <v>0</v>
      </c>
      <c r="AC76">
        <v>0</v>
      </c>
      <c r="AD76">
        <v>217</v>
      </c>
      <c r="AE76" t="s">
        <v>365</v>
      </c>
      <c r="AH76" t="s">
        <v>394</v>
      </c>
      <c r="AJ76" t="s">
        <v>88</v>
      </c>
      <c r="AK76" t="s">
        <v>400</v>
      </c>
      <c r="AL76" t="s">
        <v>88</v>
      </c>
      <c r="AM76" t="s">
        <v>88</v>
      </c>
      <c r="AN76" t="s">
        <v>88</v>
      </c>
      <c r="AP76" t="s">
        <v>401</v>
      </c>
      <c r="AQ76" t="s">
        <v>368</v>
      </c>
      <c r="AR76" t="s">
        <v>369</v>
      </c>
      <c r="AS76" t="s">
        <v>370</v>
      </c>
      <c r="AT76" t="s">
        <v>371</v>
      </c>
      <c r="AU76" t="s">
        <v>371</v>
      </c>
      <c r="AX76" t="s">
        <v>372</v>
      </c>
      <c r="AY76" t="s">
        <v>373</v>
      </c>
      <c r="AZ76" t="s">
        <v>368</v>
      </c>
      <c r="BA76" t="s">
        <v>374</v>
      </c>
      <c r="BB76" t="s">
        <v>375</v>
      </c>
      <c r="BC76" t="s">
        <v>376</v>
      </c>
      <c r="BD76" t="s">
        <v>376</v>
      </c>
      <c r="BE76" t="s">
        <v>377</v>
      </c>
      <c r="BF76" t="s">
        <v>378</v>
      </c>
      <c r="BG76">
        <v>14061</v>
      </c>
      <c r="BH76" t="s">
        <v>379</v>
      </c>
      <c r="BO76">
        <v>55</v>
      </c>
      <c r="BR76" t="s">
        <v>368</v>
      </c>
      <c r="BS76" t="s">
        <v>369</v>
      </c>
      <c r="BT76" t="s">
        <v>370</v>
      </c>
      <c r="BU76" t="s">
        <v>376</v>
      </c>
      <c r="BV76" t="s">
        <v>376</v>
      </c>
      <c r="BW76" t="s">
        <v>380</v>
      </c>
    </row>
    <row r="77" spans="1:75" x14ac:dyDescent="0.35">
      <c r="A77" t="s">
        <v>402</v>
      </c>
      <c r="B77" s="1">
        <v>45990</v>
      </c>
      <c r="C77" s="2">
        <v>0.7270833333333333</v>
      </c>
      <c r="D77" t="s">
        <v>393</v>
      </c>
      <c r="E77" t="s">
        <v>394</v>
      </c>
      <c r="F77" t="s">
        <v>358</v>
      </c>
      <c r="G77">
        <f>COUNTIF($F$2:$F$350,F77)</f>
        <v>16</v>
      </c>
      <c r="H77" t="s">
        <v>359</v>
      </c>
      <c r="I77" t="s">
        <v>360</v>
      </c>
      <c r="J77" t="s">
        <v>83</v>
      </c>
      <c r="K77" t="s">
        <v>361</v>
      </c>
      <c r="L77">
        <v>50126</v>
      </c>
      <c r="M77" t="s">
        <v>85</v>
      </c>
      <c r="N77" t="s">
        <v>86</v>
      </c>
      <c r="O77" t="s">
        <v>87</v>
      </c>
      <c r="P77" t="s">
        <v>88</v>
      </c>
      <c r="Q77" t="s">
        <v>155</v>
      </c>
      <c r="R77" t="s">
        <v>156</v>
      </c>
      <c r="S77" t="s">
        <v>155</v>
      </c>
      <c r="T77" t="s">
        <v>156</v>
      </c>
      <c r="U77" t="s">
        <v>362</v>
      </c>
      <c r="V77" t="s">
        <v>22</v>
      </c>
      <c r="X77" t="s">
        <v>363</v>
      </c>
      <c r="Y77" t="s">
        <v>95</v>
      </c>
      <c r="Z77" t="s">
        <v>364</v>
      </c>
      <c r="AA77" t="b">
        <v>0</v>
      </c>
      <c r="AC77">
        <v>0</v>
      </c>
      <c r="AD77">
        <v>225</v>
      </c>
      <c r="AE77" t="s">
        <v>365</v>
      </c>
      <c r="AH77" t="s">
        <v>394</v>
      </c>
      <c r="AJ77" t="s">
        <v>88</v>
      </c>
      <c r="AK77" t="s">
        <v>403</v>
      </c>
      <c r="AL77" t="s">
        <v>88</v>
      </c>
      <c r="AM77" t="s">
        <v>88</v>
      </c>
      <c r="AN77" t="s">
        <v>88</v>
      </c>
      <c r="AP77" t="s">
        <v>404</v>
      </c>
      <c r="AQ77" t="s">
        <v>368</v>
      </c>
      <c r="AR77" t="s">
        <v>369</v>
      </c>
      <c r="AS77" t="s">
        <v>370</v>
      </c>
      <c r="AT77" t="s">
        <v>371</v>
      </c>
      <c r="AU77" t="s">
        <v>371</v>
      </c>
      <c r="AX77" t="s">
        <v>372</v>
      </c>
      <c r="AY77" t="s">
        <v>373</v>
      </c>
      <c r="AZ77" t="s">
        <v>368</v>
      </c>
      <c r="BA77" t="s">
        <v>374</v>
      </c>
      <c r="BB77" t="s">
        <v>375</v>
      </c>
      <c r="BC77" t="s">
        <v>376</v>
      </c>
      <c r="BD77" t="s">
        <v>376</v>
      </c>
      <c r="BE77" t="s">
        <v>377</v>
      </c>
      <c r="BF77" t="s">
        <v>378</v>
      </c>
      <c r="BG77">
        <v>14061</v>
      </c>
      <c r="BH77" t="s">
        <v>379</v>
      </c>
      <c r="BO77">
        <v>55</v>
      </c>
      <c r="BR77" t="s">
        <v>368</v>
      </c>
      <c r="BS77" t="s">
        <v>369</v>
      </c>
      <c r="BT77" t="s">
        <v>370</v>
      </c>
      <c r="BU77" t="s">
        <v>376</v>
      </c>
      <c r="BV77" t="s">
        <v>376</v>
      </c>
      <c r="BW77" t="s">
        <v>380</v>
      </c>
    </row>
    <row r="78" spans="1:75" x14ac:dyDescent="0.35">
      <c r="A78" t="s">
        <v>405</v>
      </c>
      <c r="B78" s="1">
        <v>45990</v>
      </c>
      <c r="C78" s="2">
        <v>0.72628472222222218</v>
      </c>
      <c r="D78" t="s">
        <v>393</v>
      </c>
      <c r="E78" t="s">
        <v>394</v>
      </c>
      <c r="F78" t="s">
        <v>358</v>
      </c>
      <c r="G78">
        <f>COUNTIF($F$2:$F$350,F78)</f>
        <v>16</v>
      </c>
      <c r="H78" t="s">
        <v>359</v>
      </c>
      <c r="I78" t="s">
        <v>360</v>
      </c>
      <c r="J78" t="s">
        <v>83</v>
      </c>
      <c r="K78" t="s">
        <v>84</v>
      </c>
      <c r="M78" t="s">
        <v>85</v>
      </c>
      <c r="N78" t="s">
        <v>86</v>
      </c>
      <c r="O78" t="s">
        <v>87</v>
      </c>
      <c r="P78" t="s">
        <v>88</v>
      </c>
      <c r="Q78" t="s">
        <v>155</v>
      </c>
      <c r="R78" t="s">
        <v>156</v>
      </c>
      <c r="S78" t="s">
        <v>155</v>
      </c>
      <c r="T78" t="s">
        <v>156</v>
      </c>
      <c r="U78" t="s">
        <v>93</v>
      </c>
      <c r="V78" t="s">
        <v>22</v>
      </c>
      <c r="X78" t="s">
        <v>363</v>
      </c>
      <c r="Y78" t="s">
        <v>95</v>
      </c>
      <c r="Z78" t="s">
        <v>364</v>
      </c>
      <c r="AA78" t="b">
        <v>0</v>
      </c>
      <c r="AC78">
        <v>0</v>
      </c>
      <c r="AD78">
        <v>65</v>
      </c>
      <c r="AH78" t="s">
        <v>394</v>
      </c>
      <c r="AI78" t="s">
        <v>395</v>
      </c>
      <c r="AJ78" t="s">
        <v>88</v>
      </c>
      <c r="AK78" t="s">
        <v>406</v>
      </c>
      <c r="AL78" t="s">
        <v>88</v>
      </c>
      <c r="AM78" t="s">
        <v>88</v>
      </c>
      <c r="AN78" t="s">
        <v>88</v>
      </c>
      <c r="AO78">
        <v>1002</v>
      </c>
      <c r="AP78" t="s">
        <v>407</v>
      </c>
      <c r="AQ78" t="s">
        <v>368</v>
      </c>
      <c r="AR78" t="s">
        <v>369</v>
      </c>
      <c r="AS78" t="s">
        <v>370</v>
      </c>
      <c r="AT78" t="s">
        <v>371</v>
      </c>
      <c r="AU78" t="s">
        <v>371</v>
      </c>
      <c r="AX78" t="s">
        <v>372</v>
      </c>
      <c r="AY78" t="s">
        <v>373</v>
      </c>
      <c r="AZ78" t="s">
        <v>368</v>
      </c>
      <c r="BA78" t="s">
        <v>374</v>
      </c>
      <c r="BB78" t="s">
        <v>375</v>
      </c>
      <c r="BC78" t="s">
        <v>376</v>
      </c>
      <c r="BD78" t="s">
        <v>376</v>
      </c>
      <c r="BE78" t="s">
        <v>377</v>
      </c>
      <c r="BF78" t="s">
        <v>378</v>
      </c>
      <c r="BG78">
        <v>14061</v>
      </c>
      <c r="BH78" t="s">
        <v>379</v>
      </c>
      <c r="BO78">
        <v>55</v>
      </c>
      <c r="BR78" t="s">
        <v>368</v>
      </c>
      <c r="BS78" t="s">
        <v>369</v>
      </c>
      <c r="BT78" t="s">
        <v>370</v>
      </c>
      <c r="BU78" t="s">
        <v>376</v>
      </c>
      <c r="BV78" t="s">
        <v>376</v>
      </c>
      <c r="BW78" t="s">
        <v>380</v>
      </c>
    </row>
    <row r="79" spans="1:75" x14ac:dyDescent="0.35">
      <c r="A79" t="s">
        <v>408</v>
      </c>
      <c r="B79" s="1">
        <v>45990</v>
      </c>
      <c r="C79" s="2">
        <v>0.72627314814814825</v>
      </c>
      <c r="D79" t="s">
        <v>393</v>
      </c>
      <c r="E79" t="s">
        <v>394</v>
      </c>
      <c r="F79" t="s">
        <v>358</v>
      </c>
      <c r="G79">
        <f>COUNTIF($F$2:$F$350,F79)</f>
        <v>16</v>
      </c>
      <c r="H79" t="s">
        <v>359</v>
      </c>
      <c r="I79" t="s">
        <v>360</v>
      </c>
      <c r="J79" t="s">
        <v>83</v>
      </c>
      <c r="K79" t="s">
        <v>165</v>
      </c>
      <c r="L79">
        <v>50140</v>
      </c>
      <c r="M79" t="s">
        <v>85</v>
      </c>
      <c r="N79" t="s">
        <v>86</v>
      </c>
      <c r="O79" t="s">
        <v>87</v>
      </c>
      <c r="P79" t="s">
        <v>88</v>
      </c>
      <c r="Q79" t="s">
        <v>155</v>
      </c>
      <c r="R79" t="s">
        <v>156</v>
      </c>
      <c r="S79" t="s">
        <v>155</v>
      </c>
      <c r="T79" t="s">
        <v>156</v>
      </c>
      <c r="U79" t="s">
        <v>166</v>
      </c>
      <c r="V79" t="s">
        <v>22</v>
      </c>
      <c r="X79" t="s">
        <v>363</v>
      </c>
      <c r="Y79" t="s">
        <v>95</v>
      </c>
      <c r="Z79" t="s">
        <v>364</v>
      </c>
      <c r="AA79" t="b">
        <v>0</v>
      </c>
      <c r="AC79">
        <v>0</v>
      </c>
      <c r="AD79">
        <v>182</v>
      </c>
      <c r="AE79" t="s">
        <v>167</v>
      </c>
      <c r="AH79" t="s">
        <v>394</v>
      </c>
      <c r="AI79" t="s">
        <v>395</v>
      </c>
      <c r="AJ79" t="s">
        <v>88</v>
      </c>
      <c r="AK79" t="s">
        <v>409</v>
      </c>
      <c r="AL79" t="s">
        <v>88</v>
      </c>
      <c r="AM79" t="s">
        <v>88</v>
      </c>
      <c r="AN79" t="s">
        <v>88</v>
      </c>
      <c r="AO79">
        <v>1002</v>
      </c>
      <c r="AP79" t="s">
        <v>407</v>
      </c>
      <c r="AQ79" t="s">
        <v>368</v>
      </c>
      <c r="AR79" t="s">
        <v>369</v>
      </c>
      <c r="AS79" t="s">
        <v>370</v>
      </c>
      <c r="AT79" t="s">
        <v>371</v>
      </c>
      <c r="AU79" t="s">
        <v>371</v>
      </c>
      <c r="AX79" t="s">
        <v>372</v>
      </c>
      <c r="AY79" t="s">
        <v>373</v>
      </c>
      <c r="AZ79" t="s">
        <v>368</v>
      </c>
      <c r="BA79" t="s">
        <v>374</v>
      </c>
      <c r="BB79" t="s">
        <v>375</v>
      </c>
      <c r="BC79" t="s">
        <v>376</v>
      </c>
      <c r="BD79" t="s">
        <v>376</v>
      </c>
      <c r="BE79" t="s">
        <v>377</v>
      </c>
      <c r="BF79" t="s">
        <v>378</v>
      </c>
      <c r="BG79">
        <v>14061</v>
      </c>
      <c r="BH79" t="s">
        <v>379</v>
      </c>
      <c r="BO79">
        <v>55</v>
      </c>
      <c r="BR79" t="s">
        <v>368</v>
      </c>
      <c r="BS79" t="s">
        <v>369</v>
      </c>
      <c r="BT79" t="s">
        <v>370</v>
      </c>
      <c r="BU79" t="s">
        <v>376</v>
      </c>
      <c r="BV79" t="s">
        <v>376</v>
      </c>
      <c r="BW79" t="s">
        <v>380</v>
      </c>
    </row>
    <row r="80" spans="1:75" x14ac:dyDescent="0.35">
      <c r="A80" t="s">
        <v>410</v>
      </c>
      <c r="B80" s="1">
        <v>45990</v>
      </c>
      <c r="C80" s="2">
        <v>0.72541666666666671</v>
      </c>
      <c r="D80" t="s">
        <v>393</v>
      </c>
      <c r="E80" t="s">
        <v>394</v>
      </c>
      <c r="F80" t="s">
        <v>358</v>
      </c>
      <c r="G80">
        <f>COUNTIF($F$2:$F$350,F80)</f>
        <v>16</v>
      </c>
      <c r="H80" t="s">
        <v>359</v>
      </c>
      <c r="I80" t="s">
        <v>360</v>
      </c>
      <c r="J80" t="s">
        <v>83</v>
      </c>
      <c r="K80" t="s">
        <v>84</v>
      </c>
      <c r="M80" t="s">
        <v>85</v>
      </c>
      <c r="N80" t="s">
        <v>116</v>
      </c>
      <c r="O80" t="s">
        <v>87</v>
      </c>
      <c r="P80" t="s">
        <v>88</v>
      </c>
      <c r="Q80" t="s">
        <v>155</v>
      </c>
      <c r="R80" t="s">
        <v>156</v>
      </c>
      <c r="S80" t="s">
        <v>155</v>
      </c>
      <c r="T80" t="s">
        <v>156</v>
      </c>
      <c r="U80" t="s">
        <v>93</v>
      </c>
      <c r="V80" t="s">
        <v>22</v>
      </c>
      <c r="X80" t="s">
        <v>363</v>
      </c>
      <c r="Y80" t="s">
        <v>95</v>
      </c>
      <c r="Z80" t="s">
        <v>364</v>
      </c>
      <c r="AA80" t="b">
        <v>0</v>
      </c>
      <c r="AC80">
        <v>0</v>
      </c>
      <c r="AD80">
        <v>60</v>
      </c>
      <c r="AH80" t="s">
        <v>394</v>
      </c>
      <c r="AI80" t="s">
        <v>411</v>
      </c>
      <c r="AJ80" t="s">
        <v>88</v>
      </c>
      <c r="AK80" t="s">
        <v>412</v>
      </c>
      <c r="AL80" t="s">
        <v>88</v>
      </c>
      <c r="AM80" t="s">
        <v>88</v>
      </c>
      <c r="AN80" t="s">
        <v>88</v>
      </c>
      <c r="AO80">
        <v>1002</v>
      </c>
      <c r="AP80" t="s">
        <v>413</v>
      </c>
      <c r="AQ80" t="s">
        <v>368</v>
      </c>
      <c r="AR80" t="s">
        <v>369</v>
      </c>
      <c r="AS80" t="s">
        <v>370</v>
      </c>
      <c r="AT80" t="s">
        <v>371</v>
      </c>
      <c r="AU80" t="s">
        <v>371</v>
      </c>
      <c r="AX80" t="s">
        <v>372</v>
      </c>
      <c r="AY80" t="s">
        <v>373</v>
      </c>
      <c r="AZ80" t="s">
        <v>368</v>
      </c>
      <c r="BA80" t="s">
        <v>374</v>
      </c>
      <c r="BB80" t="s">
        <v>375</v>
      </c>
      <c r="BC80" t="s">
        <v>376</v>
      </c>
      <c r="BD80" t="s">
        <v>376</v>
      </c>
      <c r="BE80" t="s">
        <v>377</v>
      </c>
      <c r="BF80" t="s">
        <v>378</v>
      </c>
      <c r="BG80">
        <v>14061</v>
      </c>
      <c r="BH80" t="s">
        <v>379</v>
      </c>
      <c r="BO80">
        <v>55</v>
      </c>
      <c r="BR80" t="s">
        <v>368</v>
      </c>
      <c r="BS80" t="s">
        <v>369</v>
      </c>
      <c r="BT80" t="s">
        <v>370</v>
      </c>
      <c r="BU80" t="s">
        <v>376</v>
      </c>
      <c r="BV80" t="s">
        <v>376</v>
      </c>
      <c r="BW80" t="s">
        <v>380</v>
      </c>
    </row>
    <row r="81" spans="1:75" x14ac:dyDescent="0.35">
      <c r="A81" t="s">
        <v>410</v>
      </c>
      <c r="B81" s="1">
        <v>45990</v>
      </c>
      <c r="C81" s="2">
        <v>0.72541666666666671</v>
      </c>
      <c r="D81" t="s">
        <v>393</v>
      </c>
      <c r="E81" t="s">
        <v>394</v>
      </c>
      <c r="F81" t="s">
        <v>358</v>
      </c>
      <c r="G81">
        <f>COUNTIF($F$2:$F$350,F81)</f>
        <v>16</v>
      </c>
      <c r="H81" t="s">
        <v>359</v>
      </c>
      <c r="I81" t="s">
        <v>360</v>
      </c>
      <c r="J81" t="s">
        <v>83</v>
      </c>
      <c r="K81" t="s">
        <v>165</v>
      </c>
      <c r="L81">
        <v>50140</v>
      </c>
      <c r="M81" t="s">
        <v>85</v>
      </c>
      <c r="N81" t="s">
        <v>116</v>
      </c>
      <c r="O81" t="s">
        <v>87</v>
      </c>
      <c r="P81" t="s">
        <v>88</v>
      </c>
      <c r="Q81" t="s">
        <v>155</v>
      </c>
      <c r="R81" t="s">
        <v>156</v>
      </c>
      <c r="S81" t="s">
        <v>155</v>
      </c>
      <c r="T81" t="s">
        <v>156</v>
      </c>
      <c r="U81" t="s">
        <v>166</v>
      </c>
      <c r="V81" t="s">
        <v>22</v>
      </c>
      <c r="X81" t="s">
        <v>363</v>
      </c>
      <c r="Y81" t="s">
        <v>95</v>
      </c>
      <c r="Z81" t="s">
        <v>364</v>
      </c>
      <c r="AA81" t="b">
        <v>0</v>
      </c>
      <c r="AC81">
        <v>0</v>
      </c>
      <c r="AD81">
        <v>82</v>
      </c>
      <c r="AE81" t="s">
        <v>167</v>
      </c>
      <c r="AH81" t="s">
        <v>394</v>
      </c>
      <c r="AI81" t="s">
        <v>411</v>
      </c>
      <c r="AJ81" t="s">
        <v>88</v>
      </c>
      <c r="AK81" t="s">
        <v>414</v>
      </c>
      <c r="AL81" t="s">
        <v>88</v>
      </c>
      <c r="AM81" t="s">
        <v>88</v>
      </c>
      <c r="AN81" t="s">
        <v>88</v>
      </c>
      <c r="AO81">
        <v>1002</v>
      </c>
      <c r="AP81" t="s">
        <v>413</v>
      </c>
      <c r="AQ81" t="s">
        <v>368</v>
      </c>
      <c r="AR81" t="s">
        <v>369</v>
      </c>
      <c r="AS81" t="s">
        <v>370</v>
      </c>
      <c r="AT81" t="s">
        <v>371</v>
      </c>
      <c r="AU81" t="s">
        <v>371</v>
      </c>
      <c r="AX81" t="s">
        <v>372</v>
      </c>
      <c r="AY81" t="s">
        <v>373</v>
      </c>
      <c r="AZ81" t="s">
        <v>368</v>
      </c>
      <c r="BA81" t="s">
        <v>374</v>
      </c>
      <c r="BB81" t="s">
        <v>375</v>
      </c>
      <c r="BC81" t="s">
        <v>376</v>
      </c>
      <c r="BD81" t="s">
        <v>376</v>
      </c>
      <c r="BE81" t="s">
        <v>377</v>
      </c>
      <c r="BF81" t="s">
        <v>378</v>
      </c>
      <c r="BG81">
        <v>14061</v>
      </c>
      <c r="BH81" t="s">
        <v>379</v>
      </c>
      <c r="BO81">
        <v>55</v>
      </c>
      <c r="BR81" t="s">
        <v>368</v>
      </c>
      <c r="BS81" t="s">
        <v>369</v>
      </c>
      <c r="BT81" t="s">
        <v>370</v>
      </c>
      <c r="BU81" t="s">
        <v>376</v>
      </c>
      <c r="BV81" t="s">
        <v>376</v>
      </c>
      <c r="BW81" t="s">
        <v>380</v>
      </c>
    </row>
    <row r="82" spans="1:75" x14ac:dyDescent="0.35">
      <c r="A82" t="s">
        <v>415</v>
      </c>
      <c r="B82" s="1">
        <v>45990</v>
      </c>
      <c r="C82" s="2">
        <v>0.7251967592592593</v>
      </c>
      <c r="D82" t="s">
        <v>393</v>
      </c>
      <c r="E82" t="s">
        <v>394</v>
      </c>
      <c r="F82" t="s">
        <v>358</v>
      </c>
      <c r="G82">
        <f>COUNTIF($F$2:$F$350,F82)</f>
        <v>16</v>
      </c>
      <c r="H82" t="s">
        <v>359</v>
      </c>
      <c r="I82" t="s">
        <v>360</v>
      </c>
      <c r="J82" t="s">
        <v>83</v>
      </c>
      <c r="K82" t="s">
        <v>361</v>
      </c>
      <c r="L82">
        <v>399218</v>
      </c>
      <c r="M82" t="s">
        <v>85</v>
      </c>
      <c r="N82" t="s">
        <v>86</v>
      </c>
      <c r="O82" t="s">
        <v>87</v>
      </c>
      <c r="P82" t="s">
        <v>88</v>
      </c>
      <c r="Q82" t="s">
        <v>155</v>
      </c>
      <c r="R82" t="s">
        <v>156</v>
      </c>
      <c r="S82" t="s">
        <v>155</v>
      </c>
      <c r="T82" t="s">
        <v>156</v>
      </c>
      <c r="U82" t="s">
        <v>416</v>
      </c>
      <c r="V82" t="s">
        <v>22</v>
      </c>
      <c r="X82" t="s">
        <v>363</v>
      </c>
      <c r="Y82" t="s">
        <v>95</v>
      </c>
      <c r="Z82" t="s">
        <v>364</v>
      </c>
      <c r="AA82" t="b">
        <v>0</v>
      </c>
      <c r="AC82">
        <v>0</v>
      </c>
      <c r="AD82">
        <v>180</v>
      </c>
      <c r="AH82" t="s">
        <v>394</v>
      </c>
      <c r="AJ82" t="s">
        <v>88</v>
      </c>
      <c r="AK82" t="s">
        <v>417</v>
      </c>
      <c r="AL82" t="s">
        <v>88</v>
      </c>
      <c r="AM82" t="s">
        <v>88</v>
      </c>
      <c r="AN82" t="s">
        <v>88</v>
      </c>
      <c r="AP82" t="s">
        <v>413</v>
      </c>
      <c r="AQ82" t="s">
        <v>368</v>
      </c>
      <c r="AR82" t="s">
        <v>369</v>
      </c>
      <c r="AS82" t="s">
        <v>370</v>
      </c>
      <c r="AT82" t="s">
        <v>371</v>
      </c>
      <c r="AU82" t="s">
        <v>371</v>
      </c>
      <c r="AX82" t="s">
        <v>372</v>
      </c>
      <c r="AY82" t="s">
        <v>373</v>
      </c>
      <c r="AZ82" t="s">
        <v>368</v>
      </c>
      <c r="BA82" t="s">
        <v>374</v>
      </c>
      <c r="BB82" t="s">
        <v>375</v>
      </c>
      <c r="BC82" t="s">
        <v>376</v>
      </c>
      <c r="BD82" t="s">
        <v>376</v>
      </c>
      <c r="BE82" t="s">
        <v>377</v>
      </c>
      <c r="BF82" t="s">
        <v>378</v>
      </c>
      <c r="BG82">
        <v>14061</v>
      </c>
      <c r="BH82" t="s">
        <v>379</v>
      </c>
      <c r="BO82">
        <v>55</v>
      </c>
      <c r="BR82" t="s">
        <v>368</v>
      </c>
      <c r="BS82" t="s">
        <v>369</v>
      </c>
      <c r="BT82" t="s">
        <v>370</v>
      </c>
      <c r="BU82" t="s">
        <v>376</v>
      </c>
      <c r="BV82" t="s">
        <v>376</v>
      </c>
      <c r="BW82" t="s">
        <v>380</v>
      </c>
    </row>
    <row r="83" spans="1:75" x14ac:dyDescent="0.35">
      <c r="A83" t="s">
        <v>418</v>
      </c>
      <c r="B83" s="1">
        <v>45990</v>
      </c>
      <c r="C83" s="2">
        <v>0.7221643518518519</v>
      </c>
      <c r="D83" t="s">
        <v>393</v>
      </c>
      <c r="E83" t="s">
        <v>394</v>
      </c>
      <c r="F83" t="s">
        <v>419</v>
      </c>
      <c r="G83">
        <f>COUNTIF($F$2:$F$350,F83)</f>
        <v>2</v>
      </c>
      <c r="H83" t="s">
        <v>81</v>
      </c>
      <c r="I83" t="s">
        <v>82</v>
      </c>
      <c r="J83" t="s">
        <v>83</v>
      </c>
      <c r="K83" t="s">
        <v>84</v>
      </c>
      <c r="M83" t="s">
        <v>85</v>
      </c>
      <c r="N83" t="s">
        <v>86</v>
      </c>
      <c r="O83" t="s">
        <v>87</v>
      </c>
      <c r="P83" t="s">
        <v>173</v>
      </c>
      <c r="Q83" t="s">
        <v>89</v>
      </c>
      <c r="R83" t="s">
        <v>90</v>
      </c>
      <c r="S83" t="s">
        <v>91</v>
      </c>
      <c r="T83" t="s">
        <v>92</v>
      </c>
      <c r="U83" t="s">
        <v>93</v>
      </c>
      <c r="V83" t="s">
        <v>22</v>
      </c>
      <c r="W83" t="s">
        <v>420</v>
      </c>
      <c r="X83" t="s">
        <v>421</v>
      </c>
      <c r="Y83" t="s">
        <v>95</v>
      </c>
      <c r="Z83" t="s">
        <v>422</v>
      </c>
      <c r="AA83" t="b">
        <v>0</v>
      </c>
      <c r="AC83">
        <v>0</v>
      </c>
      <c r="AD83">
        <v>102</v>
      </c>
      <c r="AI83" t="s">
        <v>423</v>
      </c>
      <c r="AJ83" t="s">
        <v>88</v>
      </c>
      <c r="AK83" t="s">
        <v>424</v>
      </c>
      <c r="AL83" t="s">
        <v>88</v>
      </c>
      <c r="AM83" t="s">
        <v>88</v>
      </c>
      <c r="AN83" t="s">
        <v>88</v>
      </c>
      <c r="AP83" t="s">
        <v>425</v>
      </c>
      <c r="AQ83" t="s">
        <v>100</v>
      </c>
      <c r="AR83" t="s">
        <v>101</v>
      </c>
      <c r="AS83" t="s">
        <v>102</v>
      </c>
      <c r="AT83" t="s">
        <v>426</v>
      </c>
      <c r="AU83" t="s">
        <v>426</v>
      </c>
      <c r="AX83" t="s">
        <v>427</v>
      </c>
      <c r="AY83" t="s">
        <v>428</v>
      </c>
      <c r="AZ83" t="s">
        <v>100</v>
      </c>
      <c r="BA83" t="s">
        <v>101</v>
      </c>
      <c r="BB83" t="s">
        <v>102</v>
      </c>
      <c r="BC83" t="s">
        <v>429</v>
      </c>
      <c r="BD83" t="s">
        <v>429</v>
      </c>
      <c r="BF83" t="s">
        <v>143</v>
      </c>
      <c r="BG83">
        <v>7018</v>
      </c>
      <c r="BH83" t="s">
        <v>430</v>
      </c>
      <c r="BO83">
        <v>5</v>
      </c>
      <c r="BR83" t="s">
        <v>100</v>
      </c>
      <c r="BS83" t="s">
        <v>109</v>
      </c>
      <c r="BT83" t="s">
        <v>102</v>
      </c>
      <c r="BU83" t="s">
        <v>429</v>
      </c>
      <c r="BV83" t="s">
        <v>431</v>
      </c>
      <c r="BW83" t="s">
        <v>110</v>
      </c>
    </row>
    <row r="84" spans="1:75" s="8" customFormat="1" x14ac:dyDescent="0.35">
      <c r="A84" s="8" t="s">
        <v>432</v>
      </c>
      <c r="B84" s="9">
        <v>45990</v>
      </c>
      <c r="C84" s="10">
        <v>0.72062500000000007</v>
      </c>
      <c r="D84" s="8" t="s">
        <v>209</v>
      </c>
      <c r="E84" s="8" t="s">
        <v>210</v>
      </c>
      <c r="F84" s="11" t="s">
        <v>172</v>
      </c>
      <c r="G84" s="8">
        <f>COUNTIF($F$2:$F$350,F84)</f>
        <v>213</v>
      </c>
      <c r="H84" s="8" t="s">
        <v>115</v>
      </c>
      <c r="I84" s="8" t="s">
        <v>82</v>
      </c>
      <c r="J84" s="8" t="s">
        <v>83</v>
      </c>
      <c r="K84" s="8" t="s">
        <v>84</v>
      </c>
      <c r="M84" s="8" t="s">
        <v>85</v>
      </c>
      <c r="N84" s="8" t="s">
        <v>86</v>
      </c>
      <c r="O84" s="8" t="s">
        <v>87</v>
      </c>
      <c r="P84" s="8" t="s">
        <v>88</v>
      </c>
      <c r="Q84" s="8" t="s">
        <v>185</v>
      </c>
      <c r="R84" s="8" t="s">
        <v>186</v>
      </c>
      <c r="S84" s="8" t="s">
        <v>187</v>
      </c>
      <c r="T84" s="8" t="s">
        <v>188</v>
      </c>
      <c r="U84" s="8" t="s">
        <v>93</v>
      </c>
      <c r="V84" s="8" t="s">
        <v>22</v>
      </c>
      <c r="X84" s="8" t="s">
        <v>177</v>
      </c>
      <c r="Y84" s="8" t="s">
        <v>95</v>
      </c>
      <c r="Z84" s="8" t="s">
        <v>189</v>
      </c>
      <c r="AA84" s="8" t="b">
        <v>0</v>
      </c>
      <c r="AC84" s="8">
        <v>0</v>
      </c>
      <c r="AD84" s="8">
        <v>78</v>
      </c>
      <c r="AI84" s="8" t="s">
        <v>213</v>
      </c>
      <c r="AJ84" s="8" t="s">
        <v>88</v>
      </c>
      <c r="AK84" s="8" t="s">
        <v>433</v>
      </c>
      <c r="AL84" s="8" t="s">
        <v>88</v>
      </c>
      <c r="AM84" s="8" t="s">
        <v>88</v>
      </c>
      <c r="AN84" s="8" t="s">
        <v>88</v>
      </c>
      <c r="AO84" s="8">
        <v>1002</v>
      </c>
      <c r="AP84" s="8" t="s">
        <v>434</v>
      </c>
      <c r="AQ84" s="8" t="s">
        <v>100</v>
      </c>
      <c r="AR84" s="8" t="s">
        <v>101</v>
      </c>
      <c r="AS84" s="8" t="s">
        <v>120</v>
      </c>
      <c r="AT84" s="8" t="s">
        <v>103</v>
      </c>
      <c r="AU84" s="8" t="s">
        <v>103</v>
      </c>
      <c r="AX84" s="8" t="s">
        <v>104</v>
      </c>
      <c r="AY84" s="8" t="s">
        <v>121</v>
      </c>
      <c r="AZ84" s="8" t="s">
        <v>100</v>
      </c>
      <c r="BA84" s="8" t="s">
        <v>101</v>
      </c>
      <c r="BB84" s="8" t="s">
        <v>102</v>
      </c>
      <c r="BC84" s="8" t="s">
        <v>103</v>
      </c>
      <c r="BD84" s="8" t="s">
        <v>103</v>
      </c>
      <c r="BF84" s="8" t="s">
        <v>107</v>
      </c>
      <c r="BG84" s="8">
        <v>16700</v>
      </c>
      <c r="BH84" s="8" t="s">
        <v>122</v>
      </c>
      <c r="BO84" s="8">
        <v>12</v>
      </c>
      <c r="BR84" s="8" t="s">
        <v>100</v>
      </c>
      <c r="BS84" s="8" t="s">
        <v>182</v>
      </c>
      <c r="BT84" s="8" t="s">
        <v>183</v>
      </c>
      <c r="BU84" s="8" t="s">
        <v>106</v>
      </c>
      <c r="BV84" s="8" t="s">
        <v>123</v>
      </c>
      <c r="BW84" s="8" t="s">
        <v>110</v>
      </c>
    </row>
    <row r="85" spans="1:75" s="8" customFormat="1" x14ac:dyDescent="0.35">
      <c r="A85" s="8" t="s">
        <v>432</v>
      </c>
      <c r="B85" s="9">
        <v>45990</v>
      </c>
      <c r="C85" s="10">
        <v>0.72062500000000007</v>
      </c>
      <c r="D85" s="8" t="s">
        <v>209</v>
      </c>
      <c r="E85" s="8" t="s">
        <v>210</v>
      </c>
      <c r="F85" s="11" t="s">
        <v>172</v>
      </c>
      <c r="G85" s="8">
        <f>COUNTIF($F$2:$F$350,F85)</f>
        <v>213</v>
      </c>
      <c r="H85" s="8" t="s">
        <v>115</v>
      </c>
      <c r="I85" s="8" t="s">
        <v>82</v>
      </c>
      <c r="J85" s="8" t="s">
        <v>83</v>
      </c>
      <c r="K85" s="8" t="s">
        <v>84</v>
      </c>
      <c r="M85" s="8" t="s">
        <v>85</v>
      </c>
      <c r="N85" s="8" t="s">
        <v>86</v>
      </c>
      <c r="O85" s="8" t="s">
        <v>87</v>
      </c>
      <c r="P85" s="8" t="s">
        <v>88</v>
      </c>
      <c r="Q85" s="8" t="s">
        <v>185</v>
      </c>
      <c r="R85" s="8" t="s">
        <v>186</v>
      </c>
      <c r="S85" s="8" t="s">
        <v>132</v>
      </c>
      <c r="T85" s="8" t="s">
        <v>133</v>
      </c>
      <c r="U85" s="8" t="s">
        <v>93</v>
      </c>
      <c r="V85" s="8" t="s">
        <v>22</v>
      </c>
      <c r="X85" s="8" t="s">
        <v>177</v>
      </c>
      <c r="Y85" s="8" t="s">
        <v>95</v>
      </c>
      <c r="Z85" s="8" t="s">
        <v>189</v>
      </c>
      <c r="AA85" s="8" t="b">
        <v>0</v>
      </c>
      <c r="AC85" s="8">
        <v>0</v>
      </c>
      <c r="AD85" s="8">
        <v>72</v>
      </c>
      <c r="AI85" s="8" t="s">
        <v>213</v>
      </c>
      <c r="AJ85" s="8" t="s">
        <v>88</v>
      </c>
      <c r="AK85" s="8" t="s">
        <v>435</v>
      </c>
      <c r="AL85" s="8" t="s">
        <v>88</v>
      </c>
      <c r="AM85" s="8" t="s">
        <v>88</v>
      </c>
      <c r="AN85" s="8" t="s">
        <v>88</v>
      </c>
      <c r="AO85" s="8">
        <v>1002</v>
      </c>
      <c r="AP85" s="8" t="s">
        <v>436</v>
      </c>
      <c r="AQ85" s="8" t="s">
        <v>100</v>
      </c>
      <c r="AR85" s="8" t="s">
        <v>101</v>
      </c>
      <c r="AS85" s="8" t="s">
        <v>120</v>
      </c>
      <c r="AT85" s="8" t="s">
        <v>103</v>
      </c>
      <c r="AU85" s="8" t="s">
        <v>103</v>
      </c>
      <c r="AX85" s="8" t="s">
        <v>104</v>
      </c>
      <c r="AY85" s="8" t="s">
        <v>121</v>
      </c>
      <c r="AZ85" s="8" t="s">
        <v>100</v>
      </c>
      <c r="BA85" s="8" t="s">
        <v>101</v>
      </c>
      <c r="BB85" s="8" t="s">
        <v>102</v>
      </c>
      <c r="BC85" s="8" t="s">
        <v>103</v>
      </c>
      <c r="BD85" s="8" t="s">
        <v>103</v>
      </c>
      <c r="BF85" s="8" t="s">
        <v>107</v>
      </c>
      <c r="BG85" s="8">
        <v>16700</v>
      </c>
      <c r="BH85" s="8" t="s">
        <v>122</v>
      </c>
      <c r="BO85" s="8">
        <v>12</v>
      </c>
      <c r="BR85" s="8" t="s">
        <v>100</v>
      </c>
      <c r="BS85" s="8" t="s">
        <v>182</v>
      </c>
      <c r="BT85" s="8" t="s">
        <v>183</v>
      </c>
      <c r="BU85" s="8" t="s">
        <v>106</v>
      </c>
      <c r="BV85" s="8" t="s">
        <v>123</v>
      </c>
      <c r="BW85" s="8" t="s">
        <v>110</v>
      </c>
    </row>
    <row r="86" spans="1:75" s="8" customFormat="1" x14ac:dyDescent="0.35">
      <c r="A86" s="8" t="s">
        <v>432</v>
      </c>
      <c r="B86" s="9">
        <v>45990</v>
      </c>
      <c r="C86" s="10">
        <v>0.72062500000000007</v>
      </c>
      <c r="D86" s="8" t="s">
        <v>209</v>
      </c>
      <c r="E86" s="8" t="s">
        <v>210</v>
      </c>
      <c r="F86" s="11" t="s">
        <v>172</v>
      </c>
      <c r="G86" s="8">
        <f>COUNTIF($F$2:$F$350,F86)</f>
        <v>213</v>
      </c>
      <c r="H86" s="8" t="s">
        <v>115</v>
      </c>
      <c r="I86" s="8" t="s">
        <v>82</v>
      </c>
      <c r="J86" s="8" t="s">
        <v>83</v>
      </c>
      <c r="K86" s="8" t="s">
        <v>84</v>
      </c>
      <c r="M86" s="8" t="s">
        <v>85</v>
      </c>
      <c r="N86" s="8" t="s">
        <v>86</v>
      </c>
      <c r="O86" s="8" t="s">
        <v>87</v>
      </c>
      <c r="P86" s="8" t="s">
        <v>88</v>
      </c>
      <c r="Q86" s="8" t="s">
        <v>185</v>
      </c>
      <c r="R86" s="8" t="s">
        <v>186</v>
      </c>
      <c r="S86" s="8" t="s">
        <v>132</v>
      </c>
      <c r="T86" s="8" t="s">
        <v>133</v>
      </c>
      <c r="U86" s="8" t="s">
        <v>93</v>
      </c>
      <c r="V86" s="8" t="s">
        <v>22</v>
      </c>
      <c r="X86" s="8" t="s">
        <v>177</v>
      </c>
      <c r="Y86" s="8" t="s">
        <v>95</v>
      </c>
      <c r="Z86" s="8" t="s">
        <v>189</v>
      </c>
      <c r="AA86" s="8" t="b">
        <v>0</v>
      </c>
      <c r="AC86" s="8">
        <v>0</v>
      </c>
      <c r="AD86" s="8">
        <v>67</v>
      </c>
      <c r="AI86" s="8" t="s">
        <v>213</v>
      </c>
      <c r="AJ86" s="8" t="s">
        <v>88</v>
      </c>
      <c r="AK86" s="8" t="s">
        <v>437</v>
      </c>
      <c r="AL86" s="8" t="s">
        <v>88</v>
      </c>
      <c r="AM86" s="8" t="s">
        <v>88</v>
      </c>
      <c r="AN86" s="8" t="s">
        <v>88</v>
      </c>
      <c r="AO86" s="8">
        <v>1002</v>
      </c>
      <c r="AP86" s="8" t="s">
        <v>438</v>
      </c>
      <c r="AQ86" s="8" t="s">
        <v>100</v>
      </c>
      <c r="AR86" s="8" t="s">
        <v>101</v>
      </c>
      <c r="AS86" s="8" t="s">
        <v>120</v>
      </c>
      <c r="AT86" s="8" t="s">
        <v>103</v>
      </c>
      <c r="AU86" s="8" t="s">
        <v>103</v>
      </c>
      <c r="AX86" s="8" t="s">
        <v>104</v>
      </c>
      <c r="AY86" s="8" t="s">
        <v>121</v>
      </c>
      <c r="AZ86" s="8" t="s">
        <v>100</v>
      </c>
      <c r="BA86" s="8" t="s">
        <v>101</v>
      </c>
      <c r="BB86" s="8" t="s">
        <v>102</v>
      </c>
      <c r="BC86" s="8" t="s">
        <v>103</v>
      </c>
      <c r="BD86" s="8" t="s">
        <v>103</v>
      </c>
      <c r="BF86" s="8" t="s">
        <v>107</v>
      </c>
      <c r="BG86" s="8">
        <v>16700</v>
      </c>
      <c r="BH86" s="8" t="s">
        <v>122</v>
      </c>
      <c r="BO86" s="8">
        <v>12</v>
      </c>
      <c r="BR86" s="8" t="s">
        <v>100</v>
      </c>
      <c r="BS86" s="8" t="s">
        <v>182</v>
      </c>
      <c r="BT86" s="8" t="s">
        <v>183</v>
      </c>
      <c r="BU86" s="8" t="s">
        <v>106</v>
      </c>
      <c r="BV86" s="8" t="s">
        <v>123</v>
      </c>
      <c r="BW86" s="8" t="s">
        <v>110</v>
      </c>
    </row>
    <row r="87" spans="1:75" s="8" customFormat="1" x14ac:dyDescent="0.35">
      <c r="A87" s="8" t="s">
        <v>439</v>
      </c>
      <c r="B87" s="9">
        <v>45990</v>
      </c>
      <c r="C87" s="10">
        <v>0.71979166666666661</v>
      </c>
      <c r="D87" s="8" t="s">
        <v>170</v>
      </c>
      <c r="E87" s="8" t="s">
        <v>171</v>
      </c>
      <c r="F87" s="11" t="s">
        <v>172</v>
      </c>
      <c r="G87" s="8">
        <f>COUNTIF($F$2:$F$350,F87)</f>
        <v>213</v>
      </c>
      <c r="H87" s="8" t="s">
        <v>115</v>
      </c>
      <c r="I87" s="8" t="s">
        <v>82</v>
      </c>
      <c r="J87" s="8" t="s">
        <v>83</v>
      </c>
      <c r="K87" s="8" t="s">
        <v>84</v>
      </c>
      <c r="M87" s="8" t="s">
        <v>85</v>
      </c>
      <c r="N87" s="8" t="s">
        <v>116</v>
      </c>
      <c r="O87" s="8" t="s">
        <v>87</v>
      </c>
      <c r="P87" s="8" t="s">
        <v>173</v>
      </c>
      <c r="Q87" s="8" t="s">
        <v>323</v>
      </c>
      <c r="R87" s="8" t="s">
        <v>324</v>
      </c>
      <c r="S87" s="8" t="s">
        <v>132</v>
      </c>
      <c r="T87" s="8" t="s">
        <v>133</v>
      </c>
      <c r="U87" s="8" t="s">
        <v>93</v>
      </c>
      <c r="V87" s="8" t="s">
        <v>22</v>
      </c>
      <c r="W87" s="8" t="s">
        <v>176</v>
      </c>
      <c r="X87" s="8" t="s">
        <v>177</v>
      </c>
      <c r="Y87" s="8" t="s">
        <v>95</v>
      </c>
      <c r="Z87" s="8" t="s">
        <v>189</v>
      </c>
      <c r="AA87" s="8" t="b">
        <v>0</v>
      </c>
      <c r="AC87" s="8">
        <v>0</v>
      </c>
      <c r="AD87" s="8">
        <v>130</v>
      </c>
      <c r="AI87" s="8" t="s">
        <v>179</v>
      </c>
      <c r="AJ87" s="8" t="s">
        <v>88</v>
      </c>
      <c r="AK87" s="8" t="s">
        <v>440</v>
      </c>
      <c r="AL87" s="8" t="s">
        <v>88</v>
      </c>
      <c r="AM87" s="8" t="s">
        <v>88</v>
      </c>
      <c r="AN87" s="8" t="s">
        <v>88</v>
      </c>
      <c r="AP87" s="8" t="s">
        <v>441</v>
      </c>
      <c r="AQ87" s="8" t="s">
        <v>100</v>
      </c>
      <c r="AR87" s="8" t="s">
        <v>101</v>
      </c>
      <c r="AS87" s="8" t="s">
        <v>120</v>
      </c>
      <c r="AT87" s="8" t="s">
        <v>103</v>
      </c>
      <c r="AU87" s="8" t="s">
        <v>103</v>
      </c>
      <c r="AX87" s="8" t="s">
        <v>104</v>
      </c>
      <c r="AY87" s="8" t="s">
        <v>121</v>
      </c>
      <c r="AZ87" s="8" t="s">
        <v>100</v>
      </c>
      <c r="BA87" s="8" t="s">
        <v>101</v>
      </c>
      <c r="BB87" s="8" t="s">
        <v>102</v>
      </c>
      <c r="BC87" s="8" t="s">
        <v>103</v>
      </c>
      <c r="BD87" s="8" t="s">
        <v>103</v>
      </c>
      <c r="BF87" s="8" t="s">
        <v>107</v>
      </c>
      <c r="BG87" s="8">
        <v>16700</v>
      </c>
      <c r="BH87" s="8" t="s">
        <v>122</v>
      </c>
      <c r="BO87" s="8">
        <v>12</v>
      </c>
      <c r="BR87" s="8" t="s">
        <v>100</v>
      </c>
      <c r="BS87" s="8" t="s">
        <v>182</v>
      </c>
      <c r="BT87" s="8" t="s">
        <v>183</v>
      </c>
      <c r="BU87" s="8" t="s">
        <v>106</v>
      </c>
      <c r="BV87" s="8" t="s">
        <v>123</v>
      </c>
      <c r="BW87" s="8" t="s">
        <v>110</v>
      </c>
    </row>
    <row r="88" spans="1:75" s="8" customFormat="1" x14ac:dyDescent="0.35">
      <c r="A88" s="8" t="s">
        <v>442</v>
      </c>
      <c r="B88" s="9">
        <v>45990</v>
      </c>
      <c r="C88" s="10">
        <v>0.71969907407407396</v>
      </c>
      <c r="D88" s="8" t="s">
        <v>170</v>
      </c>
      <c r="E88" s="8" t="s">
        <v>171</v>
      </c>
      <c r="F88" s="11" t="s">
        <v>172</v>
      </c>
      <c r="G88" s="8">
        <f>COUNTIF($F$2:$F$350,F88)</f>
        <v>213</v>
      </c>
      <c r="H88" s="8" t="s">
        <v>115</v>
      </c>
      <c r="I88" s="8" t="s">
        <v>82</v>
      </c>
      <c r="J88" s="8" t="s">
        <v>83</v>
      </c>
      <c r="K88" s="8" t="s">
        <v>84</v>
      </c>
      <c r="M88" s="8" t="s">
        <v>85</v>
      </c>
      <c r="N88" s="8" t="s">
        <v>116</v>
      </c>
      <c r="O88" s="8" t="s">
        <v>87</v>
      </c>
      <c r="P88" s="8" t="s">
        <v>173</v>
      </c>
      <c r="Q88" s="8" t="s">
        <v>185</v>
      </c>
      <c r="R88" s="8" t="s">
        <v>186</v>
      </c>
      <c r="S88" s="8" t="s">
        <v>187</v>
      </c>
      <c r="T88" s="8" t="s">
        <v>188</v>
      </c>
      <c r="U88" s="8" t="s">
        <v>93</v>
      </c>
      <c r="V88" s="8" t="s">
        <v>22</v>
      </c>
      <c r="W88" s="8" t="s">
        <v>176</v>
      </c>
      <c r="X88" s="8" t="s">
        <v>177</v>
      </c>
      <c r="Y88" s="8" t="s">
        <v>95</v>
      </c>
      <c r="Z88" s="8" t="s">
        <v>189</v>
      </c>
      <c r="AA88" s="8" t="b">
        <v>0</v>
      </c>
      <c r="AC88" s="8">
        <v>0</v>
      </c>
      <c r="AD88" s="8">
        <v>153</v>
      </c>
      <c r="AI88" s="8" t="s">
        <v>179</v>
      </c>
      <c r="AJ88" s="8" t="s">
        <v>88</v>
      </c>
      <c r="AK88" s="8" t="s">
        <v>443</v>
      </c>
      <c r="AL88" s="8" t="s">
        <v>88</v>
      </c>
      <c r="AM88" s="8" t="s">
        <v>88</v>
      </c>
      <c r="AN88" s="8" t="s">
        <v>88</v>
      </c>
      <c r="AP88" s="8" t="s">
        <v>444</v>
      </c>
      <c r="AQ88" s="8" t="s">
        <v>100</v>
      </c>
      <c r="AR88" s="8" t="s">
        <v>101</v>
      </c>
      <c r="AS88" s="8" t="s">
        <v>120</v>
      </c>
      <c r="AT88" s="8" t="s">
        <v>103</v>
      </c>
      <c r="AU88" s="8" t="s">
        <v>103</v>
      </c>
      <c r="AX88" s="8" t="s">
        <v>104</v>
      </c>
      <c r="AY88" s="8" t="s">
        <v>121</v>
      </c>
      <c r="AZ88" s="8" t="s">
        <v>100</v>
      </c>
      <c r="BA88" s="8" t="s">
        <v>101</v>
      </c>
      <c r="BB88" s="8" t="s">
        <v>102</v>
      </c>
      <c r="BC88" s="8" t="s">
        <v>103</v>
      </c>
      <c r="BD88" s="8" t="s">
        <v>103</v>
      </c>
      <c r="BF88" s="8" t="s">
        <v>107</v>
      </c>
      <c r="BG88" s="8">
        <v>16700</v>
      </c>
      <c r="BH88" s="8" t="s">
        <v>122</v>
      </c>
      <c r="BO88" s="8">
        <v>12</v>
      </c>
      <c r="BR88" s="8" t="s">
        <v>100</v>
      </c>
      <c r="BS88" s="8" t="s">
        <v>182</v>
      </c>
      <c r="BT88" s="8" t="s">
        <v>183</v>
      </c>
      <c r="BU88" s="8" t="s">
        <v>106</v>
      </c>
      <c r="BV88" s="8" t="s">
        <v>123</v>
      </c>
      <c r="BW88" s="8" t="s">
        <v>110</v>
      </c>
    </row>
    <row r="89" spans="1:75" s="8" customFormat="1" x14ac:dyDescent="0.35">
      <c r="A89" s="8" t="s">
        <v>445</v>
      </c>
      <c r="B89" s="9">
        <v>45990</v>
      </c>
      <c r="C89" s="10">
        <v>0.7195138888888889</v>
      </c>
      <c r="D89" s="8" t="s">
        <v>209</v>
      </c>
      <c r="E89" s="8" t="s">
        <v>210</v>
      </c>
      <c r="F89" s="11" t="s">
        <v>172</v>
      </c>
      <c r="G89" s="8">
        <f>COUNTIF($F$2:$F$350,F89)</f>
        <v>213</v>
      </c>
      <c r="H89" s="8" t="s">
        <v>115</v>
      </c>
      <c r="I89" s="8" t="s">
        <v>82</v>
      </c>
      <c r="J89" s="8" t="s">
        <v>83</v>
      </c>
      <c r="K89" s="8" t="s">
        <v>84</v>
      </c>
      <c r="M89" s="8" t="s">
        <v>85</v>
      </c>
      <c r="N89" s="8" t="s">
        <v>86</v>
      </c>
      <c r="O89" s="8" t="s">
        <v>87</v>
      </c>
      <c r="P89" s="8" t="s">
        <v>88</v>
      </c>
      <c r="Q89" s="8" t="s">
        <v>185</v>
      </c>
      <c r="R89" s="8" t="s">
        <v>186</v>
      </c>
      <c r="S89" s="8" t="s">
        <v>132</v>
      </c>
      <c r="T89" s="8" t="s">
        <v>133</v>
      </c>
      <c r="U89" s="8" t="s">
        <v>93</v>
      </c>
      <c r="V89" s="8" t="s">
        <v>22</v>
      </c>
      <c r="X89" s="8" t="s">
        <v>177</v>
      </c>
      <c r="Y89" s="8" t="s">
        <v>95</v>
      </c>
      <c r="Z89" s="8" t="s">
        <v>189</v>
      </c>
      <c r="AA89" s="8" t="b">
        <v>0</v>
      </c>
      <c r="AC89" s="8">
        <v>0</v>
      </c>
      <c r="AD89" s="8">
        <v>73</v>
      </c>
      <c r="AI89" s="8" t="s">
        <v>213</v>
      </c>
      <c r="AJ89" s="8" t="s">
        <v>88</v>
      </c>
      <c r="AK89" s="8" t="s">
        <v>446</v>
      </c>
      <c r="AL89" s="8" t="s">
        <v>88</v>
      </c>
      <c r="AM89" s="8" t="s">
        <v>88</v>
      </c>
      <c r="AN89" s="8" t="s">
        <v>88</v>
      </c>
      <c r="AO89" s="8">
        <v>1002</v>
      </c>
      <c r="AP89" s="8" t="s">
        <v>447</v>
      </c>
      <c r="AQ89" s="8" t="s">
        <v>100</v>
      </c>
      <c r="AR89" s="8" t="s">
        <v>101</v>
      </c>
      <c r="AS89" s="8" t="s">
        <v>120</v>
      </c>
      <c r="AT89" s="8" t="s">
        <v>103</v>
      </c>
      <c r="AU89" s="8" t="s">
        <v>103</v>
      </c>
      <c r="AX89" s="8" t="s">
        <v>104</v>
      </c>
      <c r="AY89" s="8" t="s">
        <v>121</v>
      </c>
      <c r="AZ89" s="8" t="s">
        <v>100</v>
      </c>
      <c r="BA89" s="8" t="s">
        <v>101</v>
      </c>
      <c r="BB89" s="8" t="s">
        <v>102</v>
      </c>
      <c r="BC89" s="8" t="s">
        <v>103</v>
      </c>
      <c r="BD89" s="8" t="s">
        <v>103</v>
      </c>
      <c r="BF89" s="8" t="s">
        <v>107</v>
      </c>
      <c r="BG89" s="8">
        <v>16700</v>
      </c>
      <c r="BH89" s="8" t="s">
        <v>122</v>
      </c>
      <c r="BO89" s="8">
        <v>12</v>
      </c>
      <c r="BR89" s="8" t="s">
        <v>100</v>
      </c>
      <c r="BS89" s="8" t="s">
        <v>182</v>
      </c>
      <c r="BT89" s="8" t="s">
        <v>183</v>
      </c>
      <c r="BU89" s="8" t="s">
        <v>106</v>
      </c>
      <c r="BV89" s="8" t="s">
        <v>123</v>
      </c>
      <c r="BW89" s="8" t="s">
        <v>110</v>
      </c>
    </row>
    <row r="90" spans="1:75" s="8" customFormat="1" x14ac:dyDescent="0.35">
      <c r="A90" s="8" t="s">
        <v>445</v>
      </c>
      <c r="B90" s="9">
        <v>45990</v>
      </c>
      <c r="C90" s="10">
        <v>0.7195138888888889</v>
      </c>
      <c r="D90" s="8" t="s">
        <v>209</v>
      </c>
      <c r="E90" s="8" t="s">
        <v>210</v>
      </c>
      <c r="F90" s="11" t="s">
        <v>172</v>
      </c>
      <c r="G90" s="8">
        <f>COUNTIF($F$2:$F$350,F90)</f>
        <v>213</v>
      </c>
      <c r="H90" s="8" t="s">
        <v>115</v>
      </c>
      <c r="I90" s="8" t="s">
        <v>82</v>
      </c>
      <c r="J90" s="8" t="s">
        <v>83</v>
      </c>
      <c r="K90" s="8" t="s">
        <v>84</v>
      </c>
      <c r="M90" s="8" t="s">
        <v>85</v>
      </c>
      <c r="N90" s="8" t="s">
        <v>86</v>
      </c>
      <c r="O90" s="8" t="s">
        <v>87</v>
      </c>
      <c r="P90" s="8" t="s">
        <v>88</v>
      </c>
      <c r="Q90" s="8" t="s">
        <v>185</v>
      </c>
      <c r="R90" s="8" t="s">
        <v>186</v>
      </c>
      <c r="S90" s="8" t="s">
        <v>187</v>
      </c>
      <c r="T90" s="8" t="s">
        <v>188</v>
      </c>
      <c r="U90" s="8" t="s">
        <v>93</v>
      </c>
      <c r="V90" s="8" t="s">
        <v>22</v>
      </c>
      <c r="X90" s="8" t="s">
        <v>177</v>
      </c>
      <c r="Y90" s="8" t="s">
        <v>95</v>
      </c>
      <c r="Z90" s="8" t="s">
        <v>189</v>
      </c>
      <c r="AA90" s="8" t="b">
        <v>0</v>
      </c>
      <c r="AC90" s="8">
        <v>0</v>
      </c>
      <c r="AD90" s="8">
        <v>73</v>
      </c>
      <c r="AI90" s="8" t="s">
        <v>213</v>
      </c>
      <c r="AJ90" s="8" t="s">
        <v>88</v>
      </c>
      <c r="AK90" s="8" t="s">
        <v>448</v>
      </c>
      <c r="AL90" s="8" t="s">
        <v>88</v>
      </c>
      <c r="AM90" s="8" t="s">
        <v>88</v>
      </c>
      <c r="AN90" s="8" t="s">
        <v>88</v>
      </c>
      <c r="AO90" s="8">
        <v>1002</v>
      </c>
      <c r="AP90" s="8" t="s">
        <v>449</v>
      </c>
      <c r="AQ90" s="8" t="s">
        <v>100</v>
      </c>
      <c r="AR90" s="8" t="s">
        <v>101</v>
      </c>
      <c r="AS90" s="8" t="s">
        <v>120</v>
      </c>
      <c r="AT90" s="8" t="s">
        <v>103</v>
      </c>
      <c r="AU90" s="8" t="s">
        <v>103</v>
      </c>
      <c r="AX90" s="8" t="s">
        <v>104</v>
      </c>
      <c r="AY90" s="8" t="s">
        <v>121</v>
      </c>
      <c r="AZ90" s="8" t="s">
        <v>100</v>
      </c>
      <c r="BA90" s="8" t="s">
        <v>101</v>
      </c>
      <c r="BB90" s="8" t="s">
        <v>102</v>
      </c>
      <c r="BC90" s="8" t="s">
        <v>103</v>
      </c>
      <c r="BD90" s="8" t="s">
        <v>103</v>
      </c>
      <c r="BF90" s="8" t="s">
        <v>107</v>
      </c>
      <c r="BG90" s="8">
        <v>16700</v>
      </c>
      <c r="BH90" s="8" t="s">
        <v>122</v>
      </c>
      <c r="BO90" s="8">
        <v>12</v>
      </c>
      <c r="BR90" s="8" t="s">
        <v>100</v>
      </c>
      <c r="BS90" s="8" t="s">
        <v>182</v>
      </c>
      <c r="BT90" s="8" t="s">
        <v>183</v>
      </c>
      <c r="BU90" s="8" t="s">
        <v>106</v>
      </c>
      <c r="BV90" s="8" t="s">
        <v>123</v>
      </c>
      <c r="BW90" s="8" t="s">
        <v>110</v>
      </c>
    </row>
    <row r="91" spans="1:75" s="8" customFormat="1" x14ac:dyDescent="0.35">
      <c r="A91" s="8" t="s">
        <v>445</v>
      </c>
      <c r="B91" s="9">
        <v>45990</v>
      </c>
      <c r="C91" s="10">
        <v>0.7195138888888889</v>
      </c>
      <c r="D91" s="8" t="s">
        <v>209</v>
      </c>
      <c r="E91" s="8" t="s">
        <v>210</v>
      </c>
      <c r="F91" s="11" t="s">
        <v>172</v>
      </c>
      <c r="G91" s="8">
        <f>COUNTIF($F$2:$F$350,F91)</f>
        <v>213</v>
      </c>
      <c r="H91" s="8" t="s">
        <v>115</v>
      </c>
      <c r="I91" s="8" t="s">
        <v>82</v>
      </c>
      <c r="J91" s="8" t="s">
        <v>83</v>
      </c>
      <c r="K91" s="8" t="s">
        <v>84</v>
      </c>
      <c r="M91" s="8" t="s">
        <v>85</v>
      </c>
      <c r="N91" s="8" t="s">
        <v>86</v>
      </c>
      <c r="O91" s="8" t="s">
        <v>87</v>
      </c>
      <c r="P91" s="8" t="s">
        <v>88</v>
      </c>
      <c r="Q91" s="8" t="s">
        <v>185</v>
      </c>
      <c r="R91" s="8" t="s">
        <v>186</v>
      </c>
      <c r="S91" s="8" t="s">
        <v>132</v>
      </c>
      <c r="T91" s="8" t="s">
        <v>133</v>
      </c>
      <c r="U91" s="8" t="s">
        <v>93</v>
      </c>
      <c r="V91" s="8" t="s">
        <v>22</v>
      </c>
      <c r="X91" s="8" t="s">
        <v>177</v>
      </c>
      <c r="Y91" s="8" t="s">
        <v>95</v>
      </c>
      <c r="Z91" s="8" t="s">
        <v>189</v>
      </c>
      <c r="AA91" s="8" t="b">
        <v>0</v>
      </c>
      <c r="AC91" s="8">
        <v>0</v>
      </c>
      <c r="AD91" s="8">
        <v>71</v>
      </c>
      <c r="AI91" s="8" t="s">
        <v>213</v>
      </c>
      <c r="AJ91" s="8" t="s">
        <v>88</v>
      </c>
      <c r="AK91" s="8" t="s">
        <v>450</v>
      </c>
      <c r="AL91" s="8" t="s">
        <v>88</v>
      </c>
      <c r="AM91" s="8" t="s">
        <v>88</v>
      </c>
      <c r="AN91" s="8" t="s">
        <v>88</v>
      </c>
      <c r="AO91" s="8">
        <v>1002</v>
      </c>
      <c r="AP91" s="8" t="s">
        <v>451</v>
      </c>
      <c r="AQ91" s="8" t="s">
        <v>100</v>
      </c>
      <c r="AR91" s="8" t="s">
        <v>101</v>
      </c>
      <c r="AS91" s="8" t="s">
        <v>120</v>
      </c>
      <c r="AT91" s="8" t="s">
        <v>103</v>
      </c>
      <c r="AU91" s="8" t="s">
        <v>103</v>
      </c>
      <c r="AX91" s="8" t="s">
        <v>104</v>
      </c>
      <c r="AY91" s="8" t="s">
        <v>121</v>
      </c>
      <c r="AZ91" s="8" t="s">
        <v>100</v>
      </c>
      <c r="BA91" s="8" t="s">
        <v>101</v>
      </c>
      <c r="BB91" s="8" t="s">
        <v>102</v>
      </c>
      <c r="BC91" s="8" t="s">
        <v>103</v>
      </c>
      <c r="BD91" s="8" t="s">
        <v>103</v>
      </c>
      <c r="BF91" s="8" t="s">
        <v>107</v>
      </c>
      <c r="BG91" s="8">
        <v>16700</v>
      </c>
      <c r="BH91" s="8" t="s">
        <v>122</v>
      </c>
      <c r="BO91" s="8">
        <v>12</v>
      </c>
      <c r="BR91" s="8" t="s">
        <v>100</v>
      </c>
      <c r="BS91" s="8" t="s">
        <v>182</v>
      </c>
      <c r="BT91" s="8" t="s">
        <v>183</v>
      </c>
      <c r="BU91" s="8" t="s">
        <v>106</v>
      </c>
      <c r="BV91" s="8" t="s">
        <v>123</v>
      </c>
      <c r="BW91" s="8" t="s">
        <v>110</v>
      </c>
    </row>
    <row r="92" spans="1:75" s="8" customFormat="1" x14ac:dyDescent="0.35">
      <c r="A92" s="8" t="s">
        <v>452</v>
      </c>
      <c r="B92" s="9">
        <v>45990</v>
      </c>
      <c r="C92" s="10">
        <v>0.71839120370370368</v>
      </c>
      <c r="D92" s="8" t="s">
        <v>170</v>
      </c>
      <c r="E92" s="8" t="s">
        <v>171</v>
      </c>
      <c r="F92" s="11" t="s">
        <v>172</v>
      </c>
      <c r="G92" s="8">
        <f>COUNTIF($F$2:$F$350,F92)</f>
        <v>213</v>
      </c>
      <c r="H92" s="8" t="s">
        <v>115</v>
      </c>
      <c r="I92" s="8" t="s">
        <v>82</v>
      </c>
      <c r="J92" s="8" t="s">
        <v>83</v>
      </c>
      <c r="K92" s="8" t="s">
        <v>84</v>
      </c>
      <c r="M92" s="8" t="s">
        <v>85</v>
      </c>
      <c r="N92" s="8" t="s">
        <v>116</v>
      </c>
      <c r="O92" s="8" t="s">
        <v>87</v>
      </c>
      <c r="P92" s="8" t="s">
        <v>173</v>
      </c>
      <c r="Q92" s="8" t="s">
        <v>185</v>
      </c>
      <c r="R92" s="8" t="s">
        <v>186</v>
      </c>
      <c r="S92" s="8" t="s">
        <v>132</v>
      </c>
      <c r="T92" s="8" t="s">
        <v>133</v>
      </c>
      <c r="U92" s="8" t="s">
        <v>93</v>
      </c>
      <c r="V92" s="8" t="s">
        <v>22</v>
      </c>
      <c r="W92" s="8" t="s">
        <v>176</v>
      </c>
      <c r="X92" s="8" t="s">
        <v>177</v>
      </c>
      <c r="Y92" s="8" t="s">
        <v>95</v>
      </c>
      <c r="Z92" s="8" t="s">
        <v>189</v>
      </c>
      <c r="AA92" s="8" t="b">
        <v>0</v>
      </c>
      <c r="AC92" s="8">
        <v>0</v>
      </c>
      <c r="AD92" s="8">
        <v>97</v>
      </c>
      <c r="AI92" s="8" t="s">
        <v>179</v>
      </c>
      <c r="AJ92" s="8" t="s">
        <v>88</v>
      </c>
      <c r="AK92" s="8" t="s">
        <v>453</v>
      </c>
      <c r="AL92" s="8" t="s">
        <v>88</v>
      </c>
      <c r="AM92" s="8" t="s">
        <v>88</v>
      </c>
      <c r="AN92" s="8" t="s">
        <v>88</v>
      </c>
      <c r="AP92" s="8" t="s">
        <v>454</v>
      </c>
      <c r="AQ92" s="8" t="s">
        <v>100</v>
      </c>
      <c r="AR92" s="8" t="s">
        <v>101</v>
      </c>
      <c r="AS92" s="8" t="s">
        <v>120</v>
      </c>
      <c r="AT92" s="8" t="s">
        <v>103</v>
      </c>
      <c r="AU92" s="8" t="s">
        <v>103</v>
      </c>
      <c r="AX92" s="8" t="s">
        <v>104</v>
      </c>
      <c r="AY92" s="8" t="s">
        <v>121</v>
      </c>
      <c r="AZ92" s="8" t="s">
        <v>100</v>
      </c>
      <c r="BA92" s="8" t="s">
        <v>101</v>
      </c>
      <c r="BB92" s="8" t="s">
        <v>102</v>
      </c>
      <c r="BC92" s="8" t="s">
        <v>103</v>
      </c>
      <c r="BD92" s="8" t="s">
        <v>103</v>
      </c>
      <c r="BF92" s="8" t="s">
        <v>107</v>
      </c>
      <c r="BG92" s="8">
        <v>16700</v>
      </c>
      <c r="BH92" s="8" t="s">
        <v>122</v>
      </c>
      <c r="BO92" s="8">
        <v>12</v>
      </c>
      <c r="BR92" s="8" t="s">
        <v>100</v>
      </c>
      <c r="BS92" s="8" t="s">
        <v>182</v>
      </c>
      <c r="BT92" s="8" t="s">
        <v>183</v>
      </c>
      <c r="BU92" s="8" t="s">
        <v>106</v>
      </c>
      <c r="BV92" s="8" t="s">
        <v>123</v>
      </c>
      <c r="BW92" s="8" t="s">
        <v>110</v>
      </c>
    </row>
    <row r="93" spans="1:75" s="8" customFormat="1" x14ac:dyDescent="0.35">
      <c r="A93" s="8" t="s">
        <v>452</v>
      </c>
      <c r="B93" s="9">
        <v>45990</v>
      </c>
      <c r="C93" s="10">
        <v>0.71839120370370368</v>
      </c>
      <c r="D93" s="8" t="s">
        <v>170</v>
      </c>
      <c r="E93" s="8" t="s">
        <v>171</v>
      </c>
      <c r="F93" s="11" t="s">
        <v>172</v>
      </c>
      <c r="G93" s="8">
        <f>COUNTIF($F$2:$F$350,F93)</f>
        <v>213</v>
      </c>
      <c r="H93" s="8" t="s">
        <v>115</v>
      </c>
      <c r="I93" s="8" t="s">
        <v>82</v>
      </c>
      <c r="J93" s="8" t="s">
        <v>83</v>
      </c>
      <c r="K93" s="8" t="s">
        <v>84</v>
      </c>
      <c r="M93" s="8" t="s">
        <v>85</v>
      </c>
      <c r="N93" s="8" t="s">
        <v>116</v>
      </c>
      <c r="O93" s="8" t="s">
        <v>87</v>
      </c>
      <c r="P93" s="8" t="s">
        <v>173</v>
      </c>
      <c r="Q93" s="8" t="s">
        <v>185</v>
      </c>
      <c r="R93" s="8" t="s">
        <v>186</v>
      </c>
      <c r="S93" s="8" t="s">
        <v>132</v>
      </c>
      <c r="T93" s="8" t="s">
        <v>133</v>
      </c>
      <c r="U93" s="8" t="s">
        <v>93</v>
      </c>
      <c r="V93" s="8" t="s">
        <v>22</v>
      </c>
      <c r="W93" s="8" t="s">
        <v>176</v>
      </c>
      <c r="X93" s="8" t="s">
        <v>177</v>
      </c>
      <c r="Y93" s="8" t="s">
        <v>95</v>
      </c>
      <c r="Z93" s="8" t="s">
        <v>189</v>
      </c>
      <c r="AA93" s="8" t="b">
        <v>0</v>
      </c>
      <c r="AC93" s="8">
        <v>0</v>
      </c>
      <c r="AD93" s="8">
        <v>97</v>
      </c>
      <c r="AI93" s="8" t="s">
        <v>179</v>
      </c>
      <c r="AJ93" s="8" t="s">
        <v>88</v>
      </c>
      <c r="AK93" s="8" t="s">
        <v>455</v>
      </c>
      <c r="AL93" s="8" t="s">
        <v>88</v>
      </c>
      <c r="AM93" s="8" t="s">
        <v>88</v>
      </c>
      <c r="AN93" s="8" t="s">
        <v>88</v>
      </c>
      <c r="AP93" s="8" t="s">
        <v>456</v>
      </c>
      <c r="AQ93" s="8" t="s">
        <v>100</v>
      </c>
      <c r="AR93" s="8" t="s">
        <v>101</v>
      </c>
      <c r="AS93" s="8" t="s">
        <v>120</v>
      </c>
      <c r="AT93" s="8" t="s">
        <v>103</v>
      </c>
      <c r="AU93" s="8" t="s">
        <v>103</v>
      </c>
      <c r="AX93" s="8" t="s">
        <v>104</v>
      </c>
      <c r="AY93" s="8" t="s">
        <v>121</v>
      </c>
      <c r="AZ93" s="8" t="s">
        <v>100</v>
      </c>
      <c r="BA93" s="8" t="s">
        <v>101</v>
      </c>
      <c r="BB93" s="8" t="s">
        <v>102</v>
      </c>
      <c r="BC93" s="8" t="s">
        <v>103</v>
      </c>
      <c r="BD93" s="8" t="s">
        <v>103</v>
      </c>
      <c r="BF93" s="8" t="s">
        <v>107</v>
      </c>
      <c r="BG93" s="8">
        <v>16700</v>
      </c>
      <c r="BH93" s="8" t="s">
        <v>122</v>
      </c>
      <c r="BO93" s="8">
        <v>12</v>
      </c>
      <c r="BR93" s="8" t="s">
        <v>100</v>
      </c>
      <c r="BS93" s="8" t="s">
        <v>182</v>
      </c>
      <c r="BT93" s="8" t="s">
        <v>183</v>
      </c>
      <c r="BU93" s="8" t="s">
        <v>106</v>
      </c>
      <c r="BV93" s="8" t="s">
        <v>123</v>
      </c>
      <c r="BW93" s="8" t="s">
        <v>110</v>
      </c>
    </row>
    <row r="94" spans="1:75" s="8" customFormat="1" x14ac:dyDescent="0.35">
      <c r="A94" s="8" t="s">
        <v>452</v>
      </c>
      <c r="B94" s="9">
        <v>45990</v>
      </c>
      <c r="C94" s="10">
        <v>0.71839120370370368</v>
      </c>
      <c r="D94" s="8" t="s">
        <v>170</v>
      </c>
      <c r="E94" s="8" t="s">
        <v>171</v>
      </c>
      <c r="F94" s="11" t="s">
        <v>172</v>
      </c>
      <c r="G94" s="8">
        <f>COUNTIF($F$2:$F$350,F94)</f>
        <v>213</v>
      </c>
      <c r="H94" s="8" t="s">
        <v>115</v>
      </c>
      <c r="I94" s="8" t="s">
        <v>82</v>
      </c>
      <c r="J94" s="8" t="s">
        <v>83</v>
      </c>
      <c r="K94" s="8" t="s">
        <v>84</v>
      </c>
      <c r="M94" s="8" t="s">
        <v>85</v>
      </c>
      <c r="N94" s="8" t="s">
        <v>116</v>
      </c>
      <c r="O94" s="8" t="s">
        <v>87</v>
      </c>
      <c r="P94" s="8" t="s">
        <v>173</v>
      </c>
      <c r="Q94" s="8" t="s">
        <v>185</v>
      </c>
      <c r="R94" s="8" t="s">
        <v>186</v>
      </c>
      <c r="S94" s="8" t="s">
        <v>187</v>
      </c>
      <c r="T94" s="8" t="s">
        <v>188</v>
      </c>
      <c r="U94" s="8" t="s">
        <v>93</v>
      </c>
      <c r="V94" s="8" t="s">
        <v>22</v>
      </c>
      <c r="W94" s="8" t="s">
        <v>176</v>
      </c>
      <c r="X94" s="8" t="s">
        <v>177</v>
      </c>
      <c r="Y94" s="8" t="s">
        <v>95</v>
      </c>
      <c r="Z94" s="8" t="s">
        <v>189</v>
      </c>
      <c r="AA94" s="8" t="b">
        <v>0</v>
      </c>
      <c r="AC94" s="8">
        <v>0</v>
      </c>
      <c r="AD94" s="8">
        <v>120</v>
      </c>
      <c r="AI94" s="8" t="s">
        <v>179</v>
      </c>
      <c r="AJ94" s="8" t="s">
        <v>88</v>
      </c>
      <c r="AK94" s="8" t="s">
        <v>457</v>
      </c>
      <c r="AL94" s="8" t="s">
        <v>88</v>
      </c>
      <c r="AM94" s="8" t="s">
        <v>88</v>
      </c>
      <c r="AN94" s="8" t="s">
        <v>88</v>
      </c>
      <c r="AP94" s="8" t="s">
        <v>458</v>
      </c>
      <c r="AQ94" s="8" t="s">
        <v>100</v>
      </c>
      <c r="AR94" s="8" t="s">
        <v>101</v>
      </c>
      <c r="AS94" s="8" t="s">
        <v>120</v>
      </c>
      <c r="AT94" s="8" t="s">
        <v>103</v>
      </c>
      <c r="AU94" s="8" t="s">
        <v>103</v>
      </c>
      <c r="AX94" s="8" t="s">
        <v>104</v>
      </c>
      <c r="AY94" s="8" t="s">
        <v>121</v>
      </c>
      <c r="AZ94" s="8" t="s">
        <v>100</v>
      </c>
      <c r="BA94" s="8" t="s">
        <v>101</v>
      </c>
      <c r="BB94" s="8" t="s">
        <v>102</v>
      </c>
      <c r="BC94" s="8" t="s">
        <v>103</v>
      </c>
      <c r="BD94" s="8" t="s">
        <v>103</v>
      </c>
      <c r="BF94" s="8" t="s">
        <v>107</v>
      </c>
      <c r="BG94" s="8">
        <v>16700</v>
      </c>
      <c r="BH94" s="8" t="s">
        <v>122</v>
      </c>
      <c r="BO94" s="8">
        <v>12</v>
      </c>
      <c r="BR94" s="8" t="s">
        <v>100</v>
      </c>
      <c r="BS94" s="8" t="s">
        <v>182</v>
      </c>
      <c r="BT94" s="8" t="s">
        <v>183</v>
      </c>
      <c r="BU94" s="8" t="s">
        <v>106</v>
      </c>
      <c r="BV94" s="8" t="s">
        <v>123</v>
      </c>
      <c r="BW94" s="8" t="s">
        <v>110</v>
      </c>
    </row>
    <row r="95" spans="1:75" s="8" customFormat="1" x14ac:dyDescent="0.35">
      <c r="A95" s="8" t="s">
        <v>459</v>
      </c>
      <c r="B95" s="9">
        <v>45990</v>
      </c>
      <c r="C95" s="10">
        <v>0.70866898148148139</v>
      </c>
      <c r="D95" s="8" t="s">
        <v>460</v>
      </c>
      <c r="E95" s="8" t="s">
        <v>461</v>
      </c>
      <c r="F95" s="11" t="s">
        <v>172</v>
      </c>
      <c r="G95" s="8">
        <f>COUNTIF($F$2:$F$350,F95)</f>
        <v>213</v>
      </c>
      <c r="H95" s="8" t="s">
        <v>115</v>
      </c>
      <c r="I95" s="8" t="s">
        <v>82</v>
      </c>
      <c r="J95" s="8" t="s">
        <v>83</v>
      </c>
      <c r="K95" s="8" t="s">
        <v>84</v>
      </c>
      <c r="M95" s="8" t="s">
        <v>85</v>
      </c>
      <c r="N95" s="8" t="s">
        <v>116</v>
      </c>
      <c r="O95" s="8" t="s">
        <v>87</v>
      </c>
      <c r="P95" s="8" t="s">
        <v>88</v>
      </c>
      <c r="Q95" s="8" t="s">
        <v>89</v>
      </c>
      <c r="R95" s="8" t="s">
        <v>90</v>
      </c>
      <c r="S95" s="8" t="s">
        <v>91</v>
      </c>
      <c r="T95" s="8" t="s">
        <v>92</v>
      </c>
      <c r="U95" s="8" t="s">
        <v>93</v>
      </c>
      <c r="V95" s="8" t="s">
        <v>22</v>
      </c>
      <c r="X95" s="8" t="s">
        <v>462</v>
      </c>
      <c r="Y95" s="8" t="s">
        <v>95</v>
      </c>
      <c r="Z95" s="8" t="s">
        <v>463</v>
      </c>
      <c r="AA95" s="8" t="b">
        <v>0</v>
      </c>
      <c r="AC95" s="8">
        <v>0</v>
      </c>
      <c r="AD95" s="8">
        <v>130</v>
      </c>
      <c r="AI95" s="8" t="s">
        <v>464</v>
      </c>
      <c r="AJ95" s="8" t="s">
        <v>88</v>
      </c>
      <c r="AK95" s="8" t="s">
        <v>465</v>
      </c>
      <c r="AL95" s="8" t="s">
        <v>88</v>
      </c>
      <c r="AM95" s="8" t="s">
        <v>88</v>
      </c>
      <c r="AN95" s="8" t="s">
        <v>88</v>
      </c>
      <c r="AO95" s="8">
        <v>1002</v>
      </c>
      <c r="AP95" s="12" t="s">
        <v>466</v>
      </c>
      <c r="AQ95" s="8" t="s">
        <v>100</v>
      </c>
      <c r="AR95" s="8" t="s">
        <v>101</v>
      </c>
      <c r="AS95" s="8" t="s">
        <v>120</v>
      </c>
      <c r="AT95" s="8" t="s">
        <v>103</v>
      </c>
      <c r="AU95" s="8" t="s">
        <v>103</v>
      </c>
      <c r="AX95" s="8" t="s">
        <v>104</v>
      </c>
      <c r="AY95" s="8" t="s">
        <v>121</v>
      </c>
      <c r="AZ95" s="8" t="s">
        <v>100</v>
      </c>
      <c r="BA95" s="8" t="s">
        <v>101</v>
      </c>
      <c r="BB95" s="8" t="s">
        <v>102</v>
      </c>
      <c r="BC95" s="8" t="s">
        <v>103</v>
      </c>
      <c r="BD95" s="8" t="s">
        <v>103</v>
      </c>
      <c r="BF95" s="8" t="s">
        <v>107</v>
      </c>
      <c r="BG95" s="8">
        <v>16700</v>
      </c>
      <c r="BH95" s="8" t="s">
        <v>122</v>
      </c>
      <c r="BO95" s="8">
        <v>12</v>
      </c>
      <c r="BR95" s="8" t="s">
        <v>100</v>
      </c>
      <c r="BS95" s="8" t="s">
        <v>182</v>
      </c>
      <c r="BT95" s="8" t="s">
        <v>183</v>
      </c>
      <c r="BU95" s="8" t="s">
        <v>106</v>
      </c>
      <c r="BV95" s="8" t="s">
        <v>123</v>
      </c>
      <c r="BW95" s="8" t="s">
        <v>110</v>
      </c>
    </row>
    <row r="96" spans="1:75" s="8" customFormat="1" x14ac:dyDescent="0.35">
      <c r="A96" s="8" t="s">
        <v>467</v>
      </c>
      <c r="B96" s="9">
        <v>45990</v>
      </c>
      <c r="C96" s="10">
        <v>0.70815972222222223</v>
      </c>
      <c r="D96" s="8" t="s">
        <v>170</v>
      </c>
      <c r="E96" s="8" t="s">
        <v>171</v>
      </c>
      <c r="F96" s="11" t="s">
        <v>172</v>
      </c>
      <c r="G96" s="8">
        <f>COUNTIF($F$2:$F$350,F96)</f>
        <v>213</v>
      </c>
      <c r="H96" s="8" t="s">
        <v>115</v>
      </c>
      <c r="I96" s="8" t="s">
        <v>82</v>
      </c>
      <c r="J96" s="8" t="s">
        <v>83</v>
      </c>
      <c r="K96" s="8" t="s">
        <v>84</v>
      </c>
      <c r="M96" s="8" t="s">
        <v>85</v>
      </c>
      <c r="N96" s="8" t="s">
        <v>116</v>
      </c>
      <c r="O96" s="8" t="s">
        <v>87</v>
      </c>
      <c r="P96" s="8" t="s">
        <v>173</v>
      </c>
      <c r="Q96" s="8" t="s">
        <v>185</v>
      </c>
      <c r="R96" s="8" t="s">
        <v>186</v>
      </c>
      <c r="S96" s="8" t="s">
        <v>187</v>
      </c>
      <c r="T96" s="8" t="s">
        <v>188</v>
      </c>
      <c r="U96" s="8" t="s">
        <v>93</v>
      </c>
      <c r="V96" s="8" t="s">
        <v>22</v>
      </c>
      <c r="W96" s="8" t="s">
        <v>176</v>
      </c>
      <c r="X96" s="8" t="s">
        <v>177</v>
      </c>
      <c r="Y96" s="8" t="s">
        <v>95</v>
      </c>
      <c r="Z96" s="8" t="s">
        <v>189</v>
      </c>
      <c r="AA96" s="8" t="b">
        <v>0</v>
      </c>
      <c r="AC96" s="8">
        <v>0</v>
      </c>
      <c r="AD96" s="8">
        <v>70</v>
      </c>
      <c r="AI96" s="8" t="s">
        <v>179</v>
      </c>
      <c r="AJ96" s="8" t="s">
        <v>88</v>
      </c>
      <c r="AK96" s="8" t="s">
        <v>468</v>
      </c>
      <c r="AL96" s="8" t="s">
        <v>88</v>
      </c>
      <c r="AM96" s="8" t="s">
        <v>88</v>
      </c>
      <c r="AN96" s="8" t="s">
        <v>88</v>
      </c>
      <c r="AP96" s="8" t="s">
        <v>469</v>
      </c>
      <c r="AQ96" s="8" t="s">
        <v>100</v>
      </c>
      <c r="AR96" s="8" t="s">
        <v>101</v>
      </c>
      <c r="AS96" s="8" t="s">
        <v>120</v>
      </c>
      <c r="AT96" s="8" t="s">
        <v>103</v>
      </c>
      <c r="AU96" s="8" t="s">
        <v>103</v>
      </c>
      <c r="AX96" s="8" t="s">
        <v>104</v>
      </c>
      <c r="AY96" s="8" t="s">
        <v>121</v>
      </c>
      <c r="AZ96" s="8" t="s">
        <v>100</v>
      </c>
      <c r="BA96" s="8" t="s">
        <v>101</v>
      </c>
      <c r="BB96" s="8" t="s">
        <v>102</v>
      </c>
      <c r="BC96" s="8" t="s">
        <v>103</v>
      </c>
      <c r="BD96" s="8" t="s">
        <v>103</v>
      </c>
      <c r="BF96" s="8" t="s">
        <v>107</v>
      </c>
      <c r="BG96" s="8">
        <v>16700</v>
      </c>
      <c r="BH96" s="8" t="s">
        <v>122</v>
      </c>
      <c r="BO96" s="8">
        <v>12</v>
      </c>
      <c r="BR96" s="8" t="s">
        <v>100</v>
      </c>
      <c r="BS96" s="8" t="s">
        <v>182</v>
      </c>
      <c r="BT96" s="8" t="s">
        <v>183</v>
      </c>
      <c r="BU96" s="8" t="s">
        <v>106</v>
      </c>
      <c r="BV96" s="8" t="s">
        <v>123</v>
      </c>
      <c r="BW96" s="8" t="s">
        <v>110</v>
      </c>
    </row>
    <row r="97" spans="1:75" s="8" customFormat="1" x14ac:dyDescent="0.35">
      <c r="A97" s="8" t="s">
        <v>470</v>
      </c>
      <c r="B97" s="9">
        <v>45990</v>
      </c>
      <c r="C97" s="10">
        <v>0.70793981481481483</v>
      </c>
      <c r="D97" s="8" t="s">
        <v>170</v>
      </c>
      <c r="E97" s="8" t="s">
        <v>171</v>
      </c>
      <c r="F97" s="11" t="s">
        <v>172</v>
      </c>
      <c r="G97" s="8">
        <f>COUNTIF($F$2:$F$350,F97)</f>
        <v>213</v>
      </c>
      <c r="H97" s="8" t="s">
        <v>115</v>
      </c>
      <c r="I97" s="8" t="s">
        <v>82</v>
      </c>
      <c r="J97" s="8" t="s">
        <v>83</v>
      </c>
      <c r="K97" s="8" t="s">
        <v>84</v>
      </c>
      <c r="M97" s="8" t="s">
        <v>85</v>
      </c>
      <c r="N97" s="8" t="s">
        <v>116</v>
      </c>
      <c r="O97" s="8" t="s">
        <v>87</v>
      </c>
      <c r="P97" s="8" t="s">
        <v>173</v>
      </c>
      <c r="Q97" s="8" t="s">
        <v>185</v>
      </c>
      <c r="R97" s="8" t="s">
        <v>186</v>
      </c>
      <c r="S97" s="8" t="s">
        <v>132</v>
      </c>
      <c r="T97" s="8" t="s">
        <v>133</v>
      </c>
      <c r="U97" s="8" t="s">
        <v>93</v>
      </c>
      <c r="V97" s="8" t="s">
        <v>22</v>
      </c>
      <c r="W97" s="8" t="s">
        <v>176</v>
      </c>
      <c r="X97" s="8" t="s">
        <v>177</v>
      </c>
      <c r="Y97" s="8" t="s">
        <v>95</v>
      </c>
      <c r="Z97" s="8" t="s">
        <v>189</v>
      </c>
      <c r="AA97" s="8" t="b">
        <v>0</v>
      </c>
      <c r="AC97" s="8">
        <v>0</v>
      </c>
      <c r="AD97" s="8">
        <v>235</v>
      </c>
      <c r="AI97" s="8" t="s">
        <v>179</v>
      </c>
      <c r="AJ97" s="8" t="s">
        <v>88</v>
      </c>
      <c r="AK97" s="8" t="s">
        <v>471</v>
      </c>
      <c r="AL97" s="8" t="s">
        <v>88</v>
      </c>
      <c r="AM97" s="8" t="s">
        <v>88</v>
      </c>
      <c r="AN97" s="8" t="s">
        <v>88</v>
      </c>
      <c r="AP97" s="8" t="s">
        <v>472</v>
      </c>
      <c r="AQ97" s="8" t="s">
        <v>100</v>
      </c>
      <c r="AR97" s="8" t="s">
        <v>101</v>
      </c>
      <c r="AS97" s="8" t="s">
        <v>120</v>
      </c>
      <c r="AT97" s="8" t="s">
        <v>103</v>
      </c>
      <c r="AU97" s="8" t="s">
        <v>103</v>
      </c>
      <c r="AX97" s="8" t="s">
        <v>104</v>
      </c>
      <c r="AY97" s="8" t="s">
        <v>121</v>
      </c>
      <c r="AZ97" s="8" t="s">
        <v>100</v>
      </c>
      <c r="BA97" s="8" t="s">
        <v>101</v>
      </c>
      <c r="BB97" s="8" t="s">
        <v>102</v>
      </c>
      <c r="BC97" s="8" t="s">
        <v>103</v>
      </c>
      <c r="BD97" s="8" t="s">
        <v>103</v>
      </c>
      <c r="BF97" s="8" t="s">
        <v>107</v>
      </c>
      <c r="BG97" s="8">
        <v>16700</v>
      </c>
      <c r="BH97" s="8" t="s">
        <v>122</v>
      </c>
      <c r="BO97" s="8">
        <v>12</v>
      </c>
      <c r="BR97" s="8" t="s">
        <v>100</v>
      </c>
      <c r="BS97" s="8" t="s">
        <v>182</v>
      </c>
      <c r="BT97" s="8" t="s">
        <v>183</v>
      </c>
      <c r="BU97" s="8" t="s">
        <v>106</v>
      </c>
      <c r="BV97" s="8" t="s">
        <v>123</v>
      </c>
      <c r="BW97" s="8" t="s">
        <v>110</v>
      </c>
    </row>
    <row r="98" spans="1:75" s="8" customFormat="1" x14ac:dyDescent="0.35">
      <c r="A98" s="8" t="s">
        <v>470</v>
      </c>
      <c r="B98" s="9">
        <v>45990</v>
      </c>
      <c r="C98" s="10">
        <v>0.70793981481481483</v>
      </c>
      <c r="D98" s="8" t="s">
        <v>170</v>
      </c>
      <c r="E98" s="8" t="s">
        <v>171</v>
      </c>
      <c r="F98" s="11" t="s">
        <v>172</v>
      </c>
      <c r="G98" s="8">
        <f>COUNTIF($F$2:$F$350,F98)</f>
        <v>213</v>
      </c>
      <c r="H98" s="8" t="s">
        <v>115</v>
      </c>
      <c r="I98" s="8" t="s">
        <v>82</v>
      </c>
      <c r="J98" s="8" t="s">
        <v>83</v>
      </c>
      <c r="K98" s="8" t="s">
        <v>84</v>
      </c>
      <c r="M98" s="8" t="s">
        <v>85</v>
      </c>
      <c r="N98" s="8" t="s">
        <v>116</v>
      </c>
      <c r="O98" s="8" t="s">
        <v>87</v>
      </c>
      <c r="P98" s="8" t="s">
        <v>173</v>
      </c>
      <c r="Q98" s="8" t="s">
        <v>185</v>
      </c>
      <c r="R98" s="8" t="s">
        <v>186</v>
      </c>
      <c r="S98" s="8" t="s">
        <v>132</v>
      </c>
      <c r="T98" s="8" t="s">
        <v>133</v>
      </c>
      <c r="U98" s="8" t="s">
        <v>93</v>
      </c>
      <c r="V98" s="8" t="s">
        <v>22</v>
      </c>
      <c r="W98" s="8" t="s">
        <v>176</v>
      </c>
      <c r="X98" s="8" t="s">
        <v>177</v>
      </c>
      <c r="Y98" s="8" t="s">
        <v>95</v>
      </c>
      <c r="Z98" s="8" t="s">
        <v>189</v>
      </c>
      <c r="AA98" s="8" t="b">
        <v>0</v>
      </c>
      <c r="AC98" s="8">
        <v>0</v>
      </c>
      <c r="AD98" s="8">
        <v>139</v>
      </c>
      <c r="AI98" s="8" t="s">
        <v>179</v>
      </c>
      <c r="AJ98" s="8" t="s">
        <v>88</v>
      </c>
      <c r="AK98" s="8" t="s">
        <v>473</v>
      </c>
      <c r="AL98" s="8" t="s">
        <v>88</v>
      </c>
      <c r="AM98" s="8" t="s">
        <v>88</v>
      </c>
      <c r="AN98" s="8" t="s">
        <v>88</v>
      </c>
      <c r="AP98" s="8" t="s">
        <v>474</v>
      </c>
      <c r="AQ98" s="8" t="s">
        <v>100</v>
      </c>
      <c r="AR98" s="8" t="s">
        <v>101</v>
      </c>
      <c r="AS98" s="8" t="s">
        <v>120</v>
      </c>
      <c r="AT98" s="8" t="s">
        <v>103</v>
      </c>
      <c r="AU98" s="8" t="s">
        <v>103</v>
      </c>
      <c r="AX98" s="8" t="s">
        <v>104</v>
      </c>
      <c r="AY98" s="8" t="s">
        <v>121</v>
      </c>
      <c r="AZ98" s="8" t="s">
        <v>100</v>
      </c>
      <c r="BA98" s="8" t="s">
        <v>101</v>
      </c>
      <c r="BB98" s="8" t="s">
        <v>102</v>
      </c>
      <c r="BC98" s="8" t="s">
        <v>103</v>
      </c>
      <c r="BD98" s="8" t="s">
        <v>103</v>
      </c>
      <c r="BF98" s="8" t="s">
        <v>107</v>
      </c>
      <c r="BG98" s="8">
        <v>16700</v>
      </c>
      <c r="BH98" s="8" t="s">
        <v>122</v>
      </c>
      <c r="BO98" s="8">
        <v>12</v>
      </c>
      <c r="BR98" s="8" t="s">
        <v>100</v>
      </c>
      <c r="BS98" s="8" t="s">
        <v>182</v>
      </c>
      <c r="BT98" s="8" t="s">
        <v>183</v>
      </c>
      <c r="BU98" s="8" t="s">
        <v>106</v>
      </c>
      <c r="BV98" s="8" t="s">
        <v>123</v>
      </c>
      <c r="BW98" s="8" t="s">
        <v>110</v>
      </c>
    </row>
    <row r="99" spans="1:75" s="8" customFormat="1" x14ac:dyDescent="0.35">
      <c r="A99" s="8" t="s">
        <v>475</v>
      </c>
      <c r="B99" s="9">
        <v>45990</v>
      </c>
      <c r="C99" s="10">
        <v>0.70792824074074068</v>
      </c>
      <c r="D99" s="8" t="s">
        <v>170</v>
      </c>
      <c r="E99" s="8" t="s">
        <v>171</v>
      </c>
      <c r="F99" s="11" t="s">
        <v>172</v>
      </c>
      <c r="G99" s="8">
        <f>COUNTIF($F$2:$F$350,F99)</f>
        <v>213</v>
      </c>
      <c r="H99" s="8" t="s">
        <v>115</v>
      </c>
      <c r="I99" s="8" t="s">
        <v>82</v>
      </c>
      <c r="J99" s="8" t="s">
        <v>83</v>
      </c>
      <c r="K99" s="8" t="s">
        <v>84</v>
      </c>
      <c r="M99" s="8" t="s">
        <v>85</v>
      </c>
      <c r="N99" s="8" t="s">
        <v>116</v>
      </c>
      <c r="O99" s="8" t="s">
        <v>87</v>
      </c>
      <c r="P99" s="8" t="s">
        <v>173</v>
      </c>
      <c r="Q99" s="8" t="s">
        <v>185</v>
      </c>
      <c r="R99" s="8" t="s">
        <v>186</v>
      </c>
      <c r="S99" s="8" t="s">
        <v>187</v>
      </c>
      <c r="T99" s="8" t="s">
        <v>188</v>
      </c>
      <c r="U99" s="8" t="s">
        <v>93</v>
      </c>
      <c r="V99" s="8" t="s">
        <v>22</v>
      </c>
      <c r="W99" s="8" t="s">
        <v>176</v>
      </c>
      <c r="X99" s="8" t="s">
        <v>177</v>
      </c>
      <c r="Y99" s="8" t="s">
        <v>95</v>
      </c>
      <c r="Z99" s="8" t="s">
        <v>189</v>
      </c>
      <c r="AA99" s="8" t="b">
        <v>0</v>
      </c>
      <c r="AC99" s="8">
        <v>0</v>
      </c>
      <c r="AD99" s="8">
        <v>106</v>
      </c>
      <c r="AI99" s="8" t="s">
        <v>179</v>
      </c>
      <c r="AJ99" s="8" t="s">
        <v>88</v>
      </c>
      <c r="AK99" s="8" t="s">
        <v>476</v>
      </c>
      <c r="AL99" s="8" t="s">
        <v>88</v>
      </c>
      <c r="AM99" s="8" t="s">
        <v>88</v>
      </c>
      <c r="AN99" s="8" t="s">
        <v>88</v>
      </c>
      <c r="AP99" s="8" t="s">
        <v>477</v>
      </c>
      <c r="AQ99" s="8" t="s">
        <v>100</v>
      </c>
      <c r="AR99" s="8" t="s">
        <v>101</v>
      </c>
      <c r="AS99" s="8" t="s">
        <v>120</v>
      </c>
      <c r="AT99" s="8" t="s">
        <v>103</v>
      </c>
      <c r="AU99" s="8" t="s">
        <v>103</v>
      </c>
      <c r="AX99" s="8" t="s">
        <v>104</v>
      </c>
      <c r="AY99" s="8" t="s">
        <v>121</v>
      </c>
      <c r="AZ99" s="8" t="s">
        <v>100</v>
      </c>
      <c r="BA99" s="8" t="s">
        <v>101</v>
      </c>
      <c r="BB99" s="8" t="s">
        <v>102</v>
      </c>
      <c r="BC99" s="8" t="s">
        <v>103</v>
      </c>
      <c r="BD99" s="8" t="s">
        <v>103</v>
      </c>
      <c r="BF99" s="8" t="s">
        <v>107</v>
      </c>
      <c r="BG99" s="8">
        <v>16700</v>
      </c>
      <c r="BH99" s="8" t="s">
        <v>122</v>
      </c>
      <c r="BO99" s="8">
        <v>12</v>
      </c>
      <c r="BR99" s="8" t="s">
        <v>100</v>
      </c>
      <c r="BS99" s="8" t="s">
        <v>182</v>
      </c>
      <c r="BT99" s="8" t="s">
        <v>183</v>
      </c>
      <c r="BU99" s="8" t="s">
        <v>106</v>
      </c>
      <c r="BV99" s="8" t="s">
        <v>123</v>
      </c>
      <c r="BW99" s="8" t="s">
        <v>110</v>
      </c>
    </row>
    <row r="100" spans="1:75" s="8" customFormat="1" x14ac:dyDescent="0.35">
      <c r="A100" s="8" t="s">
        <v>478</v>
      </c>
      <c r="B100" s="9">
        <v>45990</v>
      </c>
      <c r="C100" s="10">
        <v>0.705011574074074</v>
      </c>
      <c r="D100" s="8" t="s">
        <v>170</v>
      </c>
      <c r="E100" s="8" t="s">
        <v>171</v>
      </c>
      <c r="F100" s="11" t="s">
        <v>172</v>
      </c>
      <c r="G100" s="8">
        <f>COUNTIF($F$2:$F$350,F100)</f>
        <v>213</v>
      </c>
      <c r="H100" s="8" t="s">
        <v>115</v>
      </c>
      <c r="I100" s="8" t="s">
        <v>82</v>
      </c>
      <c r="J100" s="8" t="s">
        <v>83</v>
      </c>
      <c r="K100" s="8" t="s">
        <v>84</v>
      </c>
      <c r="M100" s="8" t="s">
        <v>85</v>
      </c>
      <c r="N100" s="8" t="s">
        <v>116</v>
      </c>
      <c r="O100" s="8" t="s">
        <v>87</v>
      </c>
      <c r="P100" s="8" t="s">
        <v>173</v>
      </c>
      <c r="Q100" s="8" t="s">
        <v>185</v>
      </c>
      <c r="R100" s="8" t="s">
        <v>186</v>
      </c>
      <c r="S100" s="8" t="s">
        <v>187</v>
      </c>
      <c r="T100" s="8" t="s">
        <v>188</v>
      </c>
      <c r="U100" s="8" t="s">
        <v>93</v>
      </c>
      <c r="V100" s="8" t="s">
        <v>22</v>
      </c>
      <c r="W100" s="8" t="s">
        <v>176</v>
      </c>
      <c r="X100" s="8" t="s">
        <v>177</v>
      </c>
      <c r="Y100" s="8" t="s">
        <v>95</v>
      </c>
      <c r="Z100" s="8" t="s">
        <v>189</v>
      </c>
      <c r="AA100" s="8" t="b">
        <v>0</v>
      </c>
      <c r="AC100" s="8">
        <v>0</v>
      </c>
      <c r="AD100" s="8">
        <v>155</v>
      </c>
      <c r="AI100" s="8" t="s">
        <v>179</v>
      </c>
      <c r="AJ100" s="8" t="s">
        <v>88</v>
      </c>
      <c r="AK100" s="8" t="s">
        <v>479</v>
      </c>
      <c r="AL100" s="8" t="s">
        <v>88</v>
      </c>
      <c r="AM100" s="8" t="s">
        <v>88</v>
      </c>
      <c r="AN100" s="8" t="s">
        <v>88</v>
      </c>
      <c r="AP100" s="8" t="s">
        <v>480</v>
      </c>
      <c r="AQ100" s="8" t="s">
        <v>100</v>
      </c>
      <c r="AR100" s="8" t="s">
        <v>101</v>
      </c>
      <c r="AS100" s="8" t="s">
        <v>120</v>
      </c>
      <c r="AT100" s="8" t="s">
        <v>103</v>
      </c>
      <c r="AU100" s="8" t="s">
        <v>103</v>
      </c>
      <c r="AX100" s="8" t="s">
        <v>104</v>
      </c>
      <c r="AY100" s="8" t="s">
        <v>121</v>
      </c>
      <c r="AZ100" s="8" t="s">
        <v>100</v>
      </c>
      <c r="BA100" s="8" t="s">
        <v>101</v>
      </c>
      <c r="BB100" s="8" t="s">
        <v>102</v>
      </c>
      <c r="BC100" s="8" t="s">
        <v>103</v>
      </c>
      <c r="BD100" s="8" t="s">
        <v>103</v>
      </c>
      <c r="BF100" s="8" t="s">
        <v>107</v>
      </c>
      <c r="BG100" s="8">
        <v>16700</v>
      </c>
      <c r="BH100" s="8" t="s">
        <v>122</v>
      </c>
      <c r="BO100" s="8">
        <v>12</v>
      </c>
      <c r="BR100" s="8" t="s">
        <v>100</v>
      </c>
      <c r="BS100" s="8" t="s">
        <v>182</v>
      </c>
      <c r="BT100" s="8" t="s">
        <v>183</v>
      </c>
      <c r="BU100" s="8" t="s">
        <v>106</v>
      </c>
      <c r="BV100" s="8" t="s">
        <v>123</v>
      </c>
      <c r="BW100" s="8" t="s">
        <v>110</v>
      </c>
    </row>
    <row r="101" spans="1:75" s="8" customFormat="1" x14ac:dyDescent="0.35">
      <c r="A101" s="8" t="s">
        <v>478</v>
      </c>
      <c r="B101" s="9">
        <v>45990</v>
      </c>
      <c r="C101" s="10">
        <v>0.705011574074074</v>
      </c>
      <c r="D101" s="8" t="s">
        <v>170</v>
      </c>
      <c r="E101" s="8" t="s">
        <v>171</v>
      </c>
      <c r="F101" s="11" t="s">
        <v>172</v>
      </c>
      <c r="G101" s="8">
        <f>COUNTIF($F$2:$F$350,F101)</f>
        <v>213</v>
      </c>
      <c r="H101" s="8" t="s">
        <v>115</v>
      </c>
      <c r="I101" s="8" t="s">
        <v>82</v>
      </c>
      <c r="J101" s="8" t="s">
        <v>83</v>
      </c>
      <c r="K101" s="8" t="s">
        <v>84</v>
      </c>
      <c r="M101" s="8" t="s">
        <v>85</v>
      </c>
      <c r="N101" s="8" t="s">
        <v>116</v>
      </c>
      <c r="O101" s="8" t="s">
        <v>87</v>
      </c>
      <c r="P101" s="8" t="s">
        <v>173</v>
      </c>
      <c r="Q101" s="8" t="s">
        <v>185</v>
      </c>
      <c r="R101" s="8" t="s">
        <v>186</v>
      </c>
      <c r="S101" s="8" t="s">
        <v>132</v>
      </c>
      <c r="T101" s="8" t="s">
        <v>133</v>
      </c>
      <c r="U101" s="8" t="s">
        <v>93</v>
      </c>
      <c r="V101" s="8" t="s">
        <v>22</v>
      </c>
      <c r="W101" s="8" t="s">
        <v>176</v>
      </c>
      <c r="X101" s="8" t="s">
        <v>177</v>
      </c>
      <c r="Y101" s="8" t="s">
        <v>95</v>
      </c>
      <c r="Z101" s="8" t="s">
        <v>189</v>
      </c>
      <c r="AA101" s="8" t="b">
        <v>0</v>
      </c>
      <c r="AC101" s="8">
        <v>0</v>
      </c>
      <c r="AD101" s="8">
        <v>123</v>
      </c>
      <c r="AI101" s="8" t="s">
        <v>179</v>
      </c>
      <c r="AJ101" s="8" t="s">
        <v>88</v>
      </c>
      <c r="AK101" s="8" t="s">
        <v>481</v>
      </c>
      <c r="AL101" s="8" t="s">
        <v>88</v>
      </c>
      <c r="AM101" s="8" t="s">
        <v>88</v>
      </c>
      <c r="AN101" s="8" t="s">
        <v>88</v>
      </c>
      <c r="AP101" s="8" t="s">
        <v>482</v>
      </c>
      <c r="AQ101" s="8" t="s">
        <v>100</v>
      </c>
      <c r="AR101" s="8" t="s">
        <v>101</v>
      </c>
      <c r="AS101" s="8" t="s">
        <v>120</v>
      </c>
      <c r="AT101" s="8" t="s">
        <v>103</v>
      </c>
      <c r="AU101" s="8" t="s">
        <v>103</v>
      </c>
      <c r="AX101" s="8" t="s">
        <v>104</v>
      </c>
      <c r="AY101" s="8" t="s">
        <v>121</v>
      </c>
      <c r="AZ101" s="8" t="s">
        <v>100</v>
      </c>
      <c r="BA101" s="8" t="s">
        <v>101</v>
      </c>
      <c r="BB101" s="8" t="s">
        <v>102</v>
      </c>
      <c r="BC101" s="8" t="s">
        <v>103</v>
      </c>
      <c r="BD101" s="8" t="s">
        <v>103</v>
      </c>
      <c r="BF101" s="8" t="s">
        <v>107</v>
      </c>
      <c r="BG101" s="8">
        <v>16700</v>
      </c>
      <c r="BH101" s="8" t="s">
        <v>122</v>
      </c>
      <c r="BO101" s="8">
        <v>12</v>
      </c>
      <c r="BR101" s="8" t="s">
        <v>100</v>
      </c>
      <c r="BS101" s="8" t="s">
        <v>182</v>
      </c>
      <c r="BT101" s="8" t="s">
        <v>183</v>
      </c>
      <c r="BU101" s="8" t="s">
        <v>106</v>
      </c>
      <c r="BV101" s="8" t="s">
        <v>123</v>
      </c>
      <c r="BW101" s="8" t="s">
        <v>110</v>
      </c>
    </row>
    <row r="102" spans="1:75" s="8" customFormat="1" x14ac:dyDescent="0.35">
      <c r="A102" s="8" t="s">
        <v>478</v>
      </c>
      <c r="B102" s="9">
        <v>45990</v>
      </c>
      <c r="C102" s="10">
        <v>0.705011574074074</v>
      </c>
      <c r="D102" s="8" t="s">
        <v>170</v>
      </c>
      <c r="E102" s="8" t="s">
        <v>171</v>
      </c>
      <c r="F102" s="11" t="s">
        <v>172</v>
      </c>
      <c r="G102" s="8">
        <f>COUNTIF($F$2:$F$350,F102)</f>
        <v>213</v>
      </c>
      <c r="H102" s="8" t="s">
        <v>115</v>
      </c>
      <c r="I102" s="8" t="s">
        <v>82</v>
      </c>
      <c r="J102" s="8" t="s">
        <v>83</v>
      </c>
      <c r="K102" s="8" t="s">
        <v>84</v>
      </c>
      <c r="M102" s="8" t="s">
        <v>85</v>
      </c>
      <c r="N102" s="8" t="s">
        <v>116</v>
      </c>
      <c r="O102" s="8" t="s">
        <v>87</v>
      </c>
      <c r="P102" s="8" t="s">
        <v>173</v>
      </c>
      <c r="Q102" s="8" t="s">
        <v>185</v>
      </c>
      <c r="R102" s="8" t="s">
        <v>186</v>
      </c>
      <c r="S102" s="8" t="s">
        <v>132</v>
      </c>
      <c r="T102" s="8" t="s">
        <v>133</v>
      </c>
      <c r="U102" s="8" t="s">
        <v>93</v>
      </c>
      <c r="V102" s="8" t="s">
        <v>22</v>
      </c>
      <c r="W102" s="8" t="s">
        <v>176</v>
      </c>
      <c r="X102" s="8" t="s">
        <v>177</v>
      </c>
      <c r="Y102" s="8" t="s">
        <v>95</v>
      </c>
      <c r="Z102" s="8" t="s">
        <v>189</v>
      </c>
      <c r="AA102" s="8" t="b">
        <v>0</v>
      </c>
      <c r="AC102" s="8">
        <v>0</v>
      </c>
      <c r="AD102" s="8">
        <v>109</v>
      </c>
      <c r="AI102" s="8" t="s">
        <v>179</v>
      </c>
      <c r="AJ102" s="8" t="s">
        <v>88</v>
      </c>
      <c r="AK102" s="8" t="s">
        <v>483</v>
      </c>
      <c r="AL102" s="8" t="s">
        <v>88</v>
      </c>
      <c r="AM102" s="8" t="s">
        <v>88</v>
      </c>
      <c r="AN102" s="8" t="s">
        <v>88</v>
      </c>
      <c r="AP102" s="8" t="s">
        <v>484</v>
      </c>
      <c r="AQ102" s="8" t="s">
        <v>100</v>
      </c>
      <c r="AR102" s="8" t="s">
        <v>101</v>
      </c>
      <c r="AS102" s="8" t="s">
        <v>120</v>
      </c>
      <c r="AT102" s="8" t="s">
        <v>103</v>
      </c>
      <c r="AU102" s="8" t="s">
        <v>103</v>
      </c>
      <c r="AX102" s="8" t="s">
        <v>104</v>
      </c>
      <c r="AY102" s="8" t="s">
        <v>121</v>
      </c>
      <c r="AZ102" s="8" t="s">
        <v>100</v>
      </c>
      <c r="BA102" s="8" t="s">
        <v>101</v>
      </c>
      <c r="BB102" s="8" t="s">
        <v>102</v>
      </c>
      <c r="BC102" s="8" t="s">
        <v>103</v>
      </c>
      <c r="BD102" s="8" t="s">
        <v>103</v>
      </c>
      <c r="BF102" s="8" t="s">
        <v>107</v>
      </c>
      <c r="BG102" s="8">
        <v>16700</v>
      </c>
      <c r="BH102" s="8" t="s">
        <v>122</v>
      </c>
      <c r="BO102" s="8">
        <v>12</v>
      </c>
      <c r="BR102" s="8" t="s">
        <v>100</v>
      </c>
      <c r="BS102" s="8" t="s">
        <v>182</v>
      </c>
      <c r="BT102" s="8" t="s">
        <v>183</v>
      </c>
      <c r="BU102" s="8" t="s">
        <v>106</v>
      </c>
      <c r="BV102" s="8" t="s">
        <v>123</v>
      </c>
      <c r="BW102" s="8" t="s">
        <v>110</v>
      </c>
    </row>
    <row r="103" spans="1:75" s="8" customFormat="1" x14ac:dyDescent="0.35">
      <c r="A103" s="8" t="s">
        <v>485</v>
      </c>
      <c r="B103" s="9">
        <v>45990</v>
      </c>
      <c r="C103" s="10">
        <v>0.70429398148148137</v>
      </c>
      <c r="D103" s="8" t="s">
        <v>170</v>
      </c>
      <c r="E103" s="8" t="s">
        <v>171</v>
      </c>
      <c r="F103" s="11" t="s">
        <v>172</v>
      </c>
      <c r="G103" s="8">
        <f>COUNTIF($F$2:$F$350,F103)</f>
        <v>213</v>
      </c>
      <c r="H103" s="8" t="s">
        <v>115</v>
      </c>
      <c r="I103" s="8" t="s">
        <v>82</v>
      </c>
      <c r="J103" s="8" t="s">
        <v>83</v>
      </c>
      <c r="K103" s="8" t="s">
        <v>84</v>
      </c>
      <c r="M103" s="8" t="s">
        <v>85</v>
      </c>
      <c r="N103" s="8" t="s">
        <v>116</v>
      </c>
      <c r="O103" s="8" t="s">
        <v>87</v>
      </c>
      <c r="P103" s="8" t="s">
        <v>173</v>
      </c>
      <c r="Q103" s="8" t="s">
        <v>185</v>
      </c>
      <c r="R103" s="8" t="s">
        <v>186</v>
      </c>
      <c r="S103" s="8" t="s">
        <v>187</v>
      </c>
      <c r="T103" s="8" t="s">
        <v>188</v>
      </c>
      <c r="U103" s="8" t="s">
        <v>93</v>
      </c>
      <c r="V103" s="8" t="s">
        <v>22</v>
      </c>
      <c r="W103" s="8" t="s">
        <v>176</v>
      </c>
      <c r="X103" s="8" t="s">
        <v>177</v>
      </c>
      <c r="Y103" s="8" t="s">
        <v>95</v>
      </c>
      <c r="Z103" s="8" t="s">
        <v>189</v>
      </c>
      <c r="AA103" s="8" t="b">
        <v>0</v>
      </c>
      <c r="AC103" s="8">
        <v>0</v>
      </c>
      <c r="AD103" s="8">
        <v>102</v>
      </c>
      <c r="AI103" s="8" t="s">
        <v>179</v>
      </c>
      <c r="AJ103" s="8" t="s">
        <v>88</v>
      </c>
      <c r="AK103" s="8" t="s">
        <v>486</v>
      </c>
      <c r="AL103" s="8" t="s">
        <v>88</v>
      </c>
      <c r="AM103" s="8" t="s">
        <v>88</v>
      </c>
      <c r="AN103" s="8" t="s">
        <v>88</v>
      </c>
      <c r="AP103" s="8" t="s">
        <v>487</v>
      </c>
      <c r="AQ103" s="8" t="s">
        <v>100</v>
      </c>
      <c r="AR103" s="8" t="s">
        <v>101</v>
      </c>
      <c r="AS103" s="8" t="s">
        <v>120</v>
      </c>
      <c r="AT103" s="8" t="s">
        <v>103</v>
      </c>
      <c r="AU103" s="8" t="s">
        <v>103</v>
      </c>
      <c r="AX103" s="8" t="s">
        <v>104</v>
      </c>
      <c r="AY103" s="8" t="s">
        <v>121</v>
      </c>
      <c r="AZ103" s="8" t="s">
        <v>100</v>
      </c>
      <c r="BA103" s="8" t="s">
        <v>101</v>
      </c>
      <c r="BB103" s="8" t="s">
        <v>102</v>
      </c>
      <c r="BC103" s="8" t="s">
        <v>103</v>
      </c>
      <c r="BD103" s="8" t="s">
        <v>103</v>
      </c>
      <c r="BF103" s="8" t="s">
        <v>107</v>
      </c>
      <c r="BG103" s="8">
        <v>16700</v>
      </c>
      <c r="BH103" s="8" t="s">
        <v>122</v>
      </c>
      <c r="BO103" s="8">
        <v>12</v>
      </c>
      <c r="BR103" s="8" t="s">
        <v>100</v>
      </c>
      <c r="BS103" s="8" t="s">
        <v>182</v>
      </c>
      <c r="BT103" s="8" t="s">
        <v>183</v>
      </c>
      <c r="BU103" s="8" t="s">
        <v>106</v>
      </c>
      <c r="BV103" s="8" t="s">
        <v>123</v>
      </c>
      <c r="BW103" s="8" t="s">
        <v>110</v>
      </c>
    </row>
    <row r="104" spans="1:75" s="8" customFormat="1" x14ac:dyDescent="0.35">
      <c r="A104" s="8" t="s">
        <v>488</v>
      </c>
      <c r="B104" s="9">
        <v>45990</v>
      </c>
      <c r="C104" s="10">
        <v>0.70355324074074066</v>
      </c>
      <c r="D104" s="8" t="s">
        <v>170</v>
      </c>
      <c r="E104" s="8" t="s">
        <v>171</v>
      </c>
      <c r="F104" s="11" t="s">
        <v>172</v>
      </c>
      <c r="G104" s="8">
        <f>COUNTIF($F$2:$F$350,F104)</f>
        <v>213</v>
      </c>
      <c r="H104" s="8" t="s">
        <v>115</v>
      </c>
      <c r="I104" s="8" t="s">
        <v>82</v>
      </c>
      <c r="J104" s="8" t="s">
        <v>83</v>
      </c>
      <c r="K104" s="8" t="s">
        <v>84</v>
      </c>
      <c r="M104" s="8" t="s">
        <v>85</v>
      </c>
      <c r="N104" s="8" t="s">
        <v>116</v>
      </c>
      <c r="O104" s="8" t="s">
        <v>87</v>
      </c>
      <c r="P104" s="8" t="s">
        <v>173</v>
      </c>
      <c r="Q104" s="8" t="s">
        <v>185</v>
      </c>
      <c r="R104" s="8" t="s">
        <v>186</v>
      </c>
      <c r="S104" s="8" t="s">
        <v>187</v>
      </c>
      <c r="T104" s="8" t="s">
        <v>188</v>
      </c>
      <c r="U104" s="8" t="s">
        <v>93</v>
      </c>
      <c r="V104" s="8" t="s">
        <v>22</v>
      </c>
      <c r="W104" s="8" t="s">
        <v>176</v>
      </c>
      <c r="X104" s="8" t="s">
        <v>177</v>
      </c>
      <c r="Y104" s="8" t="s">
        <v>95</v>
      </c>
      <c r="Z104" s="8" t="s">
        <v>189</v>
      </c>
      <c r="AA104" s="8" t="b">
        <v>0</v>
      </c>
      <c r="AC104" s="8">
        <v>0</v>
      </c>
      <c r="AD104" s="8">
        <v>146</v>
      </c>
      <c r="AI104" s="8" t="s">
        <v>179</v>
      </c>
      <c r="AJ104" s="8" t="s">
        <v>88</v>
      </c>
      <c r="AK104" s="8" t="s">
        <v>489</v>
      </c>
      <c r="AL104" s="8" t="s">
        <v>88</v>
      </c>
      <c r="AM104" s="8" t="s">
        <v>88</v>
      </c>
      <c r="AN104" s="8" t="s">
        <v>88</v>
      </c>
      <c r="AP104" s="8" t="s">
        <v>490</v>
      </c>
      <c r="AQ104" s="8" t="s">
        <v>100</v>
      </c>
      <c r="AR104" s="8" t="s">
        <v>101</v>
      </c>
      <c r="AS104" s="8" t="s">
        <v>120</v>
      </c>
      <c r="AT104" s="8" t="s">
        <v>103</v>
      </c>
      <c r="AU104" s="8" t="s">
        <v>103</v>
      </c>
      <c r="AX104" s="8" t="s">
        <v>104</v>
      </c>
      <c r="AY104" s="8" t="s">
        <v>121</v>
      </c>
      <c r="AZ104" s="8" t="s">
        <v>100</v>
      </c>
      <c r="BA104" s="8" t="s">
        <v>101</v>
      </c>
      <c r="BB104" s="8" t="s">
        <v>102</v>
      </c>
      <c r="BC104" s="8" t="s">
        <v>103</v>
      </c>
      <c r="BD104" s="8" t="s">
        <v>103</v>
      </c>
      <c r="BF104" s="8" t="s">
        <v>107</v>
      </c>
      <c r="BG104" s="8">
        <v>16700</v>
      </c>
      <c r="BH104" s="8" t="s">
        <v>122</v>
      </c>
      <c r="BO104" s="8">
        <v>12</v>
      </c>
      <c r="BR104" s="8" t="s">
        <v>100</v>
      </c>
      <c r="BS104" s="8" t="s">
        <v>182</v>
      </c>
      <c r="BT104" s="8" t="s">
        <v>183</v>
      </c>
      <c r="BU104" s="8" t="s">
        <v>106</v>
      </c>
      <c r="BV104" s="8" t="s">
        <v>123</v>
      </c>
      <c r="BW104" s="8" t="s">
        <v>110</v>
      </c>
    </row>
    <row r="105" spans="1:75" s="8" customFormat="1" x14ac:dyDescent="0.35">
      <c r="A105" s="8" t="s">
        <v>488</v>
      </c>
      <c r="B105" s="9">
        <v>45990</v>
      </c>
      <c r="C105" s="10">
        <v>0.70355324074074066</v>
      </c>
      <c r="D105" s="8" t="s">
        <v>170</v>
      </c>
      <c r="E105" s="8" t="s">
        <v>171</v>
      </c>
      <c r="F105" s="11" t="s">
        <v>172</v>
      </c>
      <c r="G105" s="8">
        <f>COUNTIF($F$2:$F$350,F105)</f>
        <v>213</v>
      </c>
      <c r="H105" s="8" t="s">
        <v>115</v>
      </c>
      <c r="I105" s="8" t="s">
        <v>82</v>
      </c>
      <c r="J105" s="8" t="s">
        <v>83</v>
      </c>
      <c r="K105" s="8" t="s">
        <v>84</v>
      </c>
      <c r="M105" s="8" t="s">
        <v>85</v>
      </c>
      <c r="N105" s="8" t="s">
        <v>116</v>
      </c>
      <c r="O105" s="8" t="s">
        <v>87</v>
      </c>
      <c r="P105" s="8" t="s">
        <v>173</v>
      </c>
      <c r="Q105" s="8" t="s">
        <v>185</v>
      </c>
      <c r="R105" s="8" t="s">
        <v>186</v>
      </c>
      <c r="S105" s="8" t="s">
        <v>132</v>
      </c>
      <c r="T105" s="8" t="s">
        <v>133</v>
      </c>
      <c r="U105" s="8" t="s">
        <v>93</v>
      </c>
      <c r="V105" s="8" t="s">
        <v>22</v>
      </c>
      <c r="W105" s="8" t="s">
        <v>176</v>
      </c>
      <c r="X105" s="8" t="s">
        <v>177</v>
      </c>
      <c r="Y105" s="8" t="s">
        <v>95</v>
      </c>
      <c r="Z105" s="8" t="s">
        <v>189</v>
      </c>
      <c r="AA105" s="8" t="b">
        <v>0</v>
      </c>
      <c r="AC105" s="8">
        <v>0</v>
      </c>
      <c r="AD105" s="8">
        <v>88</v>
      </c>
      <c r="AI105" s="8" t="s">
        <v>179</v>
      </c>
      <c r="AJ105" s="8" t="s">
        <v>88</v>
      </c>
      <c r="AK105" s="8" t="s">
        <v>491</v>
      </c>
      <c r="AL105" s="8" t="s">
        <v>88</v>
      </c>
      <c r="AM105" s="8" t="s">
        <v>88</v>
      </c>
      <c r="AN105" s="8" t="s">
        <v>88</v>
      </c>
      <c r="AP105" s="8" t="s">
        <v>492</v>
      </c>
      <c r="AQ105" s="8" t="s">
        <v>100</v>
      </c>
      <c r="AR105" s="8" t="s">
        <v>101</v>
      </c>
      <c r="AS105" s="8" t="s">
        <v>120</v>
      </c>
      <c r="AT105" s="8" t="s">
        <v>103</v>
      </c>
      <c r="AU105" s="8" t="s">
        <v>103</v>
      </c>
      <c r="AX105" s="8" t="s">
        <v>104</v>
      </c>
      <c r="AY105" s="8" t="s">
        <v>121</v>
      </c>
      <c r="AZ105" s="8" t="s">
        <v>100</v>
      </c>
      <c r="BA105" s="8" t="s">
        <v>101</v>
      </c>
      <c r="BB105" s="8" t="s">
        <v>102</v>
      </c>
      <c r="BC105" s="8" t="s">
        <v>103</v>
      </c>
      <c r="BD105" s="8" t="s">
        <v>103</v>
      </c>
      <c r="BF105" s="8" t="s">
        <v>107</v>
      </c>
      <c r="BG105" s="8">
        <v>16700</v>
      </c>
      <c r="BH105" s="8" t="s">
        <v>122</v>
      </c>
      <c r="BO105" s="8">
        <v>12</v>
      </c>
      <c r="BR105" s="8" t="s">
        <v>100</v>
      </c>
      <c r="BS105" s="8" t="s">
        <v>182</v>
      </c>
      <c r="BT105" s="8" t="s">
        <v>183</v>
      </c>
      <c r="BU105" s="8" t="s">
        <v>106</v>
      </c>
      <c r="BV105" s="8" t="s">
        <v>123</v>
      </c>
      <c r="BW105" s="8" t="s">
        <v>110</v>
      </c>
    </row>
    <row r="106" spans="1:75" s="8" customFormat="1" x14ac:dyDescent="0.35">
      <c r="A106" s="8" t="s">
        <v>488</v>
      </c>
      <c r="B106" s="9">
        <v>45990</v>
      </c>
      <c r="C106" s="10">
        <v>0.70355324074074066</v>
      </c>
      <c r="D106" s="8" t="s">
        <v>170</v>
      </c>
      <c r="E106" s="8" t="s">
        <v>171</v>
      </c>
      <c r="F106" s="11" t="s">
        <v>172</v>
      </c>
      <c r="G106" s="8">
        <f>COUNTIF($F$2:$F$350,F106)</f>
        <v>213</v>
      </c>
      <c r="H106" s="8" t="s">
        <v>115</v>
      </c>
      <c r="I106" s="8" t="s">
        <v>82</v>
      </c>
      <c r="J106" s="8" t="s">
        <v>83</v>
      </c>
      <c r="K106" s="8" t="s">
        <v>84</v>
      </c>
      <c r="M106" s="8" t="s">
        <v>85</v>
      </c>
      <c r="N106" s="8" t="s">
        <v>116</v>
      </c>
      <c r="O106" s="8" t="s">
        <v>87</v>
      </c>
      <c r="P106" s="8" t="s">
        <v>173</v>
      </c>
      <c r="Q106" s="8" t="s">
        <v>185</v>
      </c>
      <c r="R106" s="8" t="s">
        <v>186</v>
      </c>
      <c r="S106" s="8" t="s">
        <v>132</v>
      </c>
      <c r="T106" s="8" t="s">
        <v>133</v>
      </c>
      <c r="U106" s="8" t="s">
        <v>93</v>
      </c>
      <c r="V106" s="8" t="s">
        <v>22</v>
      </c>
      <c r="W106" s="8" t="s">
        <v>176</v>
      </c>
      <c r="X106" s="8" t="s">
        <v>177</v>
      </c>
      <c r="Y106" s="8" t="s">
        <v>95</v>
      </c>
      <c r="Z106" s="8" t="s">
        <v>189</v>
      </c>
      <c r="AA106" s="8" t="b">
        <v>0</v>
      </c>
      <c r="AC106" s="8">
        <v>0</v>
      </c>
      <c r="AD106" s="8">
        <v>116</v>
      </c>
      <c r="AI106" s="8" t="s">
        <v>179</v>
      </c>
      <c r="AJ106" s="8" t="s">
        <v>88</v>
      </c>
      <c r="AK106" s="8" t="s">
        <v>493</v>
      </c>
      <c r="AL106" s="8" t="s">
        <v>88</v>
      </c>
      <c r="AM106" s="8" t="s">
        <v>88</v>
      </c>
      <c r="AN106" s="8" t="s">
        <v>88</v>
      </c>
      <c r="AP106" s="8" t="s">
        <v>494</v>
      </c>
      <c r="AQ106" s="8" t="s">
        <v>100</v>
      </c>
      <c r="AR106" s="8" t="s">
        <v>101</v>
      </c>
      <c r="AS106" s="8" t="s">
        <v>120</v>
      </c>
      <c r="AT106" s="8" t="s">
        <v>103</v>
      </c>
      <c r="AU106" s="8" t="s">
        <v>103</v>
      </c>
      <c r="AX106" s="8" t="s">
        <v>104</v>
      </c>
      <c r="AY106" s="8" t="s">
        <v>121</v>
      </c>
      <c r="AZ106" s="8" t="s">
        <v>100</v>
      </c>
      <c r="BA106" s="8" t="s">
        <v>101</v>
      </c>
      <c r="BB106" s="8" t="s">
        <v>102</v>
      </c>
      <c r="BC106" s="8" t="s">
        <v>103</v>
      </c>
      <c r="BD106" s="8" t="s">
        <v>103</v>
      </c>
      <c r="BF106" s="8" t="s">
        <v>107</v>
      </c>
      <c r="BG106" s="8">
        <v>16700</v>
      </c>
      <c r="BH106" s="8" t="s">
        <v>122</v>
      </c>
      <c r="BO106" s="8">
        <v>12</v>
      </c>
      <c r="BR106" s="8" t="s">
        <v>100</v>
      </c>
      <c r="BS106" s="8" t="s">
        <v>182</v>
      </c>
      <c r="BT106" s="8" t="s">
        <v>183</v>
      </c>
      <c r="BU106" s="8" t="s">
        <v>106</v>
      </c>
      <c r="BV106" s="8" t="s">
        <v>123</v>
      </c>
      <c r="BW106" s="8" t="s">
        <v>110</v>
      </c>
    </row>
    <row r="107" spans="1:75" s="8" customFormat="1" x14ac:dyDescent="0.35">
      <c r="A107" s="8" t="s">
        <v>495</v>
      </c>
      <c r="B107" s="9">
        <v>45990</v>
      </c>
      <c r="C107" s="10">
        <v>0.703125</v>
      </c>
      <c r="D107" s="8" t="s">
        <v>170</v>
      </c>
      <c r="E107" s="8" t="s">
        <v>171</v>
      </c>
      <c r="F107" s="11" t="s">
        <v>172</v>
      </c>
      <c r="G107" s="8">
        <f>COUNTIF($F$2:$F$350,F107)</f>
        <v>213</v>
      </c>
      <c r="H107" s="8" t="s">
        <v>115</v>
      </c>
      <c r="I107" s="8" t="s">
        <v>82</v>
      </c>
      <c r="J107" s="8" t="s">
        <v>83</v>
      </c>
      <c r="K107" s="8" t="s">
        <v>84</v>
      </c>
      <c r="M107" s="8" t="s">
        <v>85</v>
      </c>
      <c r="N107" s="8" t="s">
        <v>116</v>
      </c>
      <c r="O107" s="8" t="s">
        <v>87</v>
      </c>
      <c r="P107" s="8" t="s">
        <v>173</v>
      </c>
      <c r="Q107" s="8" t="s">
        <v>185</v>
      </c>
      <c r="R107" s="8" t="s">
        <v>186</v>
      </c>
      <c r="S107" s="8" t="s">
        <v>132</v>
      </c>
      <c r="T107" s="8" t="s">
        <v>133</v>
      </c>
      <c r="U107" s="8" t="s">
        <v>93</v>
      </c>
      <c r="V107" s="8" t="s">
        <v>22</v>
      </c>
      <c r="W107" s="8" t="s">
        <v>176</v>
      </c>
      <c r="X107" s="8" t="s">
        <v>177</v>
      </c>
      <c r="Y107" s="8" t="s">
        <v>95</v>
      </c>
      <c r="Z107" s="8" t="s">
        <v>189</v>
      </c>
      <c r="AA107" s="8" t="b">
        <v>0</v>
      </c>
      <c r="AC107" s="8">
        <v>0</v>
      </c>
      <c r="AD107" s="8">
        <v>77</v>
      </c>
      <c r="AI107" s="8" t="s">
        <v>179</v>
      </c>
      <c r="AJ107" s="8" t="s">
        <v>88</v>
      </c>
      <c r="AK107" s="8" t="s">
        <v>496</v>
      </c>
      <c r="AL107" s="8" t="s">
        <v>88</v>
      </c>
      <c r="AM107" s="8" t="s">
        <v>88</v>
      </c>
      <c r="AN107" s="8" t="s">
        <v>88</v>
      </c>
      <c r="AP107" s="8" t="s">
        <v>497</v>
      </c>
      <c r="AQ107" s="8" t="s">
        <v>100</v>
      </c>
      <c r="AR107" s="8" t="s">
        <v>101</v>
      </c>
      <c r="AS107" s="8" t="s">
        <v>120</v>
      </c>
      <c r="AT107" s="8" t="s">
        <v>103</v>
      </c>
      <c r="AU107" s="8" t="s">
        <v>103</v>
      </c>
      <c r="AX107" s="8" t="s">
        <v>104</v>
      </c>
      <c r="AY107" s="8" t="s">
        <v>121</v>
      </c>
      <c r="AZ107" s="8" t="s">
        <v>100</v>
      </c>
      <c r="BA107" s="8" t="s">
        <v>101</v>
      </c>
      <c r="BB107" s="8" t="s">
        <v>102</v>
      </c>
      <c r="BC107" s="8" t="s">
        <v>103</v>
      </c>
      <c r="BD107" s="8" t="s">
        <v>103</v>
      </c>
      <c r="BF107" s="8" t="s">
        <v>107</v>
      </c>
      <c r="BG107" s="8">
        <v>16700</v>
      </c>
      <c r="BH107" s="8" t="s">
        <v>122</v>
      </c>
      <c r="BO107" s="8">
        <v>12</v>
      </c>
      <c r="BR107" s="8" t="s">
        <v>100</v>
      </c>
      <c r="BS107" s="8" t="s">
        <v>182</v>
      </c>
      <c r="BT107" s="8" t="s">
        <v>183</v>
      </c>
      <c r="BU107" s="8" t="s">
        <v>106</v>
      </c>
      <c r="BV107" s="8" t="s">
        <v>123</v>
      </c>
      <c r="BW107" s="8" t="s">
        <v>110</v>
      </c>
    </row>
    <row r="108" spans="1:75" s="8" customFormat="1" x14ac:dyDescent="0.35">
      <c r="A108" s="8" t="s">
        <v>495</v>
      </c>
      <c r="B108" s="9">
        <v>45990</v>
      </c>
      <c r="C108" s="10">
        <v>0.703125</v>
      </c>
      <c r="D108" s="8" t="s">
        <v>170</v>
      </c>
      <c r="E108" s="8" t="s">
        <v>171</v>
      </c>
      <c r="F108" s="11" t="s">
        <v>172</v>
      </c>
      <c r="G108" s="8">
        <f>COUNTIF($F$2:$F$350,F108)</f>
        <v>213</v>
      </c>
      <c r="H108" s="8" t="s">
        <v>115</v>
      </c>
      <c r="I108" s="8" t="s">
        <v>82</v>
      </c>
      <c r="J108" s="8" t="s">
        <v>83</v>
      </c>
      <c r="K108" s="8" t="s">
        <v>84</v>
      </c>
      <c r="M108" s="8" t="s">
        <v>85</v>
      </c>
      <c r="N108" s="8" t="s">
        <v>116</v>
      </c>
      <c r="O108" s="8" t="s">
        <v>87</v>
      </c>
      <c r="P108" s="8" t="s">
        <v>173</v>
      </c>
      <c r="Q108" s="8" t="s">
        <v>185</v>
      </c>
      <c r="R108" s="8" t="s">
        <v>186</v>
      </c>
      <c r="S108" s="8" t="s">
        <v>187</v>
      </c>
      <c r="T108" s="8" t="s">
        <v>188</v>
      </c>
      <c r="U108" s="8" t="s">
        <v>93</v>
      </c>
      <c r="V108" s="8" t="s">
        <v>22</v>
      </c>
      <c r="W108" s="8" t="s">
        <v>176</v>
      </c>
      <c r="X108" s="8" t="s">
        <v>177</v>
      </c>
      <c r="Y108" s="8" t="s">
        <v>95</v>
      </c>
      <c r="Z108" s="8" t="s">
        <v>189</v>
      </c>
      <c r="AA108" s="8" t="b">
        <v>0</v>
      </c>
      <c r="AC108" s="8">
        <v>0</v>
      </c>
      <c r="AD108" s="8">
        <v>93</v>
      </c>
      <c r="AI108" s="8" t="s">
        <v>179</v>
      </c>
      <c r="AJ108" s="8" t="s">
        <v>88</v>
      </c>
      <c r="AK108" s="8" t="s">
        <v>498</v>
      </c>
      <c r="AL108" s="8" t="s">
        <v>88</v>
      </c>
      <c r="AM108" s="8" t="s">
        <v>88</v>
      </c>
      <c r="AN108" s="8" t="s">
        <v>88</v>
      </c>
      <c r="AP108" s="8" t="s">
        <v>499</v>
      </c>
      <c r="AQ108" s="8" t="s">
        <v>100</v>
      </c>
      <c r="AR108" s="8" t="s">
        <v>101</v>
      </c>
      <c r="AS108" s="8" t="s">
        <v>120</v>
      </c>
      <c r="AT108" s="8" t="s">
        <v>103</v>
      </c>
      <c r="AU108" s="8" t="s">
        <v>103</v>
      </c>
      <c r="AX108" s="8" t="s">
        <v>104</v>
      </c>
      <c r="AY108" s="8" t="s">
        <v>121</v>
      </c>
      <c r="AZ108" s="8" t="s">
        <v>100</v>
      </c>
      <c r="BA108" s="8" t="s">
        <v>101</v>
      </c>
      <c r="BB108" s="8" t="s">
        <v>102</v>
      </c>
      <c r="BC108" s="8" t="s">
        <v>103</v>
      </c>
      <c r="BD108" s="8" t="s">
        <v>103</v>
      </c>
      <c r="BF108" s="8" t="s">
        <v>107</v>
      </c>
      <c r="BG108" s="8">
        <v>16700</v>
      </c>
      <c r="BH108" s="8" t="s">
        <v>122</v>
      </c>
      <c r="BO108" s="8">
        <v>12</v>
      </c>
      <c r="BR108" s="8" t="s">
        <v>100</v>
      </c>
      <c r="BS108" s="8" t="s">
        <v>182</v>
      </c>
      <c r="BT108" s="8" t="s">
        <v>183</v>
      </c>
      <c r="BU108" s="8" t="s">
        <v>106</v>
      </c>
      <c r="BV108" s="8" t="s">
        <v>123</v>
      </c>
      <c r="BW108" s="8" t="s">
        <v>110</v>
      </c>
    </row>
    <row r="109" spans="1:75" s="8" customFormat="1" x14ac:dyDescent="0.35">
      <c r="A109" s="8" t="s">
        <v>495</v>
      </c>
      <c r="B109" s="9">
        <v>45990</v>
      </c>
      <c r="C109" s="10">
        <v>0.703125</v>
      </c>
      <c r="D109" s="8" t="s">
        <v>170</v>
      </c>
      <c r="E109" s="8" t="s">
        <v>171</v>
      </c>
      <c r="F109" s="11" t="s">
        <v>172</v>
      </c>
      <c r="G109" s="8">
        <f>COUNTIF($F$2:$F$350,F109)</f>
        <v>213</v>
      </c>
      <c r="H109" s="8" t="s">
        <v>115</v>
      </c>
      <c r="I109" s="8" t="s">
        <v>82</v>
      </c>
      <c r="J109" s="8" t="s">
        <v>83</v>
      </c>
      <c r="K109" s="8" t="s">
        <v>84</v>
      </c>
      <c r="M109" s="8" t="s">
        <v>85</v>
      </c>
      <c r="N109" s="8" t="s">
        <v>116</v>
      </c>
      <c r="O109" s="8" t="s">
        <v>87</v>
      </c>
      <c r="P109" s="8" t="s">
        <v>173</v>
      </c>
      <c r="Q109" s="8" t="s">
        <v>185</v>
      </c>
      <c r="R109" s="8" t="s">
        <v>186</v>
      </c>
      <c r="S109" s="8" t="s">
        <v>132</v>
      </c>
      <c r="T109" s="8" t="s">
        <v>133</v>
      </c>
      <c r="U109" s="8" t="s">
        <v>93</v>
      </c>
      <c r="V109" s="8" t="s">
        <v>22</v>
      </c>
      <c r="W109" s="8" t="s">
        <v>176</v>
      </c>
      <c r="X109" s="8" t="s">
        <v>177</v>
      </c>
      <c r="Y109" s="8" t="s">
        <v>95</v>
      </c>
      <c r="Z109" s="8" t="s">
        <v>189</v>
      </c>
      <c r="AA109" s="8" t="b">
        <v>0</v>
      </c>
      <c r="AC109" s="8">
        <v>0</v>
      </c>
      <c r="AD109" s="8">
        <v>87</v>
      </c>
      <c r="AI109" s="8" t="s">
        <v>179</v>
      </c>
      <c r="AJ109" s="8" t="s">
        <v>88</v>
      </c>
      <c r="AK109" s="8" t="s">
        <v>500</v>
      </c>
      <c r="AL109" s="8" t="s">
        <v>88</v>
      </c>
      <c r="AM109" s="8" t="s">
        <v>88</v>
      </c>
      <c r="AN109" s="8" t="s">
        <v>88</v>
      </c>
      <c r="AP109" s="8" t="s">
        <v>501</v>
      </c>
      <c r="AQ109" s="8" t="s">
        <v>100</v>
      </c>
      <c r="AR109" s="8" t="s">
        <v>101</v>
      </c>
      <c r="AS109" s="8" t="s">
        <v>120</v>
      </c>
      <c r="AT109" s="8" t="s">
        <v>103</v>
      </c>
      <c r="AU109" s="8" t="s">
        <v>103</v>
      </c>
      <c r="AX109" s="8" t="s">
        <v>104</v>
      </c>
      <c r="AY109" s="8" t="s">
        <v>121</v>
      </c>
      <c r="AZ109" s="8" t="s">
        <v>100</v>
      </c>
      <c r="BA109" s="8" t="s">
        <v>101</v>
      </c>
      <c r="BB109" s="8" t="s">
        <v>102</v>
      </c>
      <c r="BC109" s="8" t="s">
        <v>103</v>
      </c>
      <c r="BD109" s="8" t="s">
        <v>103</v>
      </c>
      <c r="BF109" s="8" t="s">
        <v>107</v>
      </c>
      <c r="BG109" s="8">
        <v>16700</v>
      </c>
      <c r="BH109" s="8" t="s">
        <v>122</v>
      </c>
      <c r="BO109" s="8">
        <v>12</v>
      </c>
      <c r="BR109" s="8" t="s">
        <v>100</v>
      </c>
      <c r="BS109" s="8" t="s">
        <v>182</v>
      </c>
      <c r="BT109" s="8" t="s">
        <v>183</v>
      </c>
      <c r="BU109" s="8" t="s">
        <v>106</v>
      </c>
      <c r="BV109" s="8" t="s">
        <v>123</v>
      </c>
      <c r="BW109" s="8" t="s">
        <v>110</v>
      </c>
    </row>
    <row r="110" spans="1:75" s="8" customFormat="1" x14ac:dyDescent="0.35">
      <c r="A110" s="8" t="s">
        <v>502</v>
      </c>
      <c r="B110" s="9">
        <v>45990</v>
      </c>
      <c r="C110" s="10">
        <v>0.70238425925925929</v>
      </c>
      <c r="D110" s="8" t="s">
        <v>78</v>
      </c>
      <c r="E110" s="8" t="s">
        <v>79</v>
      </c>
      <c r="F110" s="11" t="s">
        <v>80</v>
      </c>
      <c r="G110" s="8">
        <f>COUNTIF($F$2:$F$350,F110)</f>
        <v>38</v>
      </c>
      <c r="H110" s="8" t="s">
        <v>81</v>
      </c>
      <c r="I110" s="8" t="s">
        <v>82</v>
      </c>
      <c r="J110" s="8" t="s">
        <v>83</v>
      </c>
      <c r="K110" s="8" t="s">
        <v>84</v>
      </c>
      <c r="M110" s="8" t="s">
        <v>85</v>
      </c>
      <c r="N110" s="8" t="s">
        <v>86</v>
      </c>
      <c r="O110" s="8" t="s">
        <v>87</v>
      </c>
      <c r="P110" s="8" t="s">
        <v>88</v>
      </c>
      <c r="Q110" s="8" t="s">
        <v>89</v>
      </c>
      <c r="R110" s="8" t="s">
        <v>90</v>
      </c>
      <c r="S110" s="8" t="s">
        <v>91</v>
      </c>
      <c r="T110" s="8" t="s">
        <v>92</v>
      </c>
      <c r="U110" s="8" t="s">
        <v>93</v>
      </c>
      <c r="V110" s="8" t="s">
        <v>22</v>
      </c>
      <c r="X110" s="8" t="s">
        <v>94</v>
      </c>
      <c r="Y110" s="8" t="s">
        <v>95</v>
      </c>
      <c r="Z110" s="8" t="s">
        <v>96</v>
      </c>
      <c r="AA110" s="8" t="b">
        <v>0</v>
      </c>
      <c r="AC110" s="8">
        <v>0</v>
      </c>
      <c r="AD110" s="8">
        <v>85</v>
      </c>
      <c r="AI110" s="8" t="s">
        <v>97</v>
      </c>
      <c r="AJ110" s="8" t="s">
        <v>88</v>
      </c>
      <c r="AK110" s="8" t="s">
        <v>503</v>
      </c>
      <c r="AL110" s="8" t="s">
        <v>88</v>
      </c>
      <c r="AM110" s="8" t="s">
        <v>88</v>
      </c>
      <c r="AN110" s="8" t="s">
        <v>88</v>
      </c>
      <c r="AO110" s="8">
        <v>1002</v>
      </c>
      <c r="AP110" s="8" t="s">
        <v>504</v>
      </c>
      <c r="AQ110" s="8" t="s">
        <v>100</v>
      </c>
      <c r="AR110" s="8" t="s">
        <v>101</v>
      </c>
      <c r="AS110" s="8" t="s">
        <v>102</v>
      </c>
      <c r="AT110" s="8" t="s">
        <v>103</v>
      </c>
      <c r="AU110" s="8" t="s">
        <v>103</v>
      </c>
      <c r="AX110" s="8" t="s">
        <v>104</v>
      </c>
      <c r="AY110" s="8" t="s">
        <v>105</v>
      </c>
      <c r="AZ110" s="8" t="s">
        <v>100</v>
      </c>
      <c r="BA110" s="8" t="s">
        <v>101</v>
      </c>
      <c r="BB110" s="8" t="s">
        <v>102</v>
      </c>
      <c r="BC110" s="8" t="s">
        <v>103</v>
      </c>
      <c r="BD110" s="8" t="s">
        <v>106</v>
      </c>
      <c r="BF110" s="8" t="s">
        <v>107</v>
      </c>
      <c r="BG110" s="8">
        <v>16700</v>
      </c>
      <c r="BH110" s="8" t="s">
        <v>108</v>
      </c>
      <c r="BO110" s="8">
        <v>0</v>
      </c>
      <c r="BR110" s="8" t="s">
        <v>100</v>
      </c>
      <c r="BS110" s="8" t="s">
        <v>109</v>
      </c>
      <c r="BT110" s="8" t="s">
        <v>102</v>
      </c>
      <c r="BU110" s="8" t="s">
        <v>103</v>
      </c>
      <c r="BV110" s="8" t="s">
        <v>106</v>
      </c>
      <c r="BW110" s="8" t="s">
        <v>110</v>
      </c>
    </row>
    <row r="111" spans="1:75" s="8" customFormat="1" x14ac:dyDescent="0.35">
      <c r="A111" s="8" t="s">
        <v>505</v>
      </c>
      <c r="B111" s="9">
        <v>45990</v>
      </c>
      <c r="C111" s="10">
        <v>0.70146990740740733</v>
      </c>
      <c r="D111" s="8" t="s">
        <v>170</v>
      </c>
      <c r="E111" s="8" t="s">
        <v>171</v>
      </c>
      <c r="F111" s="11" t="s">
        <v>172</v>
      </c>
      <c r="G111" s="8">
        <f>COUNTIF($F$2:$F$350,F111)</f>
        <v>213</v>
      </c>
      <c r="H111" s="8" t="s">
        <v>115</v>
      </c>
      <c r="I111" s="8" t="s">
        <v>82</v>
      </c>
      <c r="J111" s="8" t="s">
        <v>83</v>
      </c>
      <c r="K111" s="8" t="s">
        <v>84</v>
      </c>
      <c r="M111" s="8" t="s">
        <v>85</v>
      </c>
      <c r="N111" s="8" t="s">
        <v>116</v>
      </c>
      <c r="O111" s="8" t="s">
        <v>87</v>
      </c>
      <c r="P111" s="8" t="s">
        <v>173</v>
      </c>
      <c r="Q111" s="8" t="s">
        <v>185</v>
      </c>
      <c r="R111" s="8" t="s">
        <v>186</v>
      </c>
      <c r="S111" s="8" t="s">
        <v>187</v>
      </c>
      <c r="T111" s="8" t="s">
        <v>188</v>
      </c>
      <c r="U111" s="8" t="s">
        <v>93</v>
      </c>
      <c r="V111" s="8" t="s">
        <v>22</v>
      </c>
      <c r="W111" s="8" t="s">
        <v>176</v>
      </c>
      <c r="X111" s="8" t="s">
        <v>177</v>
      </c>
      <c r="Y111" s="8" t="s">
        <v>95</v>
      </c>
      <c r="Z111" s="8" t="s">
        <v>189</v>
      </c>
      <c r="AA111" s="8" t="b">
        <v>0</v>
      </c>
      <c r="AC111" s="8">
        <v>0</v>
      </c>
      <c r="AD111" s="8">
        <v>101</v>
      </c>
      <c r="AI111" s="8" t="s">
        <v>179</v>
      </c>
      <c r="AJ111" s="8" t="s">
        <v>88</v>
      </c>
      <c r="AK111" s="8" t="s">
        <v>506</v>
      </c>
      <c r="AL111" s="8" t="s">
        <v>88</v>
      </c>
      <c r="AM111" s="8" t="s">
        <v>88</v>
      </c>
      <c r="AN111" s="8" t="s">
        <v>88</v>
      </c>
      <c r="AP111" s="8" t="s">
        <v>507</v>
      </c>
      <c r="AQ111" s="8" t="s">
        <v>100</v>
      </c>
      <c r="AR111" s="8" t="s">
        <v>101</v>
      </c>
      <c r="AS111" s="8" t="s">
        <v>120</v>
      </c>
      <c r="AT111" s="8" t="s">
        <v>103</v>
      </c>
      <c r="AU111" s="8" t="s">
        <v>103</v>
      </c>
      <c r="AX111" s="8" t="s">
        <v>104</v>
      </c>
      <c r="AY111" s="8" t="s">
        <v>121</v>
      </c>
      <c r="AZ111" s="8" t="s">
        <v>100</v>
      </c>
      <c r="BA111" s="8" t="s">
        <v>101</v>
      </c>
      <c r="BB111" s="8" t="s">
        <v>102</v>
      </c>
      <c r="BC111" s="8" t="s">
        <v>103</v>
      </c>
      <c r="BD111" s="8" t="s">
        <v>103</v>
      </c>
      <c r="BF111" s="8" t="s">
        <v>107</v>
      </c>
      <c r="BG111" s="8">
        <v>16700</v>
      </c>
      <c r="BH111" s="8" t="s">
        <v>122</v>
      </c>
      <c r="BO111" s="8">
        <v>12</v>
      </c>
      <c r="BR111" s="8" t="s">
        <v>100</v>
      </c>
      <c r="BS111" s="8" t="s">
        <v>182</v>
      </c>
      <c r="BT111" s="8" t="s">
        <v>183</v>
      </c>
      <c r="BU111" s="8" t="s">
        <v>106</v>
      </c>
      <c r="BV111" s="8" t="s">
        <v>123</v>
      </c>
      <c r="BW111" s="8" t="s">
        <v>110</v>
      </c>
    </row>
    <row r="112" spans="1:75" s="8" customFormat="1" x14ac:dyDescent="0.35">
      <c r="A112" s="8" t="s">
        <v>505</v>
      </c>
      <c r="B112" s="9">
        <v>45990</v>
      </c>
      <c r="C112" s="10">
        <v>0.70146990740740733</v>
      </c>
      <c r="D112" s="8" t="s">
        <v>170</v>
      </c>
      <c r="E112" s="8" t="s">
        <v>171</v>
      </c>
      <c r="F112" s="11" t="s">
        <v>172</v>
      </c>
      <c r="G112" s="8">
        <f>COUNTIF($F$2:$F$350,F112)</f>
        <v>213</v>
      </c>
      <c r="H112" s="8" t="s">
        <v>115</v>
      </c>
      <c r="I112" s="8" t="s">
        <v>82</v>
      </c>
      <c r="J112" s="8" t="s">
        <v>83</v>
      </c>
      <c r="K112" s="8" t="s">
        <v>84</v>
      </c>
      <c r="M112" s="8" t="s">
        <v>85</v>
      </c>
      <c r="N112" s="8" t="s">
        <v>116</v>
      </c>
      <c r="O112" s="8" t="s">
        <v>87</v>
      </c>
      <c r="P112" s="8" t="s">
        <v>173</v>
      </c>
      <c r="Q112" s="8" t="s">
        <v>185</v>
      </c>
      <c r="R112" s="8" t="s">
        <v>186</v>
      </c>
      <c r="S112" s="8" t="s">
        <v>132</v>
      </c>
      <c r="T112" s="8" t="s">
        <v>133</v>
      </c>
      <c r="U112" s="8" t="s">
        <v>93</v>
      </c>
      <c r="V112" s="8" t="s">
        <v>22</v>
      </c>
      <c r="W112" s="8" t="s">
        <v>176</v>
      </c>
      <c r="X112" s="8" t="s">
        <v>177</v>
      </c>
      <c r="Y112" s="8" t="s">
        <v>95</v>
      </c>
      <c r="Z112" s="8" t="s">
        <v>189</v>
      </c>
      <c r="AA112" s="8" t="b">
        <v>0</v>
      </c>
      <c r="AC112" s="8">
        <v>0</v>
      </c>
      <c r="AD112" s="8">
        <v>115</v>
      </c>
      <c r="AI112" s="8" t="s">
        <v>179</v>
      </c>
      <c r="AJ112" s="8" t="s">
        <v>88</v>
      </c>
      <c r="AK112" s="8" t="s">
        <v>508</v>
      </c>
      <c r="AL112" s="8" t="s">
        <v>88</v>
      </c>
      <c r="AM112" s="8" t="s">
        <v>88</v>
      </c>
      <c r="AN112" s="8" t="s">
        <v>88</v>
      </c>
      <c r="AP112" s="8" t="s">
        <v>509</v>
      </c>
      <c r="AQ112" s="8" t="s">
        <v>100</v>
      </c>
      <c r="AR112" s="8" t="s">
        <v>101</v>
      </c>
      <c r="AS112" s="8" t="s">
        <v>120</v>
      </c>
      <c r="AT112" s="8" t="s">
        <v>103</v>
      </c>
      <c r="AU112" s="8" t="s">
        <v>103</v>
      </c>
      <c r="AX112" s="8" t="s">
        <v>104</v>
      </c>
      <c r="AY112" s="8" t="s">
        <v>121</v>
      </c>
      <c r="AZ112" s="8" t="s">
        <v>100</v>
      </c>
      <c r="BA112" s="8" t="s">
        <v>101</v>
      </c>
      <c r="BB112" s="8" t="s">
        <v>102</v>
      </c>
      <c r="BC112" s="8" t="s">
        <v>103</v>
      </c>
      <c r="BD112" s="8" t="s">
        <v>103</v>
      </c>
      <c r="BF112" s="8" t="s">
        <v>107</v>
      </c>
      <c r="BG112" s="8">
        <v>16700</v>
      </c>
      <c r="BH112" s="8" t="s">
        <v>122</v>
      </c>
      <c r="BO112" s="8">
        <v>12</v>
      </c>
      <c r="BR112" s="8" t="s">
        <v>100</v>
      </c>
      <c r="BS112" s="8" t="s">
        <v>182</v>
      </c>
      <c r="BT112" s="8" t="s">
        <v>183</v>
      </c>
      <c r="BU112" s="8" t="s">
        <v>106</v>
      </c>
      <c r="BV112" s="8" t="s">
        <v>123</v>
      </c>
      <c r="BW112" s="8" t="s">
        <v>110</v>
      </c>
    </row>
    <row r="113" spans="1:75" s="8" customFormat="1" x14ac:dyDescent="0.35">
      <c r="A113" s="8" t="s">
        <v>505</v>
      </c>
      <c r="B113" s="9">
        <v>45990</v>
      </c>
      <c r="C113" s="10">
        <v>0.70146990740740733</v>
      </c>
      <c r="D113" s="8" t="s">
        <v>170</v>
      </c>
      <c r="E113" s="8" t="s">
        <v>171</v>
      </c>
      <c r="F113" s="11" t="s">
        <v>172</v>
      </c>
      <c r="G113" s="8">
        <f>COUNTIF($F$2:$F$350,F113)</f>
        <v>213</v>
      </c>
      <c r="H113" s="8" t="s">
        <v>115</v>
      </c>
      <c r="I113" s="8" t="s">
        <v>82</v>
      </c>
      <c r="J113" s="8" t="s">
        <v>83</v>
      </c>
      <c r="K113" s="8" t="s">
        <v>84</v>
      </c>
      <c r="M113" s="8" t="s">
        <v>85</v>
      </c>
      <c r="N113" s="8" t="s">
        <v>116</v>
      </c>
      <c r="O113" s="8" t="s">
        <v>87</v>
      </c>
      <c r="P113" s="8" t="s">
        <v>173</v>
      </c>
      <c r="Q113" s="8" t="s">
        <v>185</v>
      </c>
      <c r="R113" s="8" t="s">
        <v>186</v>
      </c>
      <c r="S113" s="8" t="s">
        <v>132</v>
      </c>
      <c r="T113" s="8" t="s">
        <v>133</v>
      </c>
      <c r="U113" s="8" t="s">
        <v>93</v>
      </c>
      <c r="V113" s="8" t="s">
        <v>22</v>
      </c>
      <c r="W113" s="8" t="s">
        <v>176</v>
      </c>
      <c r="X113" s="8" t="s">
        <v>177</v>
      </c>
      <c r="Y113" s="8" t="s">
        <v>95</v>
      </c>
      <c r="Z113" s="8" t="s">
        <v>189</v>
      </c>
      <c r="AA113" s="8" t="b">
        <v>0</v>
      </c>
      <c r="AC113" s="8">
        <v>0</v>
      </c>
      <c r="AD113" s="8">
        <v>126</v>
      </c>
      <c r="AI113" s="8" t="s">
        <v>179</v>
      </c>
      <c r="AJ113" s="8" t="s">
        <v>88</v>
      </c>
      <c r="AK113" s="8" t="s">
        <v>510</v>
      </c>
      <c r="AL113" s="8" t="s">
        <v>88</v>
      </c>
      <c r="AM113" s="8" t="s">
        <v>88</v>
      </c>
      <c r="AN113" s="8" t="s">
        <v>88</v>
      </c>
      <c r="AP113" s="8" t="s">
        <v>511</v>
      </c>
      <c r="AQ113" s="8" t="s">
        <v>100</v>
      </c>
      <c r="AR113" s="8" t="s">
        <v>101</v>
      </c>
      <c r="AS113" s="8" t="s">
        <v>120</v>
      </c>
      <c r="AT113" s="8" t="s">
        <v>103</v>
      </c>
      <c r="AU113" s="8" t="s">
        <v>103</v>
      </c>
      <c r="AX113" s="8" t="s">
        <v>104</v>
      </c>
      <c r="AY113" s="8" t="s">
        <v>121</v>
      </c>
      <c r="AZ113" s="8" t="s">
        <v>100</v>
      </c>
      <c r="BA113" s="8" t="s">
        <v>101</v>
      </c>
      <c r="BB113" s="8" t="s">
        <v>102</v>
      </c>
      <c r="BC113" s="8" t="s">
        <v>103</v>
      </c>
      <c r="BD113" s="8" t="s">
        <v>103</v>
      </c>
      <c r="BF113" s="8" t="s">
        <v>107</v>
      </c>
      <c r="BG113" s="8">
        <v>16700</v>
      </c>
      <c r="BH113" s="8" t="s">
        <v>122</v>
      </c>
      <c r="BO113" s="8">
        <v>12</v>
      </c>
      <c r="BR113" s="8" t="s">
        <v>100</v>
      </c>
      <c r="BS113" s="8" t="s">
        <v>182</v>
      </c>
      <c r="BT113" s="8" t="s">
        <v>183</v>
      </c>
      <c r="BU113" s="8" t="s">
        <v>106</v>
      </c>
      <c r="BV113" s="8" t="s">
        <v>123</v>
      </c>
      <c r="BW113" s="8" t="s">
        <v>110</v>
      </c>
    </row>
    <row r="114" spans="1:75" s="8" customFormat="1" x14ac:dyDescent="0.35">
      <c r="A114" s="8" t="s">
        <v>512</v>
      </c>
      <c r="B114" s="9">
        <v>45990</v>
      </c>
      <c r="C114" s="10">
        <v>0.70081018518518512</v>
      </c>
      <c r="D114" s="8" t="s">
        <v>170</v>
      </c>
      <c r="E114" s="8" t="s">
        <v>171</v>
      </c>
      <c r="F114" s="11" t="s">
        <v>172</v>
      </c>
      <c r="G114" s="8">
        <f>COUNTIF($F$2:$F$350,F114)</f>
        <v>213</v>
      </c>
      <c r="H114" s="8" t="s">
        <v>115</v>
      </c>
      <c r="I114" s="8" t="s">
        <v>82</v>
      </c>
      <c r="J114" s="8" t="s">
        <v>83</v>
      </c>
      <c r="K114" s="8" t="s">
        <v>84</v>
      </c>
      <c r="M114" s="8" t="s">
        <v>85</v>
      </c>
      <c r="N114" s="8" t="s">
        <v>116</v>
      </c>
      <c r="O114" s="8" t="s">
        <v>87</v>
      </c>
      <c r="P114" s="8" t="s">
        <v>173</v>
      </c>
      <c r="Q114" s="8" t="s">
        <v>185</v>
      </c>
      <c r="R114" s="8" t="s">
        <v>186</v>
      </c>
      <c r="S114" s="8" t="s">
        <v>132</v>
      </c>
      <c r="T114" s="8" t="s">
        <v>133</v>
      </c>
      <c r="U114" s="8" t="s">
        <v>93</v>
      </c>
      <c r="V114" s="8" t="s">
        <v>22</v>
      </c>
      <c r="W114" s="8" t="s">
        <v>176</v>
      </c>
      <c r="X114" s="8" t="s">
        <v>177</v>
      </c>
      <c r="Y114" s="8" t="s">
        <v>95</v>
      </c>
      <c r="Z114" s="8" t="s">
        <v>189</v>
      </c>
      <c r="AA114" s="8" t="b">
        <v>0</v>
      </c>
      <c r="AC114" s="8">
        <v>0</v>
      </c>
      <c r="AD114" s="8">
        <v>102</v>
      </c>
      <c r="AI114" s="8" t="s">
        <v>179</v>
      </c>
      <c r="AJ114" s="8" t="s">
        <v>88</v>
      </c>
      <c r="AK114" s="8" t="s">
        <v>513</v>
      </c>
      <c r="AL114" s="8" t="s">
        <v>88</v>
      </c>
      <c r="AM114" s="8" t="s">
        <v>88</v>
      </c>
      <c r="AN114" s="8" t="s">
        <v>88</v>
      </c>
      <c r="AP114" s="8" t="s">
        <v>514</v>
      </c>
      <c r="AQ114" s="8" t="s">
        <v>100</v>
      </c>
      <c r="AR114" s="8" t="s">
        <v>101</v>
      </c>
      <c r="AS114" s="8" t="s">
        <v>120</v>
      </c>
      <c r="AT114" s="8" t="s">
        <v>103</v>
      </c>
      <c r="AU114" s="8" t="s">
        <v>103</v>
      </c>
      <c r="AX114" s="8" t="s">
        <v>104</v>
      </c>
      <c r="AY114" s="8" t="s">
        <v>121</v>
      </c>
      <c r="AZ114" s="8" t="s">
        <v>100</v>
      </c>
      <c r="BA114" s="8" t="s">
        <v>101</v>
      </c>
      <c r="BB114" s="8" t="s">
        <v>102</v>
      </c>
      <c r="BC114" s="8" t="s">
        <v>103</v>
      </c>
      <c r="BD114" s="8" t="s">
        <v>103</v>
      </c>
      <c r="BF114" s="8" t="s">
        <v>107</v>
      </c>
      <c r="BG114" s="8">
        <v>16700</v>
      </c>
      <c r="BH114" s="8" t="s">
        <v>122</v>
      </c>
      <c r="BO114" s="8">
        <v>12</v>
      </c>
      <c r="BR114" s="8" t="s">
        <v>100</v>
      </c>
      <c r="BS114" s="8" t="s">
        <v>182</v>
      </c>
      <c r="BT114" s="8" t="s">
        <v>183</v>
      </c>
      <c r="BU114" s="8" t="s">
        <v>106</v>
      </c>
      <c r="BV114" s="8" t="s">
        <v>123</v>
      </c>
      <c r="BW114" s="8" t="s">
        <v>110</v>
      </c>
    </row>
    <row r="115" spans="1:75" s="8" customFormat="1" x14ac:dyDescent="0.35">
      <c r="A115" s="8" t="s">
        <v>512</v>
      </c>
      <c r="B115" s="9">
        <v>45990</v>
      </c>
      <c r="C115" s="10">
        <v>0.70081018518518512</v>
      </c>
      <c r="D115" s="8" t="s">
        <v>170</v>
      </c>
      <c r="E115" s="8" t="s">
        <v>171</v>
      </c>
      <c r="F115" s="11" t="s">
        <v>172</v>
      </c>
      <c r="G115" s="8">
        <f>COUNTIF($F$2:$F$350,F115)</f>
        <v>213</v>
      </c>
      <c r="H115" s="8" t="s">
        <v>115</v>
      </c>
      <c r="I115" s="8" t="s">
        <v>82</v>
      </c>
      <c r="J115" s="8" t="s">
        <v>83</v>
      </c>
      <c r="K115" s="8" t="s">
        <v>84</v>
      </c>
      <c r="M115" s="8" t="s">
        <v>85</v>
      </c>
      <c r="N115" s="8" t="s">
        <v>116</v>
      </c>
      <c r="O115" s="8" t="s">
        <v>87</v>
      </c>
      <c r="P115" s="8" t="s">
        <v>173</v>
      </c>
      <c r="Q115" s="8" t="s">
        <v>185</v>
      </c>
      <c r="R115" s="8" t="s">
        <v>186</v>
      </c>
      <c r="S115" s="8" t="s">
        <v>132</v>
      </c>
      <c r="T115" s="8" t="s">
        <v>133</v>
      </c>
      <c r="U115" s="8" t="s">
        <v>93</v>
      </c>
      <c r="V115" s="8" t="s">
        <v>22</v>
      </c>
      <c r="W115" s="8" t="s">
        <v>176</v>
      </c>
      <c r="X115" s="8" t="s">
        <v>177</v>
      </c>
      <c r="Y115" s="8" t="s">
        <v>95</v>
      </c>
      <c r="Z115" s="8" t="s">
        <v>189</v>
      </c>
      <c r="AA115" s="8" t="b">
        <v>0</v>
      </c>
      <c r="AC115" s="8">
        <v>0</v>
      </c>
      <c r="AD115" s="8">
        <v>87</v>
      </c>
      <c r="AI115" s="8" t="s">
        <v>179</v>
      </c>
      <c r="AJ115" s="8" t="s">
        <v>88</v>
      </c>
      <c r="AK115" s="8" t="s">
        <v>515</v>
      </c>
      <c r="AL115" s="8" t="s">
        <v>88</v>
      </c>
      <c r="AM115" s="8" t="s">
        <v>88</v>
      </c>
      <c r="AN115" s="8" t="s">
        <v>88</v>
      </c>
      <c r="AP115" s="8" t="s">
        <v>516</v>
      </c>
      <c r="AQ115" s="8" t="s">
        <v>100</v>
      </c>
      <c r="AR115" s="8" t="s">
        <v>101</v>
      </c>
      <c r="AS115" s="8" t="s">
        <v>120</v>
      </c>
      <c r="AT115" s="8" t="s">
        <v>103</v>
      </c>
      <c r="AU115" s="8" t="s">
        <v>103</v>
      </c>
      <c r="AX115" s="8" t="s">
        <v>104</v>
      </c>
      <c r="AY115" s="8" t="s">
        <v>121</v>
      </c>
      <c r="AZ115" s="8" t="s">
        <v>100</v>
      </c>
      <c r="BA115" s="8" t="s">
        <v>101</v>
      </c>
      <c r="BB115" s="8" t="s">
        <v>102</v>
      </c>
      <c r="BC115" s="8" t="s">
        <v>103</v>
      </c>
      <c r="BD115" s="8" t="s">
        <v>103</v>
      </c>
      <c r="BF115" s="8" t="s">
        <v>107</v>
      </c>
      <c r="BG115" s="8">
        <v>16700</v>
      </c>
      <c r="BH115" s="8" t="s">
        <v>122</v>
      </c>
      <c r="BO115" s="8">
        <v>12</v>
      </c>
      <c r="BR115" s="8" t="s">
        <v>100</v>
      </c>
      <c r="BS115" s="8" t="s">
        <v>182</v>
      </c>
      <c r="BT115" s="8" t="s">
        <v>183</v>
      </c>
      <c r="BU115" s="8" t="s">
        <v>106</v>
      </c>
      <c r="BV115" s="8" t="s">
        <v>123</v>
      </c>
      <c r="BW115" s="8" t="s">
        <v>110</v>
      </c>
    </row>
    <row r="116" spans="1:75" s="8" customFormat="1" x14ac:dyDescent="0.35">
      <c r="A116" s="8" t="s">
        <v>512</v>
      </c>
      <c r="B116" s="9">
        <v>45990</v>
      </c>
      <c r="C116" s="10">
        <v>0.70081018518518512</v>
      </c>
      <c r="D116" s="8" t="s">
        <v>170</v>
      </c>
      <c r="E116" s="8" t="s">
        <v>171</v>
      </c>
      <c r="F116" s="11" t="s">
        <v>172</v>
      </c>
      <c r="G116" s="8">
        <f>COUNTIF($F$2:$F$350,F116)</f>
        <v>213</v>
      </c>
      <c r="H116" s="8" t="s">
        <v>115</v>
      </c>
      <c r="I116" s="8" t="s">
        <v>82</v>
      </c>
      <c r="J116" s="8" t="s">
        <v>83</v>
      </c>
      <c r="K116" s="8" t="s">
        <v>84</v>
      </c>
      <c r="M116" s="8" t="s">
        <v>85</v>
      </c>
      <c r="N116" s="8" t="s">
        <v>116</v>
      </c>
      <c r="O116" s="8" t="s">
        <v>87</v>
      </c>
      <c r="P116" s="8" t="s">
        <v>173</v>
      </c>
      <c r="Q116" s="8" t="s">
        <v>185</v>
      </c>
      <c r="R116" s="8" t="s">
        <v>186</v>
      </c>
      <c r="S116" s="8" t="s">
        <v>187</v>
      </c>
      <c r="T116" s="8" t="s">
        <v>188</v>
      </c>
      <c r="U116" s="8" t="s">
        <v>93</v>
      </c>
      <c r="V116" s="8" t="s">
        <v>22</v>
      </c>
      <c r="W116" s="8" t="s">
        <v>176</v>
      </c>
      <c r="X116" s="8" t="s">
        <v>177</v>
      </c>
      <c r="Y116" s="8" t="s">
        <v>95</v>
      </c>
      <c r="Z116" s="8" t="s">
        <v>189</v>
      </c>
      <c r="AA116" s="8" t="b">
        <v>0</v>
      </c>
      <c r="AC116" s="8">
        <v>0</v>
      </c>
      <c r="AD116" s="8">
        <v>85</v>
      </c>
      <c r="AI116" s="8" t="s">
        <v>179</v>
      </c>
      <c r="AJ116" s="8" t="s">
        <v>88</v>
      </c>
      <c r="AK116" s="8" t="s">
        <v>517</v>
      </c>
      <c r="AL116" s="8" t="s">
        <v>88</v>
      </c>
      <c r="AM116" s="8" t="s">
        <v>88</v>
      </c>
      <c r="AN116" s="8" t="s">
        <v>88</v>
      </c>
      <c r="AP116" s="8" t="s">
        <v>518</v>
      </c>
      <c r="AQ116" s="8" t="s">
        <v>100</v>
      </c>
      <c r="AR116" s="8" t="s">
        <v>101</v>
      </c>
      <c r="AS116" s="8" t="s">
        <v>120</v>
      </c>
      <c r="AT116" s="8" t="s">
        <v>103</v>
      </c>
      <c r="AU116" s="8" t="s">
        <v>103</v>
      </c>
      <c r="AX116" s="8" t="s">
        <v>104</v>
      </c>
      <c r="AY116" s="8" t="s">
        <v>121</v>
      </c>
      <c r="AZ116" s="8" t="s">
        <v>100</v>
      </c>
      <c r="BA116" s="8" t="s">
        <v>101</v>
      </c>
      <c r="BB116" s="8" t="s">
        <v>102</v>
      </c>
      <c r="BC116" s="8" t="s">
        <v>103</v>
      </c>
      <c r="BD116" s="8" t="s">
        <v>103</v>
      </c>
      <c r="BF116" s="8" t="s">
        <v>107</v>
      </c>
      <c r="BG116" s="8">
        <v>16700</v>
      </c>
      <c r="BH116" s="8" t="s">
        <v>122</v>
      </c>
      <c r="BO116" s="8">
        <v>12</v>
      </c>
      <c r="BR116" s="8" t="s">
        <v>100</v>
      </c>
      <c r="BS116" s="8" t="s">
        <v>182</v>
      </c>
      <c r="BT116" s="8" t="s">
        <v>183</v>
      </c>
      <c r="BU116" s="8" t="s">
        <v>106</v>
      </c>
      <c r="BV116" s="8" t="s">
        <v>123</v>
      </c>
      <c r="BW116" s="8" t="s">
        <v>110</v>
      </c>
    </row>
    <row r="117" spans="1:75" s="8" customFormat="1" x14ac:dyDescent="0.35">
      <c r="A117" s="8" t="s">
        <v>519</v>
      </c>
      <c r="B117" s="9">
        <v>45990</v>
      </c>
      <c r="C117" s="10">
        <v>0.70060185185185186</v>
      </c>
      <c r="D117" s="8" t="s">
        <v>170</v>
      </c>
      <c r="E117" s="8" t="s">
        <v>171</v>
      </c>
      <c r="F117" s="11" t="s">
        <v>172</v>
      </c>
      <c r="G117" s="8">
        <f>COUNTIF($F$2:$F$350,F117)</f>
        <v>213</v>
      </c>
      <c r="H117" s="8" t="s">
        <v>115</v>
      </c>
      <c r="I117" s="8" t="s">
        <v>82</v>
      </c>
      <c r="J117" s="8" t="s">
        <v>83</v>
      </c>
      <c r="K117" s="8" t="s">
        <v>84</v>
      </c>
      <c r="M117" s="8" t="s">
        <v>85</v>
      </c>
      <c r="N117" s="8" t="s">
        <v>116</v>
      </c>
      <c r="O117" s="8" t="s">
        <v>87</v>
      </c>
      <c r="P117" s="8" t="s">
        <v>173</v>
      </c>
      <c r="Q117" s="8" t="s">
        <v>185</v>
      </c>
      <c r="R117" s="8" t="s">
        <v>186</v>
      </c>
      <c r="S117" s="8" t="s">
        <v>132</v>
      </c>
      <c r="T117" s="8" t="s">
        <v>133</v>
      </c>
      <c r="U117" s="8" t="s">
        <v>93</v>
      </c>
      <c r="V117" s="8" t="s">
        <v>22</v>
      </c>
      <c r="W117" s="8" t="s">
        <v>176</v>
      </c>
      <c r="X117" s="8" t="s">
        <v>177</v>
      </c>
      <c r="Y117" s="8" t="s">
        <v>95</v>
      </c>
      <c r="Z117" s="8" t="s">
        <v>189</v>
      </c>
      <c r="AA117" s="8" t="b">
        <v>0</v>
      </c>
      <c r="AC117" s="8">
        <v>0</v>
      </c>
      <c r="AD117" s="8">
        <v>81</v>
      </c>
      <c r="AI117" s="8" t="s">
        <v>179</v>
      </c>
      <c r="AJ117" s="8" t="s">
        <v>88</v>
      </c>
      <c r="AK117" s="8" t="s">
        <v>520</v>
      </c>
      <c r="AL117" s="8" t="s">
        <v>88</v>
      </c>
      <c r="AM117" s="8" t="s">
        <v>88</v>
      </c>
      <c r="AN117" s="8" t="s">
        <v>88</v>
      </c>
      <c r="AP117" s="8" t="s">
        <v>521</v>
      </c>
      <c r="AQ117" s="8" t="s">
        <v>100</v>
      </c>
      <c r="AR117" s="8" t="s">
        <v>101</v>
      </c>
      <c r="AS117" s="8" t="s">
        <v>120</v>
      </c>
      <c r="AT117" s="8" t="s">
        <v>103</v>
      </c>
      <c r="AU117" s="8" t="s">
        <v>103</v>
      </c>
      <c r="AX117" s="8" t="s">
        <v>104</v>
      </c>
      <c r="AY117" s="8" t="s">
        <v>121</v>
      </c>
      <c r="AZ117" s="8" t="s">
        <v>100</v>
      </c>
      <c r="BA117" s="8" t="s">
        <v>101</v>
      </c>
      <c r="BB117" s="8" t="s">
        <v>102</v>
      </c>
      <c r="BC117" s="8" t="s">
        <v>103</v>
      </c>
      <c r="BD117" s="8" t="s">
        <v>103</v>
      </c>
      <c r="BF117" s="8" t="s">
        <v>107</v>
      </c>
      <c r="BG117" s="8">
        <v>16700</v>
      </c>
      <c r="BH117" s="8" t="s">
        <v>122</v>
      </c>
      <c r="BO117" s="8">
        <v>12</v>
      </c>
      <c r="BR117" s="8" t="s">
        <v>100</v>
      </c>
      <c r="BS117" s="8" t="s">
        <v>182</v>
      </c>
      <c r="BT117" s="8" t="s">
        <v>183</v>
      </c>
      <c r="BU117" s="8" t="s">
        <v>106</v>
      </c>
      <c r="BV117" s="8" t="s">
        <v>123</v>
      </c>
      <c r="BW117" s="8" t="s">
        <v>110</v>
      </c>
    </row>
    <row r="118" spans="1:75" s="8" customFormat="1" x14ac:dyDescent="0.35">
      <c r="A118" s="8" t="s">
        <v>519</v>
      </c>
      <c r="B118" s="9">
        <v>45990</v>
      </c>
      <c r="C118" s="10">
        <v>0.70060185185185186</v>
      </c>
      <c r="D118" s="8" t="s">
        <v>170</v>
      </c>
      <c r="E118" s="8" t="s">
        <v>171</v>
      </c>
      <c r="F118" s="11" t="s">
        <v>172</v>
      </c>
      <c r="G118" s="8">
        <f>COUNTIF($F$2:$F$350,F118)</f>
        <v>213</v>
      </c>
      <c r="H118" s="8" t="s">
        <v>115</v>
      </c>
      <c r="I118" s="8" t="s">
        <v>82</v>
      </c>
      <c r="J118" s="8" t="s">
        <v>83</v>
      </c>
      <c r="K118" s="8" t="s">
        <v>84</v>
      </c>
      <c r="M118" s="8" t="s">
        <v>85</v>
      </c>
      <c r="N118" s="8" t="s">
        <v>116</v>
      </c>
      <c r="O118" s="8" t="s">
        <v>87</v>
      </c>
      <c r="P118" s="8" t="s">
        <v>173</v>
      </c>
      <c r="Q118" s="8" t="s">
        <v>185</v>
      </c>
      <c r="R118" s="8" t="s">
        <v>186</v>
      </c>
      <c r="S118" s="8" t="s">
        <v>132</v>
      </c>
      <c r="T118" s="8" t="s">
        <v>133</v>
      </c>
      <c r="U118" s="8" t="s">
        <v>93</v>
      </c>
      <c r="V118" s="8" t="s">
        <v>22</v>
      </c>
      <c r="W118" s="8" t="s">
        <v>176</v>
      </c>
      <c r="X118" s="8" t="s">
        <v>177</v>
      </c>
      <c r="Y118" s="8" t="s">
        <v>95</v>
      </c>
      <c r="Z118" s="8" t="s">
        <v>189</v>
      </c>
      <c r="AA118" s="8" t="b">
        <v>0</v>
      </c>
      <c r="AC118" s="8">
        <v>0</v>
      </c>
      <c r="AD118" s="8">
        <v>112</v>
      </c>
      <c r="AI118" s="8" t="s">
        <v>179</v>
      </c>
      <c r="AJ118" s="8" t="s">
        <v>88</v>
      </c>
      <c r="AK118" s="8" t="s">
        <v>522</v>
      </c>
      <c r="AL118" s="8" t="s">
        <v>88</v>
      </c>
      <c r="AM118" s="8" t="s">
        <v>88</v>
      </c>
      <c r="AN118" s="8" t="s">
        <v>88</v>
      </c>
      <c r="AP118" s="8" t="s">
        <v>523</v>
      </c>
      <c r="AQ118" s="8" t="s">
        <v>100</v>
      </c>
      <c r="AR118" s="8" t="s">
        <v>101</v>
      </c>
      <c r="AS118" s="8" t="s">
        <v>120</v>
      </c>
      <c r="AT118" s="8" t="s">
        <v>103</v>
      </c>
      <c r="AU118" s="8" t="s">
        <v>103</v>
      </c>
      <c r="AX118" s="8" t="s">
        <v>104</v>
      </c>
      <c r="AY118" s="8" t="s">
        <v>121</v>
      </c>
      <c r="AZ118" s="8" t="s">
        <v>100</v>
      </c>
      <c r="BA118" s="8" t="s">
        <v>101</v>
      </c>
      <c r="BB118" s="8" t="s">
        <v>102</v>
      </c>
      <c r="BC118" s="8" t="s">
        <v>103</v>
      </c>
      <c r="BD118" s="8" t="s">
        <v>103</v>
      </c>
      <c r="BF118" s="8" t="s">
        <v>107</v>
      </c>
      <c r="BG118" s="8">
        <v>16700</v>
      </c>
      <c r="BH118" s="8" t="s">
        <v>122</v>
      </c>
      <c r="BO118" s="8">
        <v>12</v>
      </c>
      <c r="BR118" s="8" t="s">
        <v>100</v>
      </c>
      <c r="BS118" s="8" t="s">
        <v>182</v>
      </c>
      <c r="BT118" s="8" t="s">
        <v>183</v>
      </c>
      <c r="BU118" s="8" t="s">
        <v>106</v>
      </c>
      <c r="BV118" s="8" t="s">
        <v>123</v>
      </c>
      <c r="BW118" s="8" t="s">
        <v>110</v>
      </c>
    </row>
    <row r="119" spans="1:75" s="8" customFormat="1" x14ac:dyDescent="0.35">
      <c r="A119" s="8" t="s">
        <v>519</v>
      </c>
      <c r="B119" s="9">
        <v>45990</v>
      </c>
      <c r="C119" s="10">
        <v>0.70060185185185186</v>
      </c>
      <c r="D119" s="8" t="s">
        <v>170</v>
      </c>
      <c r="E119" s="8" t="s">
        <v>171</v>
      </c>
      <c r="F119" s="11" t="s">
        <v>172</v>
      </c>
      <c r="G119" s="8">
        <f>COUNTIF($F$2:$F$350,F119)</f>
        <v>213</v>
      </c>
      <c r="H119" s="8" t="s">
        <v>115</v>
      </c>
      <c r="I119" s="8" t="s">
        <v>82</v>
      </c>
      <c r="J119" s="8" t="s">
        <v>83</v>
      </c>
      <c r="K119" s="8" t="s">
        <v>84</v>
      </c>
      <c r="M119" s="8" t="s">
        <v>85</v>
      </c>
      <c r="N119" s="8" t="s">
        <v>116</v>
      </c>
      <c r="O119" s="8" t="s">
        <v>87</v>
      </c>
      <c r="P119" s="8" t="s">
        <v>173</v>
      </c>
      <c r="Q119" s="8" t="s">
        <v>185</v>
      </c>
      <c r="R119" s="8" t="s">
        <v>186</v>
      </c>
      <c r="S119" s="8" t="s">
        <v>187</v>
      </c>
      <c r="T119" s="8" t="s">
        <v>188</v>
      </c>
      <c r="U119" s="8" t="s">
        <v>93</v>
      </c>
      <c r="V119" s="8" t="s">
        <v>22</v>
      </c>
      <c r="W119" s="8" t="s">
        <v>176</v>
      </c>
      <c r="X119" s="8" t="s">
        <v>177</v>
      </c>
      <c r="Y119" s="8" t="s">
        <v>95</v>
      </c>
      <c r="Z119" s="8" t="s">
        <v>189</v>
      </c>
      <c r="AA119" s="8" t="b">
        <v>0</v>
      </c>
      <c r="AC119" s="8">
        <v>0</v>
      </c>
      <c r="AD119" s="8">
        <v>88</v>
      </c>
      <c r="AI119" s="8" t="s">
        <v>179</v>
      </c>
      <c r="AJ119" s="8" t="s">
        <v>88</v>
      </c>
      <c r="AK119" s="8" t="s">
        <v>524</v>
      </c>
      <c r="AL119" s="8" t="s">
        <v>88</v>
      </c>
      <c r="AM119" s="8" t="s">
        <v>88</v>
      </c>
      <c r="AN119" s="8" t="s">
        <v>88</v>
      </c>
      <c r="AP119" s="8" t="s">
        <v>525</v>
      </c>
      <c r="AQ119" s="8" t="s">
        <v>100</v>
      </c>
      <c r="AR119" s="8" t="s">
        <v>101</v>
      </c>
      <c r="AS119" s="8" t="s">
        <v>120</v>
      </c>
      <c r="AT119" s="8" t="s">
        <v>103</v>
      </c>
      <c r="AU119" s="8" t="s">
        <v>103</v>
      </c>
      <c r="AX119" s="8" t="s">
        <v>104</v>
      </c>
      <c r="AY119" s="8" t="s">
        <v>121</v>
      </c>
      <c r="AZ119" s="8" t="s">
        <v>100</v>
      </c>
      <c r="BA119" s="8" t="s">
        <v>101</v>
      </c>
      <c r="BB119" s="8" t="s">
        <v>102</v>
      </c>
      <c r="BC119" s="8" t="s">
        <v>103</v>
      </c>
      <c r="BD119" s="8" t="s">
        <v>103</v>
      </c>
      <c r="BF119" s="8" t="s">
        <v>107</v>
      </c>
      <c r="BG119" s="8">
        <v>16700</v>
      </c>
      <c r="BH119" s="8" t="s">
        <v>122</v>
      </c>
      <c r="BO119" s="8">
        <v>12</v>
      </c>
      <c r="BR119" s="8" t="s">
        <v>100</v>
      </c>
      <c r="BS119" s="8" t="s">
        <v>182</v>
      </c>
      <c r="BT119" s="8" t="s">
        <v>183</v>
      </c>
      <c r="BU119" s="8" t="s">
        <v>106</v>
      </c>
      <c r="BV119" s="8" t="s">
        <v>123</v>
      </c>
      <c r="BW119" s="8" t="s">
        <v>110</v>
      </c>
    </row>
    <row r="120" spans="1:75" s="8" customFormat="1" x14ac:dyDescent="0.35">
      <c r="A120" s="8" t="s">
        <v>526</v>
      </c>
      <c r="B120" s="9">
        <v>45990</v>
      </c>
      <c r="C120" s="10">
        <v>0.70046296296296295</v>
      </c>
      <c r="D120" s="8" t="s">
        <v>170</v>
      </c>
      <c r="E120" s="8" t="s">
        <v>171</v>
      </c>
      <c r="F120" s="11" t="s">
        <v>172</v>
      </c>
      <c r="G120" s="8">
        <f>COUNTIF($F$2:$F$350,F120)</f>
        <v>213</v>
      </c>
      <c r="H120" s="8" t="s">
        <v>115</v>
      </c>
      <c r="I120" s="8" t="s">
        <v>82</v>
      </c>
      <c r="J120" s="8" t="s">
        <v>83</v>
      </c>
      <c r="K120" s="8" t="s">
        <v>84</v>
      </c>
      <c r="M120" s="8" t="s">
        <v>85</v>
      </c>
      <c r="N120" s="8" t="s">
        <v>116</v>
      </c>
      <c r="O120" s="8" t="s">
        <v>87</v>
      </c>
      <c r="P120" s="8" t="s">
        <v>173</v>
      </c>
      <c r="Q120" s="8" t="s">
        <v>211</v>
      </c>
      <c r="R120" s="8" t="s">
        <v>212</v>
      </c>
      <c r="S120" s="8" t="s">
        <v>132</v>
      </c>
      <c r="T120" s="8" t="s">
        <v>133</v>
      </c>
      <c r="U120" s="8" t="s">
        <v>93</v>
      </c>
      <c r="V120" s="8" t="s">
        <v>22</v>
      </c>
      <c r="W120" s="8" t="s">
        <v>176</v>
      </c>
      <c r="X120" s="8" t="s">
        <v>177</v>
      </c>
      <c r="Y120" s="8" t="s">
        <v>95</v>
      </c>
      <c r="Z120" s="8" t="s">
        <v>178</v>
      </c>
      <c r="AA120" s="8" t="b">
        <v>0</v>
      </c>
      <c r="AC120" s="8">
        <v>0</v>
      </c>
      <c r="AD120" s="8">
        <v>102</v>
      </c>
      <c r="AI120" s="8" t="s">
        <v>179</v>
      </c>
      <c r="AJ120" s="8" t="s">
        <v>88</v>
      </c>
      <c r="AK120" s="8" t="s">
        <v>527</v>
      </c>
      <c r="AL120" s="8" t="s">
        <v>88</v>
      </c>
      <c r="AM120" s="8" t="s">
        <v>88</v>
      </c>
      <c r="AN120" s="8" t="s">
        <v>88</v>
      </c>
      <c r="AP120" s="8" t="s">
        <v>528</v>
      </c>
      <c r="AQ120" s="8" t="s">
        <v>100</v>
      </c>
      <c r="AR120" s="8" t="s">
        <v>101</v>
      </c>
      <c r="AS120" s="8" t="s">
        <v>120</v>
      </c>
      <c r="AT120" s="8" t="s">
        <v>103</v>
      </c>
      <c r="AU120" s="8" t="s">
        <v>103</v>
      </c>
      <c r="AX120" s="8" t="s">
        <v>104</v>
      </c>
      <c r="AY120" s="8" t="s">
        <v>121</v>
      </c>
      <c r="AZ120" s="8" t="s">
        <v>100</v>
      </c>
      <c r="BA120" s="8" t="s">
        <v>101</v>
      </c>
      <c r="BB120" s="8" t="s">
        <v>102</v>
      </c>
      <c r="BC120" s="8" t="s">
        <v>103</v>
      </c>
      <c r="BD120" s="8" t="s">
        <v>103</v>
      </c>
      <c r="BF120" s="8" t="s">
        <v>107</v>
      </c>
      <c r="BG120" s="8">
        <v>16700</v>
      </c>
      <c r="BH120" s="8" t="s">
        <v>122</v>
      </c>
      <c r="BO120" s="8">
        <v>12</v>
      </c>
      <c r="BR120" s="8" t="s">
        <v>100</v>
      </c>
      <c r="BS120" s="8" t="s">
        <v>182</v>
      </c>
      <c r="BT120" s="8" t="s">
        <v>183</v>
      </c>
      <c r="BU120" s="8" t="s">
        <v>106</v>
      </c>
      <c r="BV120" s="8" t="s">
        <v>123</v>
      </c>
      <c r="BW120" s="8" t="s">
        <v>110</v>
      </c>
    </row>
    <row r="121" spans="1:75" x14ac:dyDescent="0.35">
      <c r="A121" t="s">
        <v>529</v>
      </c>
      <c r="B121" s="1">
        <v>45990</v>
      </c>
      <c r="C121" s="2">
        <v>0.69870370370370372</v>
      </c>
      <c r="D121" t="s">
        <v>393</v>
      </c>
      <c r="E121" t="s">
        <v>394</v>
      </c>
      <c r="F121" t="s">
        <v>358</v>
      </c>
      <c r="G121">
        <f>COUNTIF($F$2:$F$350,F121)</f>
        <v>16</v>
      </c>
      <c r="H121" t="s">
        <v>359</v>
      </c>
      <c r="I121" t="s">
        <v>360</v>
      </c>
      <c r="J121" t="s">
        <v>83</v>
      </c>
      <c r="K121" t="s">
        <v>361</v>
      </c>
      <c r="L121">
        <v>50126</v>
      </c>
      <c r="M121" t="s">
        <v>85</v>
      </c>
      <c r="N121" t="s">
        <v>86</v>
      </c>
      <c r="O121" t="s">
        <v>87</v>
      </c>
      <c r="P121" t="s">
        <v>88</v>
      </c>
      <c r="Q121" t="s">
        <v>155</v>
      </c>
      <c r="R121" t="s">
        <v>156</v>
      </c>
      <c r="S121" t="s">
        <v>155</v>
      </c>
      <c r="T121" t="s">
        <v>156</v>
      </c>
      <c r="U121" t="s">
        <v>362</v>
      </c>
      <c r="V121" t="s">
        <v>22</v>
      </c>
      <c r="X121" t="s">
        <v>363</v>
      </c>
      <c r="Y121" t="s">
        <v>95</v>
      </c>
      <c r="Z121" t="s">
        <v>364</v>
      </c>
      <c r="AA121" t="b">
        <v>0</v>
      </c>
      <c r="AC121">
        <v>0</v>
      </c>
      <c r="AD121">
        <v>265</v>
      </c>
      <c r="AE121" t="s">
        <v>365</v>
      </c>
      <c r="AH121" t="s">
        <v>394</v>
      </c>
      <c r="AJ121" t="s">
        <v>88</v>
      </c>
      <c r="AK121" t="s">
        <v>530</v>
      </c>
      <c r="AL121" t="s">
        <v>88</v>
      </c>
      <c r="AM121" t="s">
        <v>88</v>
      </c>
      <c r="AN121" t="s">
        <v>88</v>
      </c>
      <c r="AP121" t="s">
        <v>531</v>
      </c>
      <c r="AQ121" t="s">
        <v>368</v>
      </c>
      <c r="AR121" t="s">
        <v>369</v>
      </c>
      <c r="AS121" t="s">
        <v>370</v>
      </c>
      <c r="AT121" t="s">
        <v>371</v>
      </c>
      <c r="AU121" t="s">
        <v>371</v>
      </c>
      <c r="AX121" t="s">
        <v>372</v>
      </c>
      <c r="AY121" t="s">
        <v>373</v>
      </c>
      <c r="AZ121" t="s">
        <v>368</v>
      </c>
      <c r="BA121" t="s">
        <v>374</v>
      </c>
      <c r="BB121" t="s">
        <v>375</v>
      </c>
      <c r="BC121" t="s">
        <v>376</v>
      </c>
      <c r="BD121" t="s">
        <v>376</v>
      </c>
      <c r="BE121" t="s">
        <v>377</v>
      </c>
      <c r="BF121" t="s">
        <v>378</v>
      </c>
      <c r="BG121">
        <v>14061</v>
      </c>
      <c r="BH121" t="s">
        <v>379</v>
      </c>
      <c r="BO121">
        <v>55</v>
      </c>
      <c r="BR121" t="s">
        <v>368</v>
      </c>
      <c r="BS121" t="s">
        <v>369</v>
      </c>
      <c r="BT121" t="s">
        <v>370</v>
      </c>
      <c r="BU121" t="s">
        <v>376</v>
      </c>
      <c r="BV121" t="s">
        <v>376</v>
      </c>
      <c r="BW121" t="s">
        <v>380</v>
      </c>
    </row>
    <row r="122" spans="1:75" x14ac:dyDescent="0.35">
      <c r="A122" t="s">
        <v>532</v>
      </c>
      <c r="B122" s="1">
        <v>45990</v>
      </c>
      <c r="C122" s="2">
        <v>0.69869212962962957</v>
      </c>
      <c r="D122" t="s">
        <v>393</v>
      </c>
      <c r="E122" t="s">
        <v>394</v>
      </c>
      <c r="F122" t="s">
        <v>358</v>
      </c>
      <c r="G122">
        <f>COUNTIF($F$2:$F$350,F122)</f>
        <v>16</v>
      </c>
      <c r="H122" t="s">
        <v>359</v>
      </c>
      <c r="I122" t="s">
        <v>360</v>
      </c>
      <c r="J122" t="s">
        <v>83</v>
      </c>
      <c r="K122" t="s">
        <v>361</v>
      </c>
      <c r="L122">
        <v>50126</v>
      </c>
      <c r="M122" t="s">
        <v>85</v>
      </c>
      <c r="N122" t="s">
        <v>86</v>
      </c>
      <c r="O122" t="s">
        <v>87</v>
      </c>
      <c r="P122" t="s">
        <v>88</v>
      </c>
      <c r="Q122" t="s">
        <v>155</v>
      </c>
      <c r="R122" t="s">
        <v>156</v>
      </c>
      <c r="S122" t="s">
        <v>155</v>
      </c>
      <c r="T122" t="s">
        <v>156</v>
      </c>
      <c r="U122" t="s">
        <v>362</v>
      </c>
      <c r="V122" t="s">
        <v>22</v>
      </c>
      <c r="X122" t="s">
        <v>363</v>
      </c>
      <c r="Y122" t="s">
        <v>95</v>
      </c>
      <c r="Z122" t="s">
        <v>364</v>
      </c>
      <c r="AA122" t="b">
        <v>0</v>
      </c>
      <c r="AC122">
        <v>0</v>
      </c>
      <c r="AD122">
        <v>474</v>
      </c>
      <c r="AE122" t="s">
        <v>365</v>
      </c>
      <c r="AH122" t="s">
        <v>394</v>
      </c>
      <c r="AJ122" t="s">
        <v>88</v>
      </c>
      <c r="AK122" t="s">
        <v>533</v>
      </c>
      <c r="AL122" t="s">
        <v>88</v>
      </c>
      <c r="AM122" t="s">
        <v>88</v>
      </c>
      <c r="AN122" t="s">
        <v>88</v>
      </c>
      <c r="AP122" t="s">
        <v>534</v>
      </c>
      <c r="AQ122" t="s">
        <v>368</v>
      </c>
      <c r="AR122" t="s">
        <v>369</v>
      </c>
      <c r="AS122" t="s">
        <v>370</v>
      </c>
      <c r="AT122" t="s">
        <v>371</v>
      </c>
      <c r="AU122" t="s">
        <v>371</v>
      </c>
      <c r="AX122" t="s">
        <v>372</v>
      </c>
      <c r="AY122" t="s">
        <v>373</v>
      </c>
      <c r="AZ122" t="s">
        <v>368</v>
      </c>
      <c r="BA122" t="s">
        <v>374</v>
      </c>
      <c r="BB122" t="s">
        <v>375</v>
      </c>
      <c r="BC122" t="s">
        <v>376</v>
      </c>
      <c r="BD122" t="s">
        <v>376</v>
      </c>
      <c r="BE122" t="s">
        <v>377</v>
      </c>
      <c r="BF122" t="s">
        <v>378</v>
      </c>
      <c r="BG122">
        <v>14061</v>
      </c>
      <c r="BH122" t="s">
        <v>379</v>
      </c>
      <c r="BO122">
        <v>55</v>
      </c>
      <c r="BR122" t="s">
        <v>368</v>
      </c>
      <c r="BS122" t="s">
        <v>369</v>
      </c>
      <c r="BT122" t="s">
        <v>370</v>
      </c>
      <c r="BU122" t="s">
        <v>376</v>
      </c>
      <c r="BV122" t="s">
        <v>376</v>
      </c>
      <c r="BW122" t="s">
        <v>380</v>
      </c>
    </row>
    <row r="123" spans="1:75" s="8" customFormat="1" x14ac:dyDescent="0.35">
      <c r="A123" s="8" t="s">
        <v>535</v>
      </c>
      <c r="B123" s="9">
        <v>45990</v>
      </c>
      <c r="C123" s="10">
        <v>0.69826388888888891</v>
      </c>
      <c r="D123" s="8" t="s">
        <v>209</v>
      </c>
      <c r="E123" s="8" t="s">
        <v>210</v>
      </c>
      <c r="F123" s="11" t="s">
        <v>172</v>
      </c>
      <c r="G123" s="8">
        <f>COUNTIF($F$2:$F$350,F123)</f>
        <v>213</v>
      </c>
      <c r="H123" s="8" t="s">
        <v>115</v>
      </c>
      <c r="I123" s="8" t="s">
        <v>82</v>
      </c>
      <c r="J123" s="8" t="s">
        <v>83</v>
      </c>
      <c r="K123" s="8" t="s">
        <v>84</v>
      </c>
      <c r="M123" s="8" t="s">
        <v>85</v>
      </c>
      <c r="N123" s="8" t="s">
        <v>86</v>
      </c>
      <c r="O123" s="8" t="s">
        <v>87</v>
      </c>
      <c r="P123" s="8" t="s">
        <v>88</v>
      </c>
      <c r="Q123" s="8" t="s">
        <v>185</v>
      </c>
      <c r="R123" s="8" t="s">
        <v>186</v>
      </c>
      <c r="S123" s="8" t="s">
        <v>132</v>
      </c>
      <c r="T123" s="8" t="s">
        <v>133</v>
      </c>
      <c r="U123" s="8" t="s">
        <v>93</v>
      </c>
      <c r="V123" s="8" t="s">
        <v>22</v>
      </c>
      <c r="X123" s="8" t="s">
        <v>177</v>
      </c>
      <c r="Y123" s="8" t="s">
        <v>95</v>
      </c>
      <c r="Z123" s="8" t="s">
        <v>189</v>
      </c>
      <c r="AA123" s="8" t="b">
        <v>0</v>
      </c>
      <c r="AC123" s="8">
        <v>0</v>
      </c>
      <c r="AD123" s="8">
        <v>167</v>
      </c>
      <c r="AI123" s="8" t="s">
        <v>213</v>
      </c>
      <c r="AJ123" s="8" t="s">
        <v>88</v>
      </c>
      <c r="AK123" s="8" t="s">
        <v>536</v>
      </c>
      <c r="AL123" s="8" t="s">
        <v>88</v>
      </c>
      <c r="AM123" s="8" t="s">
        <v>88</v>
      </c>
      <c r="AN123" s="8" t="s">
        <v>88</v>
      </c>
      <c r="AO123" s="8">
        <v>1002</v>
      </c>
      <c r="AP123" s="8" t="s">
        <v>537</v>
      </c>
      <c r="AQ123" s="8" t="s">
        <v>100</v>
      </c>
      <c r="AR123" s="8" t="s">
        <v>101</v>
      </c>
      <c r="AS123" s="8" t="s">
        <v>120</v>
      </c>
      <c r="AT123" s="8" t="s">
        <v>103</v>
      </c>
      <c r="AU123" s="8" t="s">
        <v>103</v>
      </c>
      <c r="AX123" s="8" t="s">
        <v>104</v>
      </c>
      <c r="AY123" s="8" t="s">
        <v>121</v>
      </c>
      <c r="AZ123" s="8" t="s">
        <v>100</v>
      </c>
      <c r="BA123" s="8" t="s">
        <v>101</v>
      </c>
      <c r="BB123" s="8" t="s">
        <v>102</v>
      </c>
      <c r="BC123" s="8" t="s">
        <v>103</v>
      </c>
      <c r="BD123" s="8" t="s">
        <v>103</v>
      </c>
      <c r="BF123" s="8" t="s">
        <v>107</v>
      </c>
      <c r="BG123" s="8">
        <v>16700</v>
      </c>
      <c r="BH123" s="8" t="s">
        <v>122</v>
      </c>
      <c r="BO123" s="8">
        <v>12</v>
      </c>
      <c r="BR123" s="8" t="s">
        <v>100</v>
      </c>
      <c r="BS123" s="8" t="s">
        <v>182</v>
      </c>
      <c r="BT123" s="8" t="s">
        <v>183</v>
      </c>
      <c r="BU123" s="8" t="s">
        <v>106</v>
      </c>
      <c r="BV123" s="8" t="s">
        <v>123</v>
      </c>
      <c r="BW123" s="8" t="s">
        <v>110</v>
      </c>
    </row>
    <row r="124" spans="1:75" s="8" customFormat="1" x14ac:dyDescent="0.35">
      <c r="A124" s="8" t="s">
        <v>535</v>
      </c>
      <c r="B124" s="9">
        <v>45990</v>
      </c>
      <c r="C124" s="10">
        <v>0.69826388888888891</v>
      </c>
      <c r="D124" s="8" t="s">
        <v>209</v>
      </c>
      <c r="E124" s="8" t="s">
        <v>210</v>
      </c>
      <c r="F124" s="11" t="s">
        <v>172</v>
      </c>
      <c r="G124" s="8">
        <f>COUNTIF($F$2:$F$350,F124)</f>
        <v>213</v>
      </c>
      <c r="H124" s="8" t="s">
        <v>115</v>
      </c>
      <c r="I124" s="8" t="s">
        <v>82</v>
      </c>
      <c r="J124" s="8" t="s">
        <v>83</v>
      </c>
      <c r="K124" s="8" t="s">
        <v>84</v>
      </c>
      <c r="M124" s="8" t="s">
        <v>85</v>
      </c>
      <c r="N124" s="8" t="s">
        <v>86</v>
      </c>
      <c r="O124" s="8" t="s">
        <v>87</v>
      </c>
      <c r="P124" s="8" t="s">
        <v>88</v>
      </c>
      <c r="Q124" s="8" t="s">
        <v>185</v>
      </c>
      <c r="R124" s="8" t="s">
        <v>186</v>
      </c>
      <c r="S124" s="8" t="s">
        <v>132</v>
      </c>
      <c r="T124" s="8" t="s">
        <v>133</v>
      </c>
      <c r="U124" s="8" t="s">
        <v>93</v>
      </c>
      <c r="V124" s="8" t="s">
        <v>22</v>
      </c>
      <c r="X124" s="8" t="s">
        <v>177</v>
      </c>
      <c r="Y124" s="8" t="s">
        <v>95</v>
      </c>
      <c r="Z124" s="8" t="s">
        <v>189</v>
      </c>
      <c r="AA124" s="8" t="b">
        <v>0</v>
      </c>
      <c r="AC124" s="8">
        <v>0</v>
      </c>
      <c r="AD124" s="8">
        <v>87</v>
      </c>
      <c r="AI124" s="8" t="s">
        <v>213</v>
      </c>
      <c r="AJ124" s="8" t="s">
        <v>88</v>
      </c>
      <c r="AK124" s="8" t="s">
        <v>538</v>
      </c>
      <c r="AL124" s="8" t="s">
        <v>88</v>
      </c>
      <c r="AM124" s="8" t="s">
        <v>88</v>
      </c>
      <c r="AN124" s="8" t="s">
        <v>88</v>
      </c>
      <c r="AO124" s="8">
        <v>1002</v>
      </c>
      <c r="AP124" s="8" t="s">
        <v>539</v>
      </c>
      <c r="AQ124" s="8" t="s">
        <v>100</v>
      </c>
      <c r="AR124" s="8" t="s">
        <v>101</v>
      </c>
      <c r="AS124" s="8" t="s">
        <v>120</v>
      </c>
      <c r="AT124" s="8" t="s">
        <v>103</v>
      </c>
      <c r="AU124" s="8" t="s">
        <v>103</v>
      </c>
      <c r="AX124" s="8" t="s">
        <v>104</v>
      </c>
      <c r="AY124" s="8" t="s">
        <v>121</v>
      </c>
      <c r="AZ124" s="8" t="s">
        <v>100</v>
      </c>
      <c r="BA124" s="8" t="s">
        <v>101</v>
      </c>
      <c r="BB124" s="8" t="s">
        <v>102</v>
      </c>
      <c r="BC124" s="8" t="s">
        <v>103</v>
      </c>
      <c r="BD124" s="8" t="s">
        <v>103</v>
      </c>
      <c r="BF124" s="8" t="s">
        <v>107</v>
      </c>
      <c r="BG124" s="8">
        <v>16700</v>
      </c>
      <c r="BH124" s="8" t="s">
        <v>122</v>
      </c>
      <c r="BO124" s="8">
        <v>12</v>
      </c>
      <c r="BR124" s="8" t="s">
        <v>100</v>
      </c>
      <c r="BS124" s="8" t="s">
        <v>182</v>
      </c>
      <c r="BT124" s="8" t="s">
        <v>183</v>
      </c>
      <c r="BU124" s="8" t="s">
        <v>106</v>
      </c>
      <c r="BV124" s="8" t="s">
        <v>123</v>
      </c>
      <c r="BW124" s="8" t="s">
        <v>110</v>
      </c>
    </row>
    <row r="125" spans="1:75" s="8" customFormat="1" x14ac:dyDescent="0.35">
      <c r="A125" s="8" t="s">
        <v>535</v>
      </c>
      <c r="B125" s="9">
        <v>45990</v>
      </c>
      <c r="C125" s="10">
        <v>0.69826388888888891</v>
      </c>
      <c r="D125" s="8" t="s">
        <v>209</v>
      </c>
      <c r="E125" s="8" t="s">
        <v>210</v>
      </c>
      <c r="F125" s="11" t="s">
        <v>172</v>
      </c>
      <c r="G125" s="8">
        <f>COUNTIF($F$2:$F$350,F125)</f>
        <v>213</v>
      </c>
      <c r="H125" s="8" t="s">
        <v>115</v>
      </c>
      <c r="I125" s="8" t="s">
        <v>82</v>
      </c>
      <c r="J125" s="8" t="s">
        <v>83</v>
      </c>
      <c r="K125" s="8" t="s">
        <v>84</v>
      </c>
      <c r="M125" s="8" t="s">
        <v>85</v>
      </c>
      <c r="N125" s="8" t="s">
        <v>86</v>
      </c>
      <c r="O125" s="8" t="s">
        <v>87</v>
      </c>
      <c r="P125" s="8" t="s">
        <v>88</v>
      </c>
      <c r="Q125" s="8" t="s">
        <v>185</v>
      </c>
      <c r="R125" s="8" t="s">
        <v>186</v>
      </c>
      <c r="S125" s="8" t="s">
        <v>187</v>
      </c>
      <c r="T125" s="8" t="s">
        <v>188</v>
      </c>
      <c r="U125" s="8" t="s">
        <v>93</v>
      </c>
      <c r="V125" s="8" t="s">
        <v>22</v>
      </c>
      <c r="X125" s="8" t="s">
        <v>177</v>
      </c>
      <c r="Y125" s="8" t="s">
        <v>95</v>
      </c>
      <c r="Z125" s="8" t="s">
        <v>189</v>
      </c>
      <c r="AA125" s="8" t="b">
        <v>0</v>
      </c>
      <c r="AC125" s="8">
        <v>0</v>
      </c>
      <c r="AD125" s="8">
        <v>84</v>
      </c>
      <c r="AI125" s="8" t="s">
        <v>213</v>
      </c>
      <c r="AJ125" s="8" t="s">
        <v>88</v>
      </c>
      <c r="AK125" s="8" t="s">
        <v>540</v>
      </c>
      <c r="AL125" s="8" t="s">
        <v>88</v>
      </c>
      <c r="AM125" s="8" t="s">
        <v>88</v>
      </c>
      <c r="AN125" s="8" t="s">
        <v>88</v>
      </c>
      <c r="AO125" s="8">
        <v>1002</v>
      </c>
      <c r="AP125" s="8" t="s">
        <v>541</v>
      </c>
      <c r="AQ125" s="8" t="s">
        <v>100</v>
      </c>
      <c r="AR125" s="8" t="s">
        <v>101</v>
      </c>
      <c r="AS125" s="8" t="s">
        <v>120</v>
      </c>
      <c r="AT125" s="8" t="s">
        <v>103</v>
      </c>
      <c r="AU125" s="8" t="s">
        <v>103</v>
      </c>
      <c r="AX125" s="8" t="s">
        <v>104</v>
      </c>
      <c r="AY125" s="8" t="s">
        <v>121</v>
      </c>
      <c r="AZ125" s="8" t="s">
        <v>100</v>
      </c>
      <c r="BA125" s="8" t="s">
        <v>101</v>
      </c>
      <c r="BB125" s="8" t="s">
        <v>102</v>
      </c>
      <c r="BC125" s="8" t="s">
        <v>103</v>
      </c>
      <c r="BD125" s="8" t="s">
        <v>103</v>
      </c>
      <c r="BF125" s="8" t="s">
        <v>107</v>
      </c>
      <c r="BG125" s="8">
        <v>16700</v>
      </c>
      <c r="BH125" s="8" t="s">
        <v>122</v>
      </c>
      <c r="BO125" s="8">
        <v>12</v>
      </c>
      <c r="BR125" s="8" t="s">
        <v>100</v>
      </c>
      <c r="BS125" s="8" t="s">
        <v>182</v>
      </c>
      <c r="BT125" s="8" t="s">
        <v>183</v>
      </c>
      <c r="BU125" s="8" t="s">
        <v>106</v>
      </c>
      <c r="BV125" s="8" t="s">
        <v>123</v>
      </c>
      <c r="BW125" s="8" t="s">
        <v>110</v>
      </c>
    </row>
    <row r="126" spans="1:75" s="8" customFormat="1" x14ac:dyDescent="0.35">
      <c r="A126" s="8" t="s">
        <v>542</v>
      </c>
      <c r="B126" s="9">
        <v>45990</v>
      </c>
      <c r="C126" s="10">
        <v>0.69825231481481476</v>
      </c>
      <c r="D126" s="8" t="s">
        <v>209</v>
      </c>
      <c r="E126" s="8" t="s">
        <v>210</v>
      </c>
      <c r="F126" s="11" t="s">
        <v>172</v>
      </c>
      <c r="G126" s="8">
        <f>COUNTIF($F$2:$F$350,F126)</f>
        <v>213</v>
      </c>
      <c r="H126" s="8" t="s">
        <v>115</v>
      </c>
      <c r="I126" s="8" t="s">
        <v>82</v>
      </c>
      <c r="J126" s="8" t="s">
        <v>83</v>
      </c>
      <c r="K126" s="8" t="s">
        <v>84</v>
      </c>
      <c r="M126" s="8" t="s">
        <v>85</v>
      </c>
      <c r="N126" s="8" t="s">
        <v>86</v>
      </c>
      <c r="O126" s="8" t="s">
        <v>87</v>
      </c>
      <c r="P126" s="8" t="s">
        <v>88</v>
      </c>
      <c r="Q126" s="8" t="s">
        <v>323</v>
      </c>
      <c r="R126" s="8" t="s">
        <v>324</v>
      </c>
      <c r="S126" s="8" t="s">
        <v>132</v>
      </c>
      <c r="T126" s="8" t="s">
        <v>133</v>
      </c>
      <c r="U126" s="8" t="s">
        <v>93</v>
      </c>
      <c r="V126" s="8" t="s">
        <v>22</v>
      </c>
      <c r="X126" s="8" t="s">
        <v>177</v>
      </c>
      <c r="Y126" s="8" t="s">
        <v>95</v>
      </c>
      <c r="Z126" s="8" t="s">
        <v>189</v>
      </c>
      <c r="AA126" s="8" t="b">
        <v>0</v>
      </c>
      <c r="AC126" s="8">
        <v>0</v>
      </c>
      <c r="AD126" s="8">
        <v>114</v>
      </c>
      <c r="AI126" s="8" t="s">
        <v>213</v>
      </c>
      <c r="AJ126" s="8" t="s">
        <v>88</v>
      </c>
      <c r="AK126" s="8" t="s">
        <v>543</v>
      </c>
      <c r="AL126" s="8" t="s">
        <v>88</v>
      </c>
      <c r="AM126" s="8" t="s">
        <v>88</v>
      </c>
      <c r="AN126" s="8" t="s">
        <v>88</v>
      </c>
      <c r="AO126" s="8">
        <v>1002</v>
      </c>
      <c r="AP126" s="8" t="s">
        <v>544</v>
      </c>
      <c r="AQ126" s="8" t="s">
        <v>100</v>
      </c>
      <c r="AR126" s="8" t="s">
        <v>101</v>
      </c>
      <c r="AS126" s="8" t="s">
        <v>120</v>
      </c>
      <c r="AT126" s="8" t="s">
        <v>103</v>
      </c>
      <c r="AU126" s="8" t="s">
        <v>103</v>
      </c>
      <c r="AX126" s="8" t="s">
        <v>104</v>
      </c>
      <c r="AY126" s="8" t="s">
        <v>121</v>
      </c>
      <c r="AZ126" s="8" t="s">
        <v>100</v>
      </c>
      <c r="BA126" s="8" t="s">
        <v>101</v>
      </c>
      <c r="BB126" s="8" t="s">
        <v>102</v>
      </c>
      <c r="BC126" s="8" t="s">
        <v>103</v>
      </c>
      <c r="BD126" s="8" t="s">
        <v>103</v>
      </c>
      <c r="BF126" s="8" t="s">
        <v>107</v>
      </c>
      <c r="BG126" s="8">
        <v>16700</v>
      </c>
      <c r="BH126" s="8" t="s">
        <v>122</v>
      </c>
      <c r="BO126" s="8">
        <v>12</v>
      </c>
      <c r="BR126" s="8" t="s">
        <v>100</v>
      </c>
      <c r="BS126" s="8" t="s">
        <v>182</v>
      </c>
      <c r="BT126" s="8" t="s">
        <v>183</v>
      </c>
      <c r="BU126" s="8" t="s">
        <v>106</v>
      </c>
      <c r="BV126" s="8" t="s">
        <v>123</v>
      </c>
      <c r="BW126" s="8" t="s">
        <v>110</v>
      </c>
    </row>
    <row r="127" spans="1:75" s="8" customFormat="1" x14ac:dyDescent="0.35">
      <c r="A127" s="8" t="s">
        <v>545</v>
      </c>
      <c r="B127" s="9">
        <v>45990</v>
      </c>
      <c r="C127" s="10">
        <v>0.69819444444444445</v>
      </c>
      <c r="D127" s="8" t="s">
        <v>209</v>
      </c>
      <c r="E127" s="8" t="s">
        <v>210</v>
      </c>
      <c r="F127" s="11" t="s">
        <v>172</v>
      </c>
      <c r="G127" s="8">
        <f>COUNTIF($F$2:$F$350,F127)</f>
        <v>213</v>
      </c>
      <c r="H127" s="8" t="s">
        <v>115</v>
      </c>
      <c r="I127" s="8" t="s">
        <v>82</v>
      </c>
      <c r="J127" s="8" t="s">
        <v>83</v>
      </c>
      <c r="K127" s="8" t="s">
        <v>84</v>
      </c>
      <c r="M127" s="8" t="s">
        <v>85</v>
      </c>
      <c r="N127" s="8" t="s">
        <v>86</v>
      </c>
      <c r="O127" s="8" t="s">
        <v>87</v>
      </c>
      <c r="P127" s="8" t="s">
        <v>88</v>
      </c>
      <c r="Q127" s="8" t="s">
        <v>328</v>
      </c>
      <c r="R127" s="8" t="s">
        <v>329</v>
      </c>
      <c r="S127" s="8" t="s">
        <v>328</v>
      </c>
      <c r="T127" s="8" t="s">
        <v>329</v>
      </c>
      <c r="U127" s="8" t="s">
        <v>93</v>
      </c>
      <c r="V127" s="8" t="s">
        <v>22</v>
      </c>
      <c r="X127" s="8" t="s">
        <v>177</v>
      </c>
      <c r="Y127" s="8" t="s">
        <v>95</v>
      </c>
      <c r="Z127" s="8" t="s">
        <v>178</v>
      </c>
      <c r="AA127" s="8" t="b">
        <v>0</v>
      </c>
      <c r="AC127" s="8">
        <v>0</v>
      </c>
      <c r="AD127" s="8">
        <v>109</v>
      </c>
      <c r="AI127" s="8" t="s">
        <v>213</v>
      </c>
      <c r="AJ127" s="8" t="s">
        <v>88</v>
      </c>
      <c r="AK127" s="8" t="s">
        <v>546</v>
      </c>
      <c r="AL127" s="8" t="s">
        <v>88</v>
      </c>
      <c r="AM127" s="8" t="s">
        <v>88</v>
      </c>
      <c r="AN127" s="8" t="s">
        <v>88</v>
      </c>
      <c r="AO127" s="8">
        <v>1002</v>
      </c>
      <c r="AP127" s="8" t="s">
        <v>547</v>
      </c>
      <c r="AQ127" s="8" t="s">
        <v>100</v>
      </c>
      <c r="AR127" s="8" t="s">
        <v>101</v>
      </c>
      <c r="AS127" s="8" t="s">
        <v>120</v>
      </c>
      <c r="AT127" s="8" t="s">
        <v>103</v>
      </c>
      <c r="AU127" s="8" t="s">
        <v>103</v>
      </c>
      <c r="AX127" s="8" t="s">
        <v>104</v>
      </c>
      <c r="AY127" s="8" t="s">
        <v>121</v>
      </c>
      <c r="AZ127" s="8" t="s">
        <v>100</v>
      </c>
      <c r="BA127" s="8" t="s">
        <v>101</v>
      </c>
      <c r="BB127" s="8" t="s">
        <v>102</v>
      </c>
      <c r="BC127" s="8" t="s">
        <v>103</v>
      </c>
      <c r="BD127" s="8" t="s">
        <v>103</v>
      </c>
      <c r="BF127" s="8" t="s">
        <v>107</v>
      </c>
      <c r="BG127" s="8">
        <v>16700</v>
      </c>
      <c r="BH127" s="8" t="s">
        <v>122</v>
      </c>
      <c r="BO127" s="8">
        <v>12</v>
      </c>
      <c r="BR127" s="8" t="s">
        <v>100</v>
      </c>
      <c r="BS127" s="8" t="s">
        <v>182</v>
      </c>
      <c r="BT127" s="8" t="s">
        <v>183</v>
      </c>
      <c r="BU127" s="8" t="s">
        <v>106</v>
      </c>
      <c r="BV127" s="8" t="s">
        <v>123</v>
      </c>
      <c r="BW127" s="8" t="s">
        <v>110</v>
      </c>
    </row>
    <row r="128" spans="1:75" x14ac:dyDescent="0.35">
      <c r="A128" t="s">
        <v>548</v>
      </c>
      <c r="B128" s="1">
        <v>45990</v>
      </c>
      <c r="C128" s="2">
        <v>0.69678240740740749</v>
      </c>
      <c r="D128" t="s">
        <v>549</v>
      </c>
      <c r="E128" t="s">
        <v>550</v>
      </c>
      <c r="F128" t="s">
        <v>358</v>
      </c>
      <c r="G128">
        <f>COUNTIF($F$2:$F$350,F128)</f>
        <v>16</v>
      </c>
      <c r="H128" t="s">
        <v>359</v>
      </c>
      <c r="I128" t="s">
        <v>360</v>
      </c>
      <c r="J128" t="s">
        <v>83</v>
      </c>
      <c r="K128" t="s">
        <v>84</v>
      </c>
      <c r="M128" t="s">
        <v>85</v>
      </c>
      <c r="N128" t="s">
        <v>116</v>
      </c>
      <c r="O128" t="s">
        <v>87</v>
      </c>
      <c r="P128" t="s">
        <v>88</v>
      </c>
      <c r="Q128" t="s">
        <v>155</v>
      </c>
      <c r="R128" t="s">
        <v>156</v>
      </c>
      <c r="S128" t="s">
        <v>155</v>
      </c>
      <c r="T128" t="s">
        <v>156</v>
      </c>
      <c r="U128" t="s">
        <v>93</v>
      </c>
      <c r="V128" t="s">
        <v>22</v>
      </c>
      <c r="X128" t="s">
        <v>363</v>
      </c>
      <c r="Y128" t="s">
        <v>95</v>
      </c>
      <c r="Z128" t="s">
        <v>364</v>
      </c>
      <c r="AA128" t="b">
        <v>0</v>
      </c>
      <c r="AC128">
        <v>0</v>
      </c>
      <c r="AD128">
        <v>80</v>
      </c>
      <c r="AH128" t="s">
        <v>550</v>
      </c>
      <c r="AI128" t="s">
        <v>551</v>
      </c>
      <c r="AJ128" t="s">
        <v>88</v>
      </c>
      <c r="AK128" t="s">
        <v>552</v>
      </c>
      <c r="AL128" t="s">
        <v>88</v>
      </c>
      <c r="AM128" t="s">
        <v>88</v>
      </c>
      <c r="AN128" t="s">
        <v>88</v>
      </c>
      <c r="AO128">
        <v>1002</v>
      </c>
      <c r="AP128" t="s">
        <v>553</v>
      </c>
      <c r="AQ128" t="s">
        <v>368</v>
      </c>
      <c r="AR128" t="s">
        <v>369</v>
      </c>
      <c r="AS128" t="s">
        <v>370</v>
      </c>
      <c r="AT128" t="s">
        <v>371</v>
      </c>
      <c r="AU128" t="s">
        <v>371</v>
      </c>
      <c r="AX128" t="s">
        <v>372</v>
      </c>
      <c r="AY128" t="s">
        <v>373</v>
      </c>
      <c r="AZ128" t="s">
        <v>368</v>
      </c>
      <c r="BA128" t="s">
        <v>374</v>
      </c>
      <c r="BB128" t="s">
        <v>375</v>
      </c>
      <c r="BC128" t="s">
        <v>376</v>
      </c>
      <c r="BD128" t="s">
        <v>376</v>
      </c>
      <c r="BE128" t="s">
        <v>377</v>
      </c>
      <c r="BF128" t="s">
        <v>378</v>
      </c>
      <c r="BG128">
        <v>14061</v>
      </c>
      <c r="BH128" t="s">
        <v>379</v>
      </c>
      <c r="BO128">
        <v>55</v>
      </c>
      <c r="BR128" t="s">
        <v>368</v>
      </c>
      <c r="BS128" t="s">
        <v>369</v>
      </c>
      <c r="BT128" t="s">
        <v>370</v>
      </c>
      <c r="BU128" t="s">
        <v>376</v>
      </c>
      <c r="BV128" t="s">
        <v>376</v>
      </c>
      <c r="BW128" t="s">
        <v>380</v>
      </c>
    </row>
    <row r="129" spans="1:75" x14ac:dyDescent="0.35">
      <c r="A129" t="s">
        <v>548</v>
      </c>
      <c r="B129" s="1">
        <v>45990</v>
      </c>
      <c r="C129" s="2">
        <v>0.69678240740740749</v>
      </c>
      <c r="D129" t="s">
        <v>549</v>
      </c>
      <c r="E129" t="s">
        <v>550</v>
      </c>
      <c r="F129" t="s">
        <v>358</v>
      </c>
      <c r="G129">
        <f>COUNTIF($F$2:$F$350,F129)</f>
        <v>16</v>
      </c>
      <c r="H129" t="s">
        <v>359</v>
      </c>
      <c r="I129" t="s">
        <v>360</v>
      </c>
      <c r="J129" t="s">
        <v>83</v>
      </c>
      <c r="K129" t="s">
        <v>165</v>
      </c>
      <c r="L129">
        <v>50140</v>
      </c>
      <c r="M129" t="s">
        <v>85</v>
      </c>
      <c r="N129" t="s">
        <v>116</v>
      </c>
      <c r="O129" t="s">
        <v>87</v>
      </c>
      <c r="P129" t="s">
        <v>88</v>
      </c>
      <c r="Q129" t="s">
        <v>155</v>
      </c>
      <c r="R129" t="s">
        <v>156</v>
      </c>
      <c r="S129" t="s">
        <v>155</v>
      </c>
      <c r="T129" t="s">
        <v>156</v>
      </c>
      <c r="U129" t="s">
        <v>166</v>
      </c>
      <c r="V129" t="s">
        <v>22</v>
      </c>
      <c r="X129" t="s">
        <v>363</v>
      </c>
      <c r="Y129" t="s">
        <v>95</v>
      </c>
      <c r="Z129" t="s">
        <v>364</v>
      </c>
      <c r="AA129" t="b">
        <v>0</v>
      </c>
      <c r="AC129">
        <v>0</v>
      </c>
      <c r="AD129">
        <v>117</v>
      </c>
      <c r="AE129" t="s">
        <v>167</v>
      </c>
      <c r="AH129" t="s">
        <v>550</v>
      </c>
      <c r="AI129" t="s">
        <v>551</v>
      </c>
      <c r="AJ129" t="s">
        <v>88</v>
      </c>
      <c r="AK129" t="s">
        <v>554</v>
      </c>
      <c r="AL129" t="s">
        <v>88</v>
      </c>
      <c r="AM129" t="s">
        <v>88</v>
      </c>
      <c r="AN129" t="s">
        <v>88</v>
      </c>
      <c r="AO129">
        <v>1002</v>
      </c>
      <c r="AP129" t="s">
        <v>553</v>
      </c>
      <c r="AQ129" t="s">
        <v>368</v>
      </c>
      <c r="AR129" t="s">
        <v>369</v>
      </c>
      <c r="AS129" t="s">
        <v>370</v>
      </c>
      <c r="AT129" t="s">
        <v>371</v>
      </c>
      <c r="AU129" t="s">
        <v>371</v>
      </c>
      <c r="AX129" t="s">
        <v>372</v>
      </c>
      <c r="AY129" t="s">
        <v>373</v>
      </c>
      <c r="AZ129" t="s">
        <v>368</v>
      </c>
      <c r="BA129" t="s">
        <v>374</v>
      </c>
      <c r="BB129" t="s">
        <v>375</v>
      </c>
      <c r="BC129" t="s">
        <v>376</v>
      </c>
      <c r="BD129" t="s">
        <v>376</v>
      </c>
      <c r="BE129" t="s">
        <v>377</v>
      </c>
      <c r="BF129" t="s">
        <v>378</v>
      </c>
      <c r="BG129">
        <v>14061</v>
      </c>
      <c r="BH129" t="s">
        <v>379</v>
      </c>
      <c r="BO129">
        <v>55</v>
      </c>
      <c r="BR129" t="s">
        <v>368</v>
      </c>
      <c r="BS129" t="s">
        <v>369</v>
      </c>
      <c r="BT129" t="s">
        <v>370</v>
      </c>
      <c r="BU129" t="s">
        <v>376</v>
      </c>
      <c r="BV129" t="s">
        <v>376</v>
      </c>
      <c r="BW129" t="s">
        <v>380</v>
      </c>
    </row>
    <row r="130" spans="1:75" x14ac:dyDescent="0.35">
      <c r="A130" t="s">
        <v>555</v>
      </c>
      <c r="B130" s="1">
        <v>45990</v>
      </c>
      <c r="C130" s="2">
        <v>0.69587962962962957</v>
      </c>
      <c r="D130" t="s">
        <v>549</v>
      </c>
      <c r="E130" t="s">
        <v>550</v>
      </c>
      <c r="F130" t="s">
        <v>358</v>
      </c>
      <c r="G130">
        <f>COUNTIF($F$2:$F$350,F130)</f>
        <v>16</v>
      </c>
      <c r="H130" t="s">
        <v>359</v>
      </c>
      <c r="I130" t="s">
        <v>360</v>
      </c>
      <c r="J130" t="s">
        <v>83</v>
      </c>
      <c r="K130" t="s">
        <v>361</v>
      </c>
      <c r="L130">
        <v>399218</v>
      </c>
      <c r="M130" t="s">
        <v>85</v>
      </c>
      <c r="N130" t="s">
        <v>86</v>
      </c>
      <c r="O130" t="s">
        <v>87</v>
      </c>
      <c r="P130" t="s">
        <v>88</v>
      </c>
      <c r="Q130" t="s">
        <v>155</v>
      </c>
      <c r="R130" t="s">
        <v>156</v>
      </c>
      <c r="S130" t="s">
        <v>155</v>
      </c>
      <c r="T130" t="s">
        <v>156</v>
      </c>
      <c r="U130" t="s">
        <v>416</v>
      </c>
      <c r="V130" t="s">
        <v>22</v>
      </c>
      <c r="X130" t="s">
        <v>363</v>
      </c>
      <c r="Y130" t="s">
        <v>95</v>
      </c>
      <c r="Z130" t="s">
        <v>364</v>
      </c>
      <c r="AA130" t="b">
        <v>0</v>
      </c>
      <c r="AC130">
        <v>0</v>
      </c>
      <c r="AD130">
        <v>168</v>
      </c>
      <c r="AH130" t="s">
        <v>550</v>
      </c>
      <c r="AJ130" t="s">
        <v>88</v>
      </c>
      <c r="AK130" t="s">
        <v>556</v>
      </c>
      <c r="AL130" t="s">
        <v>88</v>
      </c>
      <c r="AM130" t="s">
        <v>88</v>
      </c>
      <c r="AN130" t="s">
        <v>88</v>
      </c>
      <c r="AP130" t="s">
        <v>553</v>
      </c>
      <c r="AQ130" t="s">
        <v>368</v>
      </c>
      <c r="AR130" t="s">
        <v>369</v>
      </c>
      <c r="AS130" t="s">
        <v>370</v>
      </c>
      <c r="AT130" t="s">
        <v>371</v>
      </c>
      <c r="AU130" t="s">
        <v>371</v>
      </c>
      <c r="AX130" t="s">
        <v>372</v>
      </c>
      <c r="AY130" t="s">
        <v>373</v>
      </c>
      <c r="AZ130" t="s">
        <v>368</v>
      </c>
      <c r="BA130" t="s">
        <v>374</v>
      </c>
      <c r="BB130" t="s">
        <v>375</v>
      </c>
      <c r="BC130" t="s">
        <v>376</v>
      </c>
      <c r="BD130" t="s">
        <v>376</v>
      </c>
      <c r="BE130" t="s">
        <v>377</v>
      </c>
      <c r="BF130" t="s">
        <v>378</v>
      </c>
      <c r="BG130">
        <v>14061</v>
      </c>
      <c r="BH130" t="s">
        <v>379</v>
      </c>
      <c r="BO130">
        <v>55</v>
      </c>
      <c r="BR130" t="s">
        <v>368</v>
      </c>
      <c r="BS130" t="s">
        <v>369</v>
      </c>
      <c r="BT130" t="s">
        <v>370</v>
      </c>
      <c r="BU130" t="s">
        <v>376</v>
      </c>
      <c r="BV130" t="s">
        <v>376</v>
      </c>
      <c r="BW130" t="s">
        <v>380</v>
      </c>
    </row>
    <row r="131" spans="1:75" x14ac:dyDescent="0.35">
      <c r="A131" t="s">
        <v>557</v>
      </c>
      <c r="B131" s="1">
        <v>45990</v>
      </c>
      <c r="C131" s="2">
        <v>0.69533564814814808</v>
      </c>
      <c r="D131" t="s">
        <v>112</v>
      </c>
      <c r="E131" t="s">
        <v>113</v>
      </c>
      <c r="F131" t="s">
        <v>114</v>
      </c>
      <c r="G131">
        <f>COUNTIF($F$2:$F$350,F131)</f>
        <v>42</v>
      </c>
      <c r="H131" t="s">
        <v>115</v>
      </c>
      <c r="I131" t="s">
        <v>82</v>
      </c>
      <c r="J131" t="s">
        <v>83</v>
      </c>
      <c r="K131" t="s">
        <v>84</v>
      </c>
      <c r="M131" t="s">
        <v>85</v>
      </c>
      <c r="N131" t="s">
        <v>116</v>
      </c>
      <c r="O131" t="s">
        <v>87</v>
      </c>
      <c r="P131" t="s">
        <v>88</v>
      </c>
      <c r="Q131" t="s">
        <v>89</v>
      </c>
      <c r="R131" t="s">
        <v>90</v>
      </c>
      <c r="S131" t="s">
        <v>91</v>
      </c>
      <c r="T131" t="s">
        <v>92</v>
      </c>
      <c r="U131" t="s">
        <v>93</v>
      </c>
      <c r="V131" t="s">
        <v>22</v>
      </c>
      <c r="X131" t="s">
        <v>94</v>
      </c>
      <c r="Y131" t="s">
        <v>95</v>
      </c>
      <c r="Z131" t="s">
        <v>96</v>
      </c>
      <c r="AA131" t="b">
        <v>0</v>
      </c>
      <c r="AC131">
        <v>0</v>
      </c>
      <c r="AD131">
        <v>51</v>
      </c>
      <c r="AI131" t="s">
        <v>117</v>
      </c>
      <c r="AJ131" t="s">
        <v>88</v>
      </c>
      <c r="AK131" t="s">
        <v>558</v>
      </c>
      <c r="AL131" t="s">
        <v>88</v>
      </c>
      <c r="AM131" t="s">
        <v>88</v>
      </c>
      <c r="AN131" t="s">
        <v>88</v>
      </c>
      <c r="AO131">
        <v>1002</v>
      </c>
      <c r="AP131" t="s">
        <v>559</v>
      </c>
      <c r="AQ131" t="s">
        <v>100</v>
      </c>
      <c r="AR131" t="s">
        <v>101</v>
      </c>
      <c r="AS131" t="s">
        <v>120</v>
      </c>
      <c r="AT131" t="s">
        <v>103</v>
      </c>
      <c r="AU131" t="s">
        <v>103</v>
      </c>
      <c r="AX131" t="s">
        <v>104</v>
      </c>
      <c r="AY131" t="s">
        <v>121</v>
      </c>
      <c r="AZ131" t="s">
        <v>100</v>
      </c>
      <c r="BA131" t="s">
        <v>101</v>
      </c>
      <c r="BB131" t="s">
        <v>102</v>
      </c>
      <c r="BC131" t="s">
        <v>103</v>
      </c>
      <c r="BD131" t="s">
        <v>103</v>
      </c>
      <c r="BF131" t="s">
        <v>107</v>
      </c>
      <c r="BG131">
        <v>16700</v>
      </c>
      <c r="BH131" t="s">
        <v>122</v>
      </c>
      <c r="BO131">
        <v>12</v>
      </c>
      <c r="BR131" t="s">
        <v>100</v>
      </c>
      <c r="BS131" t="s">
        <v>109</v>
      </c>
      <c r="BT131" t="s">
        <v>102</v>
      </c>
      <c r="BU131" t="s">
        <v>106</v>
      </c>
      <c r="BV131" t="s">
        <v>123</v>
      </c>
      <c r="BW131" t="s">
        <v>110</v>
      </c>
    </row>
    <row r="132" spans="1:75" s="8" customFormat="1" x14ac:dyDescent="0.35">
      <c r="A132" s="8" t="s">
        <v>560</v>
      </c>
      <c r="B132" s="9">
        <v>45990</v>
      </c>
      <c r="C132" s="10">
        <v>0.6950925925925926</v>
      </c>
      <c r="D132" s="8" t="s">
        <v>170</v>
      </c>
      <c r="E132" s="8" t="s">
        <v>171</v>
      </c>
      <c r="F132" s="11" t="s">
        <v>172</v>
      </c>
      <c r="G132" s="8">
        <f>COUNTIF($F$2:$F$350,F132)</f>
        <v>213</v>
      </c>
      <c r="H132" s="8" t="s">
        <v>115</v>
      </c>
      <c r="I132" s="8" t="s">
        <v>82</v>
      </c>
      <c r="J132" s="8" t="s">
        <v>83</v>
      </c>
      <c r="K132" s="8" t="s">
        <v>84</v>
      </c>
      <c r="M132" s="8" t="s">
        <v>85</v>
      </c>
      <c r="N132" s="8" t="s">
        <v>116</v>
      </c>
      <c r="O132" s="8" t="s">
        <v>87</v>
      </c>
      <c r="P132" s="8" t="s">
        <v>173</v>
      </c>
      <c r="Q132" s="8" t="s">
        <v>185</v>
      </c>
      <c r="R132" s="8" t="s">
        <v>186</v>
      </c>
      <c r="S132" s="8" t="s">
        <v>132</v>
      </c>
      <c r="T132" s="8" t="s">
        <v>133</v>
      </c>
      <c r="U132" s="8" t="s">
        <v>93</v>
      </c>
      <c r="V132" s="8" t="s">
        <v>22</v>
      </c>
      <c r="W132" s="8" t="s">
        <v>176</v>
      </c>
      <c r="X132" s="8" t="s">
        <v>177</v>
      </c>
      <c r="Y132" s="8" t="s">
        <v>95</v>
      </c>
      <c r="Z132" s="8" t="s">
        <v>189</v>
      </c>
      <c r="AA132" s="8" t="b">
        <v>0</v>
      </c>
      <c r="AC132" s="8">
        <v>0</v>
      </c>
      <c r="AD132" s="8">
        <v>82</v>
      </c>
      <c r="AI132" s="8" t="s">
        <v>179</v>
      </c>
      <c r="AJ132" s="8" t="s">
        <v>88</v>
      </c>
      <c r="AK132" s="8" t="s">
        <v>561</v>
      </c>
      <c r="AL132" s="8" t="s">
        <v>88</v>
      </c>
      <c r="AM132" s="8" t="s">
        <v>88</v>
      </c>
      <c r="AN132" s="8" t="s">
        <v>88</v>
      </c>
      <c r="AP132" s="8" t="s">
        <v>562</v>
      </c>
      <c r="AQ132" s="8" t="s">
        <v>100</v>
      </c>
      <c r="AR132" s="8" t="s">
        <v>101</v>
      </c>
      <c r="AS132" s="8" t="s">
        <v>120</v>
      </c>
      <c r="AT132" s="8" t="s">
        <v>103</v>
      </c>
      <c r="AU132" s="8" t="s">
        <v>103</v>
      </c>
      <c r="AX132" s="8" t="s">
        <v>104</v>
      </c>
      <c r="AY132" s="8" t="s">
        <v>121</v>
      </c>
      <c r="AZ132" s="8" t="s">
        <v>100</v>
      </c>
      <c r="BA132" s="8" t="s">
        <v>101</v>
      </c>
      <c r="BB132" s="8" t="s">
        <v>102</v>
      </c>
      <c r="BC132" s="8" t="s">
        <v>103</v>
      </c>
      <c r="BD132" s="8" t="s">
        <v>103</v>
      </c>
      <c r="BF132" s="8" t="s">
        <v>107</v>
      </c>
      <c r="BG132" s="8">
        <v>16700</v>
      </c>
      <c r="BH132" s="8" t="s">
        <v>122</v>
      </c>
      <c r="BO132" s="8">
        <v>12</v>
      </c>
      <c r="BR132" s="8" t="s">
        <v>100</v>
      </c>
      <c r="BS132" s="8" t="s">
        <v>182</v>
      </c>
      <c r="BT132" s="8" t="s">
        <v>183</v>
      </c>
      <c r="BU132" s="8" t="s">
        <v>106</v>
      </c>
      <c r="BV132" s="8" t="s">
        <v>123</v>
      </c>
      <c r="BW132" s="8" t="s">
        <v>110</v>
      </c>
    </row>
    <row r="133" spans="1:75" s="8" customFormat="1" x14ac:dyDescent="0.35">
      <c r="A133" s="8" t="s">
        <v>563</v>
      </c>
      <c r="B133" s="9">
        <v>45990</v>
      </c>
      <c r="C133" s="10">
        <v>0.69508101851851845</v>
      </c>
      <c r="D133" s="8" t="s">
        <v>170</v>
      </c>
      <c r="E133" s="8" t="s">
        <v>171</v>
      </c>
      <c r="F133" s="11" t="s">
        <v>172</v>
      </c>
      <c r="G133" s="8">
        <f>COUNTIF($F$2:$F$350,F133)</f>
        <v>213</v>
      </c>
      <c r="H133" s="8" t="s">
        <v>115</v>
      </c>
      <c r="I133" s="8" t="s">
        <v>82</v>
      </c>
      <c r="J133" s="8" t="s">
        <v>83</v>
      </c>
      <c r="K133" s="8" t="s">
        <v>84</v>
      </c>
      <c r="M133" s="8" t="s">
        <v>85</v>
      </c>
      <c r="N133" s="8" t="s">
        <v>116</v>
      </c>
      <c r="O133" s="8" t="s">
        <v>87</v>
      </c>
      <c r="P133" s="8" t="s">
        <v>173</v>
      </c>
      <c r="Q133" s="8" t="s">
        <v>185</v>
      </c>
      <c r="R133" s="8" t="s">
        <v>186</v>
      </c>
      <c r="S133" s="8" t="s">
        <v>132</v>
      </c>
      <c r="T133" s="8" t="s">
        <v>133</v>
      </c>
      <c r="U133" s="8" t="s">
        <v>93</v>
      </c>
      <c r="V133" s="8" t="s">
        <v>22</v>
      </c>
      <c r="W133" s="8" t="s">
        <v>176</v>
      </c>
      <c r="X133" s="8" t="s">
        <v>177</v>
      </c>
      <c r="Y133" s="8" t="s">
        <v>95</v>
      </c>
      <c r="Z133" s="8" t="s">
        <v>189</v>
      </c>
      <c r="AA133" s="8" t="b">
        <v>0</v>
      </c>
      <c r="AC133" s="8">
        <v>0</v>
      </c>
      <c r="AD133" s="8">
        <v>163</v>
      </c>
      <c r="AI133" s="8" t="s">
        <v>179</v>
      </c>
      <c r="AJ133" s="8" t="s">
        <v>88</v>
      </c>
      <c r="AK133" s="8" t="s">
        <v>564</v>
      </c>
      <c r="AL133" s="8" t="s">
        <v>88</v>
      </c>
      <c r="AM133" s="8" t="s">
        <v>88</v>
      </c>
      <c r="AN133" s="8" t="s">
        <v>88</v>
      </c>
      <c r="AP133" s="8" t="s">
        <v>565</v>
      </c>
      <c r="AQ133" s="8" t="s">
        <v>100</v>
      </c>
      <c r="AR133" s="8" t="s">
        <v>101</v>
      </c>
      <c r="AS133" s="8" t="s">
        <v>120</v>
      </c>
      <c r="AT133" s="8" t="s">
        <v>103</v>
      </c>
      <c r="AU133" s="8" t="s">
        <v>103</v>
      </c>
      <c r="AX133" s="8" t="s">
        <v>104</v>
      </c>
      <c r="AY133" s="8" t="s">
        <v>121</v>
      </c>
      <c r="AZ133" s="8" t="s">
        <v>100</v>
      </c>
      <c r="BA133" s="8" t="s">
        <v>101</v>
      </c>
      <c r="BB133" s="8" t="s">
        <v>102</v>
      </c>
      <c r="BC133" s="8" t="s">
        <v>103</v>
      </c>
      <c r="BD133" s="8" t="s">
        <v>103</v>
      </c>
      <c r="BF133" s="8" t="s">
        <v>107</v>
      </c>
      <c r="BG133" s="8">
        <v>16700</v>
      </c>
      <c r="BH133" s="8" t="s">
        <v>122</v>
      </c>
      <c r="BO133" s="8">
        <v>12</v>
      </c>
      <c r="BR133" s="8" t="s">
        <v>100</v>
      </c>
      <c r="BS133" s="8" t="s">
        <v>182</v>
      </c>
      <c r="BT133" s="8" t="s">
        <v>183</v>
      </c>
      <c r="BU133" s="8" t="s">
        <v>106</v>
      </c>
      <c r="BV133" s="8" t="s">
        <v>123</v>
      </c>
      <c r="BW133" s="8" t="s">
        <v>110</v>
      </c>
    </row>
    <row r="134" spans="1:75" s="8" customFormat="1" x14ac:dyDescent="0.35">
      <c r="A134" s="8" t="s">
        <v>563</v>
      </c>
      <c r="B134" s="9">
        <v>45990</v>
      </c>
      <c r="C134" s="10">
        <v>0.69508101851851845</v>
      </c>
      <c r="D134" s="8" t="s">
        <v>170</v>
      </c>
      <c r="E134" s="8" t="s">
        <v>171</v>
      </c>
      <c r="F134" s="11" t="s">
        <v>172</v>
      </c>
      <c r="G134" s="8">
        <f>COUNTIF($F$2:$F$350,F134)</f>
        <v>213</v>
      </c>
      <c r="H134" s="8" t="s">
        <v>115</v>
      </c>
      <c r="I134" s="8" t="s">
        <v>82</v>
      </c>
      <c r="J134" s="8" t="s">
        <v>83</v>
      </c>
      <c r="K134" s="8" t="s">
        <v>84</v>
      </c>
      <c r="M134" s="8" t="s">
        <v>85</v>
      </c>
      <c r="N134" s="8" t="s">
        <v>116</v>
      </c>
      <c r="O134" s="8" t="s">
        <v>87</v>
      </c>
      <c r="P134" s="8" t="s">
        <v>173</v>
      </c>
      <c r="Q134" s="8" t="s">
        <v>185</v>
      </c>
      <c r="R134" s="8" t="s">
        <v>186</v>
      </c>
      <c r="S134" s="8" t="s">
        <v>187</v>
      </c>
      <c r="T134" s="8" t="s">
        <v>188</v>
      </c>
      <c r="U134" s="8" t="s">
        <v>93</v>
      </c>
      <c r="V134" s="8" t="s">
        <v>22</v>
      </c>
      <c r="W134" s="8" t="s">
        <v>176</v>
      </c>
      <c r="X134" s="8" t="s">
        <v>177</v>
      </c>
      <c r="Y134" s="8" t="s">
        <v>95</v>
      </c>
      <c r="Z134" s="8" t="s">
        <v>189</v>
      </c>
      <c r="AA134" s="8" t="b">
        <v>0</v>
      </c>
      <c r="AC134" s="8">
        <v>0</v>
      </c>
      <c r="AD134" s="8">
        <v>66</v>
      </c>
      <c r="AI134" s="8" t="s">
        <v>179</v>
      </c>
      <c r="AJ134" s="8" t="s">
        <v>88</v>
      </c>
      <c r="AK134" s="8" t="s">
        <v>566</v>
      </c>
      <c r="AL134" s="8" t="s">
        <v>88</v>
      </c>
      <c r="AM134" s="8" t="s">
        <v>88</v>
      </c>
      <c r="AN134" s="8" t="s">
        <v>88</v>
      </c>
      <c r="AP134" s="8" t="s">
        <v>567</v>
      </c>
      <c r="AQ134" s="8" t="s">
        <v>100</v>
      </c>
      <c r="AR134" s="8" t="s">
        <v>101</v>
      </c>
      <c r="AS134" s="8" t="s">
        <v>120</v>
      </c>
      <c r="AT134" s="8" t="s">
        <v>103</v>
      </c>
      <c r="AU134" s="8" t="s">
        <v>103</v>
      </c>
      <c r="AX134" s="8" t="s">
        <v>104</v>
      </c>
      <c r="AY134" s="8" t="s">
        <v>121</v>
      </c>
      <c r="AZ134" s="8" t="s">
        <v>100</v>
      </c>
      <c r="BA134" s="8" t="s">
        <v>101</v>
      </c>
      <c r="BB134" s="8" t="s">
        <v>102</v>
      </c>
      <c r="BC134" s="8" t="s">
        <v>103</v>
      </c>
      <c r="BD134" s="8" t="s">
        <v>103</v>
      </c>
      <c r="BF134" s="8" t="s">
        <v>107</v>
      </c>
      <c r="BG134" s="8">
        <v>16700</v>
      </c>
      <c r="BH134" s="8" t="s">
        <v>122</v>
      </c>
      <c r="BO134" s="8">
        <v>12</v>
      </c>
      <c r="BR134" s="8" t="s">
        <v>100</v>
      </c>
      <c r="BS134" s="8" t="s">
        <v>182</v>
      </c>
      <c r="BT134" s="8" t="s">
        <v>183</v>
      </c>
      <c r="BU134" s="8" t="s">
        <v>106</v>
      </c>
      <c r="BV134" s="8" t="s">
        <v>123</v>
      </c>
      <c r="BW134" s="8" t="s">
        <v>110</v>
      </c>
    </row>
    <row r="135" spans="1:75" s="8" customFormat="1" x14ac:dyDescent="0.35">
      <c r="A135" s="8" t="s">
        <v>568</v>
      </c>
      <c r="B135" s="9">
        <v>45990</v>
      </c>
      <c r="C135" s="10">
        <v>0.69493055555555561</v>
      </c>
      <c r="D135" s="8" t="s">
        <v>170</v>
      </c>
      <c r="E135" s="8" t="s">
        <v>171</v>
      </c>
      <c r="F135" s="11" t="s">
        <v>172</v>
      </c>
      <c r="G135" s="8">
        <f>COUNTIF($F$2:$F$350,F135)</f>
        <v>213</v>
      </c>
      <c r="H135" s="8" t="s">
        <v>115</v>
      </c>
      <c r="I135" s="8" t="s">
        <v>82</v>
      </c>
      <c r="J135" s="8" t="s">
        <v>83</v>
      </c>
      <c r="K135" s="8" t="s">
        <v>84</v>
      </c>
      <c r="M135" s="8" t="s">
        <v>85</v>
      </c>
      <c r="N135" s="8" t="s">
        <v>116</v>
      </c>
      <c r="O135" s="8" t="s">
        <v>87</v>
      </c>
      <c r="P135" s="8" t="s">
        <v>173</v>
      </c>
      <c r="Q135" s="8" t="s">
        <v>185</v>
      </c>
      <c r="R135" s="8" t="s">
        <v>186</v>
      </c>
      <c r="S135" s="8" t="s">
        <v>132</v>
      </c>
      <c r="T135" s="8" t="s">
        <v>133</v>
      </c>
      <c r="U135" s="8" t="s">
        <v>93</v>
      </c>
      <c r="V135" s="8" t="s">
        <v>22</v>
      </c>
      <c r="W135" s="8" t="s">
        <v>176</v>
      </c>
      <c r="X135" s="8" t="s">
        <v>177</v>
      </c>
      <c r="Y135" s="8" t="s">
        <v>95</v>
      </c>
      <c r="Z135" s="8" t="s">
        <v>189</v>
      </c>
      <c r="AA135" s="8" t="b">
        <v>0</v>
      </c>
      <c r="AC135" s="8">
        <v>0</v>
      </c>
      <c r="AD135" s="8">
        <v>128</v>
      </c>
      <c r="AI135" s="8" t="s">
        <v>179</v>
      </c>
      <c r="AJ135" s="8" t="s">
        <v>88</v>
      </c>
      <c r="AK135" s="8" t="s">
        <v>569</v>
      </c>
      <c r="AL135" s="8" t="s">
        <v>88</v>
      </c>
      <c r="AM135" s="8" t="s">
        <v>88</v>
      </c>
      <c r="AN135" s="8" t="s">
        <v>88</v>
      </c>
      <c r="AP135" s="8" t="s">
        <v>570</v>
      </c>
      <c r="AQ135" s="8" t="s">
        <v>100</v>
      </c>
      <c r="AR135" s="8" t="s">
        <v>101</v>
      </c>
      <c r="AS135" s="8" t="s">
        <v>120</v>
      </c>
      <c r="AT135" s="8" t="s">
        <v>103</v>
      </c>
      <c r="AU135" s="8" t="s">
        <v>103</v>
      </c>
      <c r="AX135" s="8" t="s">
        <v>104</v>
      </c>
      <c r="AY135" s="8" t="s">
        <v>121</v>
      </c>
      <c r="AZ135" s="8" t="s">
        <v>100</v>
      </c>
      <c r="BA135" s="8" t="s">
        <v>101</v>
      </c>
      <c r="BB135" s="8" t="s">
        <v>102</v>
      </c>
      <c r="BC135" s="8" t="s">
        <v>103</v>
      </c>
      <c r="BD135" s="8" t="s">
        <v>103</v>
      </c>
      <c r="BF135" s="8" t="s">
        <v>107</v>
      </c>
      <c r="BG135" s="8">
        <v>16700</v>
      </c>
      <c r="BH135" s="8" t="s">
        <v>122</v>
      </c>
      <c r="BO135" s="8">
        <v>12</v>
      </c>
      <c r="BR135" s="8" t="s">
        <v>100</v>
      </c>
      <c r="BS135" s="8" t="s">
        <v>182</v>
      </c>
      <c r="BT135" s="8" t="s">
        <v>183</v>
      </c>
      <c r="BU135" s="8" t="s">
        <v>106</v>
      </c>
      <c r="BV135" s="8" t="s">
        <v>123</v>
      </c>
      <c r="BW135" s="8" t="s">
        <v>110</v>
      </c>
    </row>
    <row r="136" spans="1:75" s="8" customFormat="1" x14ac:dyDescent="0.35">
      <c r="A136" s="8" t="s">
        <v>568</v>
      </c>
      <c r="B136" s="9">
        <v>45990</v>
      </c>
      <c r="C136" s="10">
        <v>0.69493055555555561</v>
      </c>
      <c r="D136" s="8" t="s">
        <v>170</v>
      </c>
      <c r="E136" s="8" t="s">
        <v>171</v>
      </c>
      <c r="F136" s="11" t="s">
        <v>172</v>
      </c>
      <c r="G136" s="8">
        <f>COUNTIF($F$2:$F$350,F136)</f>
        <v>213</v>
      </c>
      <c r="H136" s="8" t="s">
        <v>115</v>
      </c>
      <c r="I136" s="8" t="s">
        <v>82</v>
      </c>
      <c r="J136" s="8" t="s">
        <v>83</v>
      </c>
      <c r="K136" s="8" t="s">
        <v>84</v>
      </c>
      <c r="M136" s="8" t="s">
        <v>85</v>
      </c>
      <c r="N136" s="8" t="s">
        <v>116</v>
      </c>
      <c r="O136" s="8" t="s">
        <v>87</v>
      </c>
      <c r="P136" s="8" t="s">
        <v>173</v>
      </c>
      <c r="Q136" s="8" t="s">
        <v>185</v>
      </c>
      <c r="R136" s="8" t="s">
        <v>186</v>
      </c>
      <c r="S136" s="8" t="s">
        <v>132</v>
      </c>
      <c r="T136" s="8" t="s">
        <v>133</v>
      </c>
      <c r="U136" s="8" t="s">
        <v>93</v>
      </c>
      <c r="V136" s="8" t="s">
        <v>22</v>
      </c>
      <c r="W136" s="8" t="s">
        <v>176</v>
      </c>
      <c r="X136" s="8" t="s">
        <v>177</v>
      </c>
      <c r="Y136" s="8" t="s">
        <v>95</v>
      </c>
      <c r="Z136" s="8" t="s">
        <v>189</v>
      </c>
      <c r="AA136" s="8" t="b">
        <v>0</v>
      </c>
      <c r="AC136" s="8">
        <v>0</v>
      </c>
      <c r="AD136" s="8">
        <v>111</v>
      </c>
      <c r="AI136" s="8" t="s">
        <v>179</v>
      </c>
      <c r="AJ136" s="8" t="s">
        <v>88</v>
      </c>
      <c r="AK136" s="8" t="s">
        <v>571</v>
      </c>
      <c r="AL136" s="8" t="s">
        <v>88</v>
      </c>
      <c r="AM136" s="8" t="s">
        <v>88</v>
      </c>
      <c r="AN136" s="8" t="s">
        <v>88</v>
      </c>
      <c r="AP136" s="8" t="s">
        <v>572</v>
      </c>
      <c r="AQ136" s="8" t="s">
        <v>100</v>
      </c>
      <c r="AR136" s="8" t="s">
        <v>101</v>
      </c>
      <c r="AS136" s="8" t="s">
        <v>120</v>
      </c>
      <c r="AT136" s="8" t="s">
        <v>103</v>
      </c>
      <c r="AU136" s="8" t="s">
        <v>103</v>
      </c>
      <c r="AX136" s="8" t="s">
        <v>104</v>
      </c>
      <c r="AY136" s="8" t="s">
        <v>121</v>
      </c>
      <c r="AZ136" s="8" t="s">
        <v>100</v>
      </c>
      <c r="BA136" s="8" t="s">
        <v>101</v>
      </c>
      <c r="BB136" s="8" t="s">
        <v>102</v>
      </c>
      <c r="BC136" s="8" t="s">
        <v>103</v>
      </c>
      <c r="BD136" s="8" t="s">
        <v>103</v>
      </c>
      <c r="BF136" s="8" t="s">
        <v>107</v>
      </c>
      <c r="BG136" s="8">
        <v>16700</v>
      </c>
      <c r="BH136" s="8" t="s">
        <v>122</v>
      </c>
      <c r="BO136" s="8">
        <v>12</v>
      </c>
      <c r="BR136" s="8" t="s">
        <v>100</v>
      </c>
      <c r="BS136" s="8" t="s">
        <v>182</v>
      </c>
      <c r="BT136" s="8" t="s">
        <v>183</v>
      </c>
      <c r="BU136" s="8" t="s">
        <v>106</v>
      </c>
      <c r="BV136" s="8" t="s">
        <v>123</v>
      </c>
      <c r="BW136" s="8" t="s">
        <v>110</v>
      </c>
    </row>
    <row r="137" spans="1:75" s="8" customFormat="1" x14ac:dyDescent="0.35">
      <c r="A137" s="8" t="s">
        <v>568</v>
      </c>
      <c r="B137" s="9">
        <v>45990</v>
      </c>
      <c r="C137" s="10">
        <v>0.69493055555555561</v>
      </c>
      <c r="D137" s="8" t="s">
        <v>170</v>
      </c>
      <c r="E137" s="8" t="s">
        <v>171</v>
      </c>
      <c r="F137" s="11" t="s">
        <v>172</v>
      </c>
      <c r="G137" s="8">
        <f>COUNTIF($F$2:$F$350,F137)</f>
        <v>213</v>
      </c>
      <c r="H137" s="8" t="s">
        <v>115</v>
      </c>
      <c r="I137" s="8" t="s">
        <v>82</v>
      </c>
      <c r="J137" s="8" t="s">
        <v>83</v>
      </c>
      <c r="K137" s="8" t="s">
        <v>84</v>
      </c>
      <c r="M137" s="8" t="s">
        <v>85</v>
      </c>
      <c r="N137" s="8" t="s">
        <v>116</v>
      </c>
      <c r="O137" s="8" t="s">
        <v>87</v>
      </c>
      <c r="P137" s="8" t="s">
        <v>173</v>
      </c>
      <c r="Q137" s="8" t="s">
        <v>185</v>
      </c>
      <c r="R137" s="8" t="s">
        <v>186</v>
      </c>
      <c r="S137" s="8" t="s">
        <v>187</v>
      </c>
      <c r="T137" s="8" t="s">
        <v>188</v>
      </c>
      <c r="U137" s="8" t="s">
        <v>93</v>
      </c>
      <c r="V137" s="8" t="s">
        <v>22</v>
      </c>
      <c r="W137" s="8" t="s">
        <v>176</v>
      </c>
      <c r="X137" s="8" t="s">
        <v>177</v>
      </c>
      <c r="Y137" s="8" t="s">
        <v>95</v>
      </c>
      <c r="Z137" s="8" t="s">
        <v>189</v>
      </c>
      <c r="AA137" s="8" t="b">
        <v>0</v>
      </c>
      <c r="AC137" s="8">
        <v>0</v>
      </c>
      <c r="AD137" s="8">
        <v>83</v>
      </c>
      <c r="AI137" s="8" t="s">
        <v>179</v>
      </c>
      <c r="AJ137" s="8" t="s">
        <v>88</v>
      </c>
      <c r="AK137" s="8" t="s">
        <v>573</v>
      </c>
      <c r="AL137" s="8" t="s">
        <v>88</v>
      </c>
      <c r="AM137" s="8" t="s">
        <v>88</v>
      </c>
      <c r="AN137" s="8" t="s">
        <v>88</v>
      </c>
      <c r="AP137" s="8" t="s">
        <v>574</v>
      </c>
      <c r="AQ137" s="8" t="s">
        <v>100</v>
      </c>
      <c r="AR137" s="8" t="s">
        <v>101</v>
      </c>
      <c r="AS137" s="8" t="s">
        <v>120</v>
      </c>
      <c r="AT137" s="8" t="s">
        <v>103</v>
      </c>
      <c r="AU137" s="8" t="s">
        <v>103</v>
      </c>
      <c r="AX137" s="8" t="s">
        <v>104</v>
      </c>
      <c r="AY137" s="8" t="s">
        <v>121</v>
      </c>
      <c r="AZ137" s="8" t="s">
        <v>100</v>
      </c>
      <c r="BA137" s="8" t="s">
        <v>101</v>
      </c>
      <c r="BB137" s="8" t="s">
        <v>102</v>
      </c>
      <c r="BC137" s="8" t="s">
        <v>103</v>
      </c>
      <c r="BD137" s="8" t="s">
        <v>103</v>
      </c>
      <c r="BF137" s="8" t="s">
        <v>107</v>
      </c>
      <c r="BG137" s="8">
        <v>16700</v>
      </c>
      <c r="BH137" s="8" t="s">
        <v>122</v>
      </c>
      <c r="BO137" s="8">
        <v>12</v>
      </c>
      <c r="BR137" s="8" t="s">
        <v>100</v>
      </c>
      <c r="BS137" s="8" t="s">
        <v>182</v>
      </c>
      <c r="BT137" s="8" t="s">
        <v>183</v>
      </c>
      <c r="BU137" s="8" t="s">
        <v>106</v>
      </c>
      <c r="BV137" s="8" t="s">
        <v>123</v>
      </c>
      <c r="BW137" s="8" t="s">
        <v>110</v>
      </c>
    </row>
    <row r="138" spans="1:75" s="8" customFormat="1" x14ac:dyDescent="0.35">
      <c r="A138" s="8" t="s">
        <v>575</v>
      </c>
      <c r="B138" s="9">
        <v>45990</v>
      </c>
      <c r="C138" s="10">
        <v>0.68491898148148145</v>
      </c>
      <c r="D138" s="8" t="s">
        <v>170</v>
      </c>
      <c r="E138" s="8" t="s">
        <v>171</v>
      </c>
      <c r="F138" s="11" t="s">
        <v>172</v>
      </c>
      <c r="G138" s="8">
        <f>COUNTIF($F$2:$F$350,F138)</f>
        <v>213</v>
      </c>
      <c r="H138" s="8" t="s">
        <v>115</v>
      </c>
      <c r="I138" s="8" t="s">
        <v>82</v>
      </c>
      <c r="J138" s="8" t="s">
        <v>83</v>
      </c>
      <c r="K138" s="8" t="s">
        <v>84</v>
      </c>
      <c r="M138" s="8" t="s">
        <v>85</v>
      </c>
      <c r="N138" s="8" t="s">
        <v>116</v>
      </c>
      <c r="O138" s="8" t="s">
        <v>87</v>
      </c>
      <c r="P138" s="8" t="s">
        <v>173</v>
      </c>
      <c r="Q138" s="8" t="s">
        <v>185</v>
      </c>
      <c r="R138" s="8" t="s">
        <v>186</v>
      </c>
      <c r="S138" s="8" t="s">
        <v>132</v>
      </c>
      <c r="T138" s="8" t="s">
        <v>133</v>
      </c>
      <c r="U138" s="8" t="s">
        <v>93</v>
      </c>
      <c r="V138" s="8" t="s">
        <v>22</v>
      </c>
      <c r="W138" s="8" t="s">
        <v>176</v>
      </c>
      <c r="X138" s="8" t="s">
        <v>177</v>
      </c>
      <c r="Y138" s="8" t="s">
        <v>95</v>
      </c>
      <c r="Z138" s="8" t="s">
        <v>189</v>
      </c>
      <c r="AA138" s="8" t="b">
        <v>0</v>
      </c>
      <c r="AC138" s="8">
        <v>0</v>
      </c>
      <c r="AD138" s="8">
        <v>98</v>
      </c>
      <c r="AI138" s="8" t="s">
        <v>179</v>
      </c>
      <c r="AJ138" s="8" t="s">
        <v>88</v>
      </c>
      <c r="AK138" s="8" t="s">
        <v>576</v>
      </c>
      <c r="AL138" s="8" t="s">
        <v>88</v>
      </c>
      <c r="AM138" s="8" t="s">
        <v>88</v>
      </c>
      <c r="AN138" s="8" t="s">
        <v>88</v>
      </c>
      <c r="AP138" s="8" t="s">
        <v>577</v>
      </c>
      <c r="AQ138" s="8" t="s">
        <v>100</v>
      </c>
      <c r="AR138" s="8" t="s">
        <v>101</v>
      </c>
      <c r="AS138" s="8" t="s">
        <v>120</v>
      </c>
      <c r="AT138" s="8" t="s">
        <v>103</v>
      </c>
      <c r="AU138" s="8" t="s">
        <v>103</v>
      </c>
      <c r="AX138" s="8" t="s">
        <v>104</v>
      </c>
      <c r="AY138" s="8" t="s">
        <v>121</v>
      </c>
      <c r="AZ138" s="8" t="s">
        <v>100</v>
      </c>
      <c r="BA138" s="8" t="s">
        <v>101</v>
      </c>
      <c r="BB138" s="8" t="s">
        <v>102</v>
      </c>
      <c r="BC138" s="8" t="s">
        <v>103</v>
      </c>
      <c r="BD138" s="8" t="s">
        <v>103</v>
      </c>
      <c r="BF138" s="8" t="s">
        <v>107</v>
      </c>
      <c r="BG138" s="8">
        <v>16700</v>
      </c>
      <c r="BH138" s="8" t="s">
        <v>122</v>
      </c>
      <c r="BO138" s="8">
        <v>12</v>
      </c>
      <c r="BR138" s="8" t="s">
        <v>100</v>
      </c>
      <c r="BS138" s="8" t="s">
        <v>182</v>
      </c>
      <c r="BT138" s="8" t="s">
        <v>183</v>
      </c>
      <c r="BU138" s="8" t="s">
        <v>106</v>
      </c>
      <c r="BV138" s="8" t="s">
        <v>123</v>
      </c>
      <c r="BW138" s="8" t="s">
        <v>110</v>
      </c>
    </row>
    <row r="139" spans="1:75" s="8" customFormat="1" x14ac:dyDescent="0.35">
      <c r="A139" s="8" t="s">
        <v>575</v>
      </c>
      <c r="B139" s="9">
        <v>45990</v>
      </c>
      <c r="C139" s="10">
        <v>0.68491898148148145</v>
      </c>
      <c r="D139" s="8" t="s">
        <v>170</v>
      </c>
      <c r="E139" s="8" t="s">
        <v>171</v>
      </c>
      <c r="F139" s="11" t="s">
        <v>172</v>
      </c>
      <c r="G139" s="8">
        <f>COUNTIF($F$2:$F$350,F139)</f>
        <v>213</v>
      </c>
      <c r="H139" s="8" t="s">
        <v>115</v>
      </c>
      <c r="I139" s="8" t="s">
        <v>82</v>
      </c>
      <c r="J139" s="8" t="s">
        <v>83</v>
      </c>
      <c r="K139" s="8" t="s">
        <v>84</v>
      </c>
      <c r="M139" s="8" t="s">
        <v>85</v>
      </c>
      <c r="N139" s="8" t="s">
        <v>116</v>
      </c>
      <c r="O139" s="8" t="s">
        <v>87</v>
      </c>
      <c r="P139" s="8" t="s">
        <v>173</v>
      </c>
      <c r="Q139" s="8" t="s">
        <v>185</v>
      </c>
      <c r="R139" s="8" t="s">
        <v>186</v>
      </c>
      <c r="S139" s="8" t="s">
        <v>187</v>
      </c>
      <c r="T139" s="8" t="s">
        <v>188</v>
      </c>
      <c r="U139" s="8" t="s">
        <v>93</v>
      </c>
      <c r="V139" s="8" t="s">
        <v>22</v>
      </c>
      <c r="W139" s="8" t="s">
        <v>176</v>
      </c>
      <c r="X139" s="8" t="s">
        <v>177</v>
      </c>
      <c r="Y139" s="8" t="s">
        <v>95</v>
      </c>
      <c r="Z139" s="8" t="s">
        <v>189</v>
      </c>
      <c r="AA139" s="8" t="b">
        <v>0</v>
      </c>
      <c r="AC139" s="8">
        <v>0</v>
      </c>
      <c r="AD139" s="8">
        <v>71</v>
      </c>
      <c r="AI139" s="8" t="s">
        <v>179</v>
      </c>
      <c r="AJ139" s="8" t="s">
        <v>88</v>
      </c>
      <c r="AK139" s="8" t="s">
        <v>578</v>
      </c>
      <c r="AL139" s="8" t="s">
        <v>88</v>
      </c>
      <c r="AM139" s="8" t="s">
        <v>88</v>
      </c>
      <c r="AN139" s="8" t="s">
        <v>88</v>
      </c>
      <c r="AP139" s="8" t="s">
        <v>579</v>
      </c>
      <c r="AQ139" s="8" t="s">
        <v>100</v>
      </c>
      <c r="AR139" s="8" t="s">
        <v>101</v>
      </c>
      <c r="AS139" s="8" t="s">
        <v>120</v>
      </c>
      <c r="AT139" s="8" t="s">
        <v>103</v>
      </c>
      <c r="AU139" s="8" t="s">
        <v>103</v>
      </c>
      <c r="AX139" s="8" t="s">
        <v>104</v>
      </c>
      <c r="AY139" s="8" t="s">
        <v>121</v>
      </c>
      <c r="AZ139" s="8" t="s">
        <v>100</v>
      </c>
      <c r="BA139" s="8" t="s">
        <v>101</v>
      </c>
      <c r="BB139" s="8" t="s">
        <v>102</v>
      </c>
      <c r="BC139" s="8" t="s">
        <v>103</v>
      </c>
      <c r="BD139" s="8" t="s">
        <v>103</v>
      </c>
      <c r="BF139" s="8" t="s">
        <v>107</v>
      </c>
      <c r="BG139" s="8">
        <v>16700</v>
      </c>
      <c r="BH139" s="8" t="s">
        <v>122</v>
      </c>
      <c r="BO139" s="8">
        <v>12</v>
      </c>
      <c r="BR139" s="8" t="s">
        <v>100</v>
      </c>
      <c r="BS139" s="8" t="s">
        <v>182</v>
      </c>
      <c r="BT139" s="8" t="s">
        <v>183</v>
      </c>
      <c r="BU139" s="8" t="s">
        <v>106</v>
      </c>
      <c r="BV139" s="8" t="s">
        <v>123</v>
      </c>
      <c r="BW139" s="8" t="s">
        <v>110</v>
      </c>
    </row>
    <row r="140" spans="1:75" s="8" customFormat="1" x14ac:dyDescent="0.35">
      <c r="A140" s="8" t="s">
        <v>575</v>
      </c>
      <c r="B140" s="9">
        <v>45990</v>
      </c>
      <c r="C140" s="10">
        <v>0.68491898148148145</v>
      </c>
      <c r="D140" s="8" t="s">
        <v>170</v>
      </c>
      <c r="E140" s="8" t="s">
        <v>171</v>
      </c>
      <c r="F140" s="11" t="s">
        <v>172</v>
      </c>
      <c r="G140" s="8">
        <f>COUNTIF($F$2:$F$350,F140)</f>
        <v>213</v>
      </c>
      <c r="H140" s="8" t="s">
        <v>115</v>
      </c>
      <c r="I140" s="8" t="s">
        <v>82</v>
      </c>
      <c r="J140" s="8" t="s">
        <v>83</v>
      </c>
      <c r="K140" s="8" t="s">
        <v>84</v>
      </c>
      <c r="M140" s="8" t="s">
        <v>85</v>
      </c>
      <c r="N140" s="8" t="s">
        <v>116</v>
      </c>
      <c r="O140" s="8" t="s">
        <v>87</v>
      </c>
      <c r="P140" s="8" t="s">
        <v>173</v>
      </c>
      <c r="Q140" s="8" t="s">
        <v>185</v>
      </c>
      <c r="R140" s="8" t="s">
        <v>186</v>
      </c>
      <c r="S140" s="8" t="s">
        <v>132</v>
      </c>
      <c r="T140" s="8" t="s">
        <v>133</v>
      </c>
      <c r="U140" s="8" t="s">
        <v>93</v>
      </c>
      <c r="V140" s="8" t="s">
        <v>22</v>
      </c>
      <c r="W140" s="8" t="s">
        <v>176</v>
      </c>
      <c r="X140" s="8" t="s">
        <v>177</v>
      </c>
      <c r="Y140" s="8" t="s">
        <v>95</v>
      </c>
      <c r="Z140" s="8" t="s">
        <v>189</v>
      </c>
      <c r="AA140" s="8" t="b">
        <v>0</v>
      </c>
      <c r="AC140" s="8">
        <v>0</v>
      </c>
      <c r="AD140" s="8">
        <v>72</v>
      </c>
      <c r="AI140" s="8" t="s">
        <v>179</v>
      </c>
      <c r="AJ140" s="8" t="s">
        <v>88</v>
      </c>
      <c r="AK140" s="8" t="s">
        <v>580</v>
      </c>
      <c r="AL140" s="8" t="s">
        <v>88</v>
      </c>
      <c r="AM140" s="8" t="s">
        <v>88</v>
      </c>
      <c r="AN140" s="8" t="s">
        <v>88</v>
      </c>
      <c r="AP140" s="8" t="s">
        <v>581</v>
      </c>
      <c r="AQ140" s="8" t="s">
        <v>100</v>
      </c>
      <c r="AR140" s="8" t="s">
        <v>101</v>
      </c>
      <c r="AS140" s="8" t="s">
        <v>120</v>
      </c>
      <c r="AT140" s="8" t="s">
        <v>103</v>
      </c>
      <c r="AU140" s="8" t="s">
        <v>103</v>
      </c>
      <c r="AX140" s="8" t="s">
        <v>104</v>
      </c>
      <c r="AY140" s="8" t="s">
        <v>121</v>
      </c>
      <c r="AZ140" s="8" t="s">
        <v>100</v>
      </c>
      <c r="BA140" s="8" t="s">
        <v>101</v>
      </c>
      <c r="BB140" s="8" t="s">
        <v>102</v>
      </c>
      <c r="BC140" s="8" t="s">
        <v>103</v>
      </c>
      <c r="BD140" s="8" t="s">
        <v>103</v>
      </c>
      <c r="BF140" s="8" t="s">
        <v>107</v>
      </c>
      <c r="BG140" s="8">
        <v>16700</v>
      </c>
      <c r="BH140" s="8" t="s">
        <v>122</v>
      </c>
      <c r="BO140" s="8">
        <v>12</v>
      </c>
      <c r="BR140" s="8" t="s">
        <v>100</v>
      </c>
      <c r="BS140" s="8" t="s">
        <v>182</v>
      </c>
      <c r="BT140" s="8" t="s">
        <v>183</v>
      </c>
      <c r="BU140" s="8" t="s">
        <v>106</v>
      </c>
      <c r="BV140" s="8" t="s">
        <v>123</v>
      </c>
      <c r="BW140" s="8" t="s">
        <v>110</v>
      </c>
    </row>
    <row r="141" spans="1:75" s="8" customFormat="1" x14ac:dyDescent="0.35">
      <c r="A141" s="8" t="s">
        <v>582</v>
      </c>
      <c r="B141" s="9">
        <v>45990</v>
      </c>
      <c r="C141" s="10">
        <v>0.68442129629629633</v>
      </c>
      <c r="D141" s="8" t="s">
        <v>170</v>
      </c>
      <c r="E141" s="8" t="s">
        <v>171</v>
      </c>
      <c r="F141" s="11" t="s">
        <v>172</v>
      </c>
      <c r="G141" s="8">
        <f>COUNTIF($F$2:$F$350,F141)</f>
        <v>213</v>
      </c>
      <c r="H141" s="8" t="s">
        <v>115</v>
      </c>
      <c r="I141" s="8" t="s">
        <v>82</v>
      </c>
      <c r="J141" s="8" t="s">
        <v>83</v>
      </c>
      <c r="K141" s="8" t="s">
        <v>84</v>
      </c>
      <c r="M141" s="8" t="s">
        <v>85</v>
      </c>
      <c r="N141" s="8" t="s">
        <v>116</v>
      </c>
      <c r="O141" s="8" t="s">
        <v>87</v>
      </c>
      <c r="P141" s="8" t="s">
        <v>173</v>
      </c>
      <c r="Q141" s="8" t="s">
        <v>185</v>
      </c>
      <c r="R141" s="8" t="s">
        <v>186</v>
      </c>
      <c r="S141" s="8" t="s">
        <v>132</v>
      </c>
      <c r="T141" s="8" t="s">
        <v>133</v>
      </c>
      <c r="U141" s="8" t="s">
        <v>93</v>
      </c>
      <c r="V141" s="8" t="s">
        <v>22</v>
      </c>
      <c r="W141" s="8" t="s">
        <v>176</v>
      </c>
      <c r="X141" s="8" t="s">
        <v>177</v>
      </c>
      <c r="Y141" s="8" t="s">
        <v>95</v>
      </c>
      <c r="Z141" s="8" t="s">
        <v>189</v>
      </c>
      <c r="AA141" s="8" t="b">
        <v>0</v>
      </c>
      <c r="AC141" s="8">
        <v>0</v>
      </c>
      <c r="AD141" s="8">
        <v>110</v>
      </c>
      <c r="AI141" s="8" t="s">
        <v>179</v>
      </c>
      <c r="AJ141" s="8" t="s">
        <v>88</v>
      </c>
      <c r="AK141" s="8" t="s">
        <v>583</v>
      </c>
      <c r="AL141" s="8" t="s">
        <v>88</v>
      </c>
      <c r="AM141" s="8" t="s">
        <v>88</v>
      </c>
      <c r="AN141" s="8" t="s">
        <v>88</v>
      </c>
      <c r="AP141" s="8" t="s">
        <v>584</v>
      </c>
      <c r="AQ141" s="8" t="s">
        <v>100</v>
      </c>
      <c r="AR141" s="8" t="s">
        <v>101</v>
      </c>
      <c r="AS141" s="8" t="s">
        <v>120</v>
      </c>
      <c r="AT141" s="8" t="s">
        <v>103</v>
      </c>
      <c r="AU141" s="8" t="s">
        <v>103</v>
      </c>
      <c r="AX141" s="8" t="s">
        <v>104</v>
      </c>
      <c r="AY141" s="8" t="s">
        <v>121</v>
      </c>
      <c r="AZ141" s="8" t="s">
        <v>100</v>
      </c>
      <c r="BA141" s="8" t="s">
        <v>101</v>
      </c>
      <c r="BB141" s="8" t="s">
        <v>102</v>
      </c>
      <c r="BC141" s="8" t="s">
        <v>103</v>
      </c>
      <c r="BD141" s="8" t="s">
        <v>103</v>
      </c>
      <c r="BF141" s="8" t="s">
        <v>107</v>
      </c>
      <c r="BG141" s="8">
        <v>16700</v>
      </c>
      <c r="BH141" s="8" t="s">
        <v>122</v>
      </c>
      <c r="BO141" s="8">
        <v>12</v>
      </c>
      <c r="BR141" s="8" t="s">
        <v>100</v>
      </c>
      <c r="BS141" s="8" t="s">
        <v>182</v>
      </c>
      <c r="BT141" s="8" t="s">
        <v>183</v>
      </c>
      <c r="BU141" s="8" t="s">
        <v>106</v>
      </c>
      <c r="BV141" s="8" t="s">
        <v>123</v>
      </c>
      <c r="BW141" s="8" t="s">
        <v>110</v>
      </c>
    </row>
    <row r="142" spans="1:75" s="8" customFormat="1" x14ac:dyDescent="0.35">
      <c r="A142" s="8" t="s">
        <v>582</v>
      </c>
      <c r="B142" s="9">
        <v>45990</v>
      </c>
      <c r="C142" s="10">
        <v>0.68442129629629633</v>
      </c>
      <c r="D142" s="8" t="s">
        <v>170</v>
      </c>
      <c r="E142" s="8" t="s">
        <v>171</v>
      </c>
      <c r="F142" s="11" t="s">
        <v>172</v>
      </c>
      <c r="G142" s="8">
        <f>COUNTIF($F$2:$F$350,F142)</f>
        <v>213</v>
      </c>
      <c r="H142" s="8" t="s">
        <v>115</v>
      </c>
      <c r="I142" s="8" t="s">
        <v>82</v>
      </c>
      <c r="J142" s="8" t="s">
        <v>83</v>
      </c>
      <c r="K142" s="8" t="s">
        <v>84</v>
      </c>
      <c r="M142" s="8" t="s">
        <v>85</v>
      </c>
      <c r="N142" s="8" t="s">
        <v>116</v>
      </c>
      <c r="O142" s="8" t="s">
        <v>87</v>
      </c>
      <c r="P142" s="8" t="s">
        <v>173</v>
      </c>
      <c r="Q142" s="8" t="s">
        <v>185</v>
      </c>
      <c r="R142" s="8" t="s">
        <v>186</v>
      </c>
      <c r="S142" s="8" t="s">
        <v>187</v>
      </c>
      <c r="T142" s="8" t="s">
        <v>188</v>
      </c>
      <c r="U142" s="8" t="s">
        <v>93</v>
      </c>
      <c r="V142" s="8" t="s">
        <v>22</v>
      </c>
      <c r="W142" s="8" t="s">
        <v>176</v>
      </c>
      <c r="X142" s="8" t="s">
        <v>177</v>
      </c>
      <c r="Y142" s="8" t="s">
        <v>95</v>
      </c>
      <c r="Z142" s="8" t="s">
        <v>189</v>
      </c>
      <c r="AA142" s="8" t="b">
        <v>0</v>
      </c>
      <c r="AC142" s="8">
        <v>0</v>
      </c>
      <c r="AD142" s="8">
        <v>116</v>
      </c>
      <c r="AI142" s="8" t="s">
        <v>179</v>
      </c>
      <c r="AJ142" s="8" t="s">
        <v>88</v>
      </c>
      <c r="AK142" s="8" t="s">
        <v>585</v>
      </c>
      <c r="AL142" s="8" t="s">
        <v>88</v>
      </c>
      <c r="AM142" s="8" t="s">
        <v>88</v>
      </c>
      <c r="AN142" s="8" t="s">
        <v>88</v>
      </c>
      <c r="AP142" s="8" t="s">
        <v>586</v>
      </c>
      <c r="AQ142" s="8" t="s">
        <v>100</v>
      </c>
      <c r="AR142" s="8" t="s">
        <v>101</v>
      </c>
      <c r="AS142" s="8" t="s">
        <v>120</v>
      </c>
      <c r="AT142" s="8" t="s">
        <v>103</v>
      </c>
      <c r="AU142" s="8" t="s">
        <v>103</v>
      </c>
      <c r="AX142" s="8" t="s">
        <v>104</v>
      </c>
      <c r="AY142" s="8" t="s">
        <v>121</v>
      </c>
      <c r="AZ142" s="8" t="s">
        <v>100</v>
      </c>
      <c r="BA142" s="8" t="s">
        <v>101</v>
      </c>
      <c r="BB142" s="8" t="s">
        <v>102</v>
      </c>
      <c r="BC142" s="8" t="s">
        <v>103</v>
      </c>
      <c r="BD142" s="8" t="s">
        <v>103</v>
      </c>
      <c r="BF142" s="8" t="s">
        <v>107</v>
      </c>
      <c r="BG142" s="8">
        <v>16700</v>
      </c>
      <c r="BH142" s="8" t="s">
        <v>122</v>
      </c>
      <c r="BO142" s="8">
        <v>12</v>
      </c>
      <c r="BR142" s="8" t="s">
        <v>100</v>
      </c>
      <c r="BS142" s="8" t="s">
        <v>182</v>
      </c>
      <c r="BT142" s="8" t="s">
        <v>183</v>
      </c>
      <c r="BU142" s="8" t="s">
        <v>106</v>
      </c>
      <c r="BV142" s="8" t="s">
        <v>123</v>
      </c>
      <c r="BW142" s="8" t="s">
        <v>110</v>
      </c>
    </row>
    <row r="143" spans="1:75" s="8" customFormat="1" x14ac:dyDescent="0.35">
      <c r="A143" s="8" t="s">
        <v>582</v>
      </c>
      <c r="B143" s="9">
        <v>45990</v>
      </c>
      <c r="C143" s="10">
        <v>0.68442129629629633</v>
      </c>
      <c r="D143" s="8" t="s">
        <v>170</v>
      </c>
      <c r="E143" s="8" t="s">
        <v>171</v>
      </c>
      <c r="F143" s="11" t="s">
        <v>172</v>
      </c>
      <c r="G143" s="8">
        <f>COUNTIF($F$2:$F$350,F143)</f>
        <v>213</v>
      </c>
      <c r="H143" s="8" t="s">
        <v>115</v>
      </c>
      <c r="I143" s="8" t="s">
        <v>82</v>
      </c>
      <c r="J143" s="8" t="s">
        <v>83</v>
      </c>
      <c r="K143" s="8" t="s">
        <v>84</v>
      </c>
      <c r="M143" s="8" t="s">
        <v>85</v>
      </c>
      <c r="N143" s="8" t="s">
        <v>116</v>
      </c>
      <c r="O143" s="8" t="s">
        <v>87</v>
      </c>
      <c r="P143" s="8" t="s">
        <v>173</v>
      </c>
      <c r="Q143" s="8" t="s">
        <v>185</v>
      </c>
      <c r="R143" s="8" t="s">
        <v>186</v>
      </c>
      <c r="S143" s="8" t="s">
        <v>132</v>
      </c>
      <c r="T143" s="8" t="s">
        <v>133</v>
      </c>
      <c r="U143" s="8" t="s">
        <v>93</v>
      </c>
      <c r="V143" s="8" t="s">
        <v>22</v>
      </c>
      <c r="W143" s="8" t="s">
        <v>176</v>
      </c>
      <c r="X143" s="8" t="s">
        <v>177</v>
      </c>
      <c r="Y143" s="8" t="s">
        <v>95</v>
      </c>
      <c r="Z143" s="8" t="s">
        <v>189</v>
      </c>
      <c r="AA143" s="8" t="b">
        <v>0</v>
      </c>
      <c r="AC143" s="8">
        <v>0</v>
      </c>
      <c r="AD143" s="8">
        <v>81</v>
      </c>
      <c r="AI143" s="8" t="s">
        <v>179</v>
      </c>
      <c r="AJ143" s="8" t="s">
        <v>88</v>
      </c>
      <c r="AK143" s="8" t="s">
        <v>587</v>
      </c>
      <c r="AL143" s="8" t="s">
        <v>88</v>
      </c>
      <c r="AM143" s="8" t="s">
        <v>88</v>
      </c>
      <c r="AN143" s="8" t="s">
        <v>88</v>
      </c>
      <c r="AP143" s="8" t="s">
        <v>588</v>
      </c>
      <c r="AQ143" s="8" t="s">
        <v>100</v>
      </c>
      <c r="AR143" s="8" t="s">
        <v>101</v>
      </c>
      <c r="AS143" s="8" t="s">
        <v>120</v>
      </c>
      <c r="AT143" s="8" t="s">
        <v>103</v>
      </c>
      <c r="AU143" s="8" t="s">
        <v>103</v>
      </c>
      <c r="AX143" s="8" t="s">
        <v>104</v>
      </c>
      <c r="AY143" s="8" t="s">
        <v>121</v>
      </c>
      <c r="AZ143" s="8" t="s">
        <v>100</v>
      </c>
      <c r="BA143" s="8" t="s">
        <v>101</v>
      </c>
      <c r="BB143" s="8" t="s">
        <v>102</v>
      </c>
      <c r="BC143" s="8" t="s">
        <v>103</v>
      </c>
      <c r="BD143" s="8" t="s">
        <v>103</v>
      </c>
      <c r="BF143" s="8" t="s">
        <v>107</v>
      </c>
      <c r="BG143" s="8">
        <v>16700</v>
      </c>
      <c r="BH143" s="8" t="s">
        <v>122</v>
      </c>
      <c r="BO143" s="8">
        <v>12</v>
      </c>
      <c r="BR143" s="8" t="s">
        <v>100</v>
      </c>
      <c r="BS143" s="8" t="s">
        <v>182</v>
      </c>
      <c r="BT143" s="8" t="s">
        <v>183</v>
      </c>
      <c r="BU143" s="8" t="s">
        <v>106</v>
      </c>
      <c r="BV143" s="8" t="s">
        <v>123</v>
      </c>
      <c r="BW143" s="8" t="s">
        <v>110</v>
      </c>
    </row>
    <row r="144" spans="1:75" s="8" customFormat="1" x14ac:dyDescent="0.35">
      <c r="A144" s="8" t="s">
        <v>589</v>
      </c>
      <c r="B144" s="9">
        <v>45990</v>
      </c>
      <c r="C144" s="10">
        <v>0.68313657407407413</v>
      </c>
      <c r="D144" s="8" t="s">
        <v>170</v>
      </c>
      <c r="E144" s="8" t="s">
        <v>171</v>
      </c>
      <c r="F144" s="11" t="s">
        <v>172</v>
      </c>
      <c r="G144" s="8">
        <f>COUNTIF($F$2:$F$350,F144)</f>
        <v>213</v>
      </c>
      <c r="H144" s="8" t="s">
        <v>115</v>
      </c>
      <c r="I144" s="8" t="s">
        <v>82</v>
      </c>
      <c r="J144" s="8" t="s">
        <v>83</v>
      </c>
      <c r="K144" s="8" t="s">
        <v>84</v>
      </c>
      <c r="M144" s="8" t="s">
        <v>85</v>
      </c>
      <c r="N144" s="8" t="s">
        <v>116</v>
      </c>
      <c r="O144" s="8" t="s">
        <v>87</v>
      </c>
      <c r="P144" s="8" t="s">
        <v>173</v>
      </c>
      <c r="Q144" s="8" t="s">
        <v>185</v>
      </c>
      <c r="R144" s="8" t="s">
        <v>186</v>
      </c>
      <c r="S144" s="8" t="s">
        <v>132</v>
      </c>
      <c r="T144" s="8" t="s">
        <v>133</v>
      </c>
      <c r="U144" s="8" t="s">
        <v>93</v>
      </c>
      <c r="V144" s="8" t="s">
        <v>22</v>
      </c>
      <c r="W144" s="8" t="s">
        <v>176</v>
      </c>
      <c r="X144" s="8" t="s">
        <v>177</v>
      </c>
      <c r="Y144" s="8" t="s">
        <v>95</v>
      </c>
      <c r="Z144" s="8" t="s">
        <v>189</v>
      </c>
      <c r="AA144" s="8" t="b">
        <v>0</v>
      </c>
      <c r="AC144" s="8">
        <v>0</v>
      </c>
      <c r="AD144" s="8">
        <v>127</v>
      </c>
      <c r="AI144" s="8" t="s">
        <v>179</v>
      </c>
      <c r="AJ144" s="8" t="s">
        <v>88</v>
      </c>
      <c r="AK144" s="8" t="s">
        <v>590</v>
      </c>
      <c r="AL144" s="8" t="s">
        <v>88</v>
      </c>
      <c r="AM144" s="8" t="s">
        <v>88</v>
      </c>
      <c r="AN144" s="8" t="s">
        <v>88</v>
      </c>
      <c r="AP144" s="8" t="s">
        <v>591</v>
      </c>
      <c r="AQ144" s="8" t="s">
        <v>100</v>
      </c>
      <c r="AR144" s="8" t="s">
        <v>101</v>
      </c>
      <c r="AS144" s="8" t="s">
        <v>120</v>
      </c>
      <c r="AT144" s="8" t="s">
        <v>103</v>
      </c>
      <c r="AU144" s="8" t="s">
        <v>103</v>
      </c>
      <c r="AX144" s="8" t="s">
        <v>104</v>
      </c>
      <c r="AY144" s="8" t="s">
        <v>121</v>
      </c>
      <c r="AZ144" s="8" t="s">
        <v>100</v>
      </c>
      <c r="BA144" s="8" t="s">
        <v>101</v>
      </c>
      <c r="BB144" s="8" t="s">
        <v>102</v>
      </c>
      <c r="BC144" s="8" t="s">
        <v>103</v>
      </c>
      <c r="BD144" s="8" t="s">
        <v>103</v>
      </c>
      <c r="BF144" s="8" t="s">
        <v>107</v>
      </c>
      <c r="BG144" s="8">
        <v>16700</v>
      </c>
      <c r="BH144" s="8" t="s">
        <v>122</v>
      </c>
      <c r="BO144" s="8">
        <v>12</v>
      </c>
      <c r="BR144" s="8" t="s">
        <v>100</v>
      </c>
      <c r="BS144" s="8" t="s">
        <v>182</v>
      </c>
      <c r="BT144" s="8" t="s">
        <v>183</v>
      </c>
      <c r="BU144" s="8" t="s">
        <v>106</v>
      </c>
      <c r="BV144" s="8" t="s">
        <v>123</v>
      </c>
      <c r="BW144" s="8" t="s">
        <v>110</v>
      </c>
    </row>
    <row r="145" spans="1:75" s="8" customFormat="1" x14ac:dyDescent="0.35">
      <c r="A145" s="8" t="s">
        <v>589</v>
      </c>
      <c r="B145" s="9">
        <v>45990</v>
      </c>
      <c r="C145" s="10">
        <v>0.68313657407407413</v>
      </c>
      <c r="D145" s="8" t="s">
        <v>170</v>
      </c>
      <c r="E145" s="8" t="s">
        <v>171</v>
      </c>
      <c r="F145" s="11" t="s">
        <v>172</v>
      </c>
      <c r="G145" s="8">
        <f>COUNTIF($F$2:$F$350,F145)</f>
        <v>213</v>
      </c>
      <c r="H145" s="8" t="s">
        <v>115</v>
      </c>
      <c r="I145" s="8" t="s">
        <v>82</v>
      </c>
      <c r="J145" s="8" t="s">
        <v>83</v>
      </c>
      <c r="K145" s="8" t="s">
        <v>84</v>
      </c>
      <c r="M145" s="8" t="s">
        <v>85</v>
      </c>
      <c r="N145" s="8" t="s">
        <v>116</v>
      </c>
      <c r="O145" s="8" t="s">
        <v>87</v>
      </c>
      <c r="P145" s="8" t="s">
        <v>173</v>
      </c>
      <c r="Q145" s="8" t="s">
        <v>185</v>
      </c>
      <c r="R145" s="8" t="s">
        <v>186</v>
      </c>
      <c r="S145" s="8" t="s">
        <v>132</v>
      </c>
      <c r="T145" s="8" t="s">
        <v>133</v>
      </c>
      <c r="U145" s="8" t="s">
        <v>93</v>
      </c>
      <c r="V145" s="8" t="s">
        <v>22</v>
      </c>
      <c r="W145" s="8" t="s">
        <v>176</v>
      </c>
      <c r="X145" s="8" t="s">
        <v>177</v>
      </c>
      <c r="Y145" s="8" t="s">
        <v>95</v>
      </c>
      <c r="Z145" s="8" t="s">
        <v>189</v>
      </c>
      <c r="AA145" s="8" t="b">
        <v>0</v>
      </c>
      <c r="AC145" s="8">
        <v>0</v>
      </c>
      <c r="AD145" s="8">
        <v>115</v>
      </c>
      <c r="AI145" s="8" t="s">
        <v>179</v>
      </c>
      <c r="AJ145" s="8" t="s">
        <v>88</v>
      </c>
      <c r="AK145" s="8" t="s">
        <v>592</v>
      </c>
      <c r="AL145" s="8" t="s">
        <v>88</v>
      </c>
      <c r="AM145" s="8" t="s">
        <v>88</v>
      </c>
      <c r="AN145" s="8" t="s">
        <v>88</v>
      </c>
      <c r="AP145" s="8" t="s">
        <v>593</v>
      </c>
      <c r="AQ145" s="8" t="s">
        <v>100</v>
      </c>
      <c r="AR145" s="8" t="s">
        <v>101</v>
      </c>
      <c r="AS145" s="8" t="s">
        <v>120</v>
      </c>
      <c r="AT145" s="8" t="s">
        <v>103</v>
      </c>
      <c r="AU145" s="8" t="s">
        <v>103</v>
      </c>
      <c r="AX145" s="8" t="s">
        <v>104</v>
      </c>
      <c r="AY145" s="8" t="s">
        <v>121</v>
      </c>
      <c r="AZ145" s="8" t="s">
        <v>100</v>
      </c>
      <c r="BA145" s="8" t="s">
        <v>101</v>
      </c>
      <c r="BB145" s="8" t="s">
        <v>102</v>
      </c>
      <c r="BC145" s="8" t="s">
        <v>103</v>
      </c>
      <c r="BD145" s="8" t="s">
        <v>103</v>
      </c>
      <c r="BF145" s="8" t="s">
        <v>107</v>
      </c>
      <c r="BG145" s="8">
        <v>16700</v>
      </c>
      <c r="BH145" s="8" t="s">
        <v>122</v>
      </c>
      <c r="BO145" s="8">
        <v>12</v>
      </c>
      <c r="BR145" s="8" t="s">
        <v>100</v>
      </c>
      <c r="BS145" s="8" t="s">
        <v>182</v>
      </c>
      <c r="BT145" s="8" t="s">
        <v>183</v>
      </c>
      <c r="BU145" s="8" t="s">
        <v>106</v>
      </c>
      <c r="BV145" s="8" t="s">
        <v>123</v>
      </c>
      <c r="BW145" s="8" t="s">
        <v>110</v>
      </c>
    </row>
    <row r="146" spans="1:75" s="8" customFormat="1" x14ac:dyDescent="0.35">
      <c r="A146" s="8" t="s">
        <v>589</v>
      </c>
      <c r="B146" s="9">
        <v>45990</v>
      </c>
      <c r="C146" s="10">
        <v>0.68313657407407413</v>
      </c>
      <c r="D146" s="8" t="s">
        <v>170</v>
      </c>
      <c r="E146" s="8" t="s">
        <v>171</v>
      </c>
      <c r="F146" s="11" t="s">
        <v>172</v>
      </c>
      <c r="G146" s="8">
        <f>COUNTIF($F$2:$F$350,F146)</f>
        <v>213</v>
      </c>
      <c r="H146" s="8" t="s">
        <v>115</v>
      </c>
      <c r="I146" s="8" t="s">
        <v>82</v>
      </c>
      <c r="J146" s="8" t="s">
        <v>83</v>
      </c>
      <c r="K146" s="8" t="s">
        <v>84</v>
      </c>
      <c r="M146" s="8" t="s">
        <v>85</v>
      </c>
      <c r="N146" s="8" t="s">
        <v>116</v>
      </c>
      <c r="O146" s="8" t="s">
        <v>87</v>
      </c>
      <c r="P146" s="8" t="s">
        <v>173</v>
      </c>
      <c r="Q146" s="8" t="s">
        <v>185</v>
      </c>
      <c r="R146" s="8" t="s">
        <v>186</v>
      </c>
      <c r="S146" s="8" t="s">
        <v>187</v>
      </c>
      <c r="T146" s="8" t="s">
        <v>188</v>
      </c>
      <c r="U146" s="8" t="s">
        <v>93</v>
      </c>
      <c r="V146" s="8" t="s">
        <v>22</v>
      </c>
      <c r="W146" s="8" t="s">
        <v>176</v>
      </c>
      <c r="X146" s="8" t="s">
        <v>177</v>
      </c>
      <c r="Y146" s="8" t="s">
        <v>95</v>
      </c>
      <c r="Z146" s="8" t="s">
        <v>189</v>
      </c>
      <c r="AA146" s="8" t="b">
        <v>0</v>
      </c>
      <c r="AC146" s="8">
        <v>0</v>
      </c>
      <c r="AD146" s="8">
        <v>126</v>
      </c>
      <c r="AI146" s="8" t="s">
        <v>179</v>
      </c>
      <c r="AJ146" s="8" t="s">
        <v>88</v>
      </c>
      <c r="AK146" s="8" t="s">
        <v>594</v>
      </c>
      <c r="AL146" s="8" t="s">
        <v>88</v>
      </c>
      <c r="AM146" s="8" t="s">
        <v>88</v>
      </c>
      <c r="AN146" s="8" t="s">
        <v>88</v>
      </c>
      <c r="AP146" s="8" t="s">
        <v>595</v>
      </c>
      <c r="AQ146" s="8" t="s">
        <v>100</v>
      </c>
      <c r="AR146" s="8" t="s">
        <v>101</v>
      </c>
      <c r="AS146" s="8" t="s">
        <v>120</v>
      </c>
      <c r="AT146" s="8" t="s">
        <v>103</v>
      </c>
      <c r="AU146" s="8" t="s">
        <v>103</v>
      </c>
      <c r="AX146" s="8" t="s">
        <v>104</v>
      </c>
      <c r="AY146" s="8" t="s">
        <v>121</v>
      </c>
      <c r="AZ146" s="8" t="s">
        <v>100</v>
      </c>
      <c r="BA146" s="8" t="s">
        <v>101</v>
      </c>
      <c r="BB146" s="8" t="s">
        <v>102</v>
      </c>
      <c r="BC146" s="8" t="s">
        <v>103</v>
      </c>
      <c r="BD146" s="8" t="s">
        <v>103</v>
      </c>
      <c r="BF146" s="8" t="s">
        <v>107</v>
      </c>
      <c r="BG146" s="8">
        <v>16700</v>
      </c>
      <c r="BH146" s="8" t="s">
        <v>122</v>
      </c>
      <c r="BO146" s="8">
        <v>12</v>
      </c>
      <c r="BR146" s="8" t="s">
        <v>100</v>
      </c>
      <c r="BS146" s="8" t="s">
        <v>182</v>
      </c>
      <c r="BT146" s="8" t="s">
        <v>183</v>
      </c>
      <c r="BU146" s="8" t="s">
        <v>106</v>
      </c>
      <c r="BV146" s="8" t="s">
        <v>123</v>
      </c>
      <c r="BW146" s="8" t="s">
        <v>110</v>
      </c>
    </row>
    <row r="147" spans="1:75" s="8" customFormat="1" x14ac:dyDescent="0.35">
      <c r="A147" s="8" t="s">
        <v>596</v>
      </c>
      <c r="B147" s="9">
        <v>45990</v>
      </c>
      <c r="C147" s="10">
        <v>0.67386574074074079</v>
      </c>
      <c r="D147" s="8" t="s">
        <v>170</v>
      </c>
      <c r="E147" s="8" t="s">
        <v>171</v>
      </c>
      <c r="F147" s="11" t="s">
        <v>172</v>
      </c>
      <c r="G147" s="8">
        <f>COUNTIF($F$2:$F$350,F147)</f>
        <v>213</v>
      </c>
      <c r="H147" s="8" t="s">
        <v>115</v>
      </c>
      <c r="I147" s="8" t="s">
        <v>82</v>
      </c>
      <c r="J147" s="8" t="s">
        <v>83</v>
      </c>
      <c r="K147" s="8" t="s">
        <v>84</v>
      </c>
      <c r="M147" s="8" t="s">
        <v>85</v>
      </c>
      <c r="N147" s="8" t="s">
        <v>116</v>
      </c>
      <c r="O147" s="8" t="s">
        <v>87</v>
      </c>
      <c r="P147" s="8" t="s">
        <v>173</v>
      </c>
      <c r="Q147" s="8" t="s">
        <v>185</v>
      </c>
      <c r="R147" s="8" t="s">
        <v>186</v>
      </c>
      <c r="S147" s="8" t="s">
        <v>132</v>
      </c>
      <c r="T147" s="8" t="s">
        <v>133</v>
      </c>
      <c r="U147" s="8" t="s">
        <v>93</v>
      </c>
      <c r="V147" s="8" t="s">
        <v>22</v>
      </c>
      <c r="W147" s="8" t="s">
        <v>176</v>
      </c>
      <c r="X147" s="8" t="s">
        <v>177</v>
      </c>
      <c r="Y147" s="8" t="s">
        <v>95</v>
      </c>
      <c r="Z147" s="8" t="s">
        <v>189</v>
      </c>
      <c r="AA147" s="8" t="b">
        <v>0</v>
      </c>
      <c r="AC147" s="8">
        <v>0</v>
      </c>
      <c r="AD147" s="8">
        <v>127</v>
      </c>
      <c r="AI147" s="8" t="s">
        <v>179</v>
      </c>
      <c r="AJ147" s="8" t="s">
        <v>88</v>
      </c>
      <c r="AK147" s="8" t="s">
        <v>597</v>
      </c>
      <c r="AL147" s="8" t="s">
        <v>88</v>
      </c>
      <c r="AM147" s="8" t="s">
        <v>88</v>
      </c>
      <c r="AN147" s="8" t="s">
        <v>88</v>
      </c>
      <c r="AP147" s="8" t="s">
        <v>598</v>
      </c>
      <c r="AQ147" s="8" t="s">
        <v>100</v>
      </c>
      <c r="AR147" s="8" t="s">
        <v>101</v>
      </c>
      <c r="AS147" s="8" t="s">
        <v>120</v>
      </c>
      <c r="AT147" s="8" t="s">
        <v>103</v>
      </c>
      <c r="AU147" s="8" t="s">
        <v>103</v>
      </c>
      <c r="AX147" s="8" t="s">
        <v>104</v>
      </c>
      <c r="AY147" s="8" t="s">
        <v>121</v>
      </c>
      <c r="AZ147" s="8" t="s">
        <v>100</v>
      </c>
      <c r="BA147" s="8" t="s">
        <v>101</v>
      </c>
      <c r="BB147" s="8" t="s">
        <v>102</v>
      </c>
      <c r="BC147" s="8" t="s">
        <v>103</v>
      </c>
      <c r="BD147" s="8" t="s">
        <v>103</v>
      </c>
      <c r="BF147" s="8" t="s">
        <v>107</v>
      </c>
      <c r="BG147" s="8">
        <v>16700</v>
      </c>
      <c r="BH147" s="8" t="s">
        <v>122</v>
      </c>
      <c r="BO147" s="8">
        <v>12</v>
      </c>
      <c r="BR147" s="8" t="s">
        <v>100</v>
      </c>
      <c r="BS147" s="8" t="s">
        <v>182</v>
      </c>
      <c r="BT147" s="8" t="s">
        <v>183</v>
      </c>
      <c r="BU147" s="8" t="s">
        <v>106</v>
      </c>
      <c r="BV147" s="8" t="s">
        <v>123</v>
      </c>
      <c r="BW147" s="8" t="s">
        <v>110</v>
      </c>
    </row>
    <row r="148" spans="1:75" s="8" customFormat="1" x14ac:dyDescent="0.35">
      <c r="A148" s="8" t="s">
        <v>596</v>
      </c>
      <c r="B148" s="9">
        <v>45990</v>
      </c>
      <c r="C148" s="10">
        <v>0.67386574074074079</v>
      </c>
      <c r="D148" s="8" t="s">
        <v>170</v>
      </c>
      <c r="E148" s="8" t="s">
        <v>171</v>
      </c>
      <c r="F148" s="11" t="s">
        <v>172</v>
      </c>
      <c r="G148" s="8">
        <f>COUNTIF($F$2:$F$350,F148)</f>
        <v>213</v>
      </c>
      <c r="H148" s="8" t="s">
        <v>115</v>
      </c>
      <c r="I148" s="8" t="s">
        <v>82</v>
      </c>
      <c r="J148" s="8" t="s">
        <v>83</v>
      </c>
      <c r="K148" s="8" t="s">
        <v>84</v>
      </c>
      <c r="M148" s="8" t="s">
        <v>85</v>
      </c>
      <c r="N148" s="8" t="s">
        <v>116</v>
      </c>
      <c r="O148" s="8" t="s">
        <v>87</v>
      </c>
      <c r="P148" s="8" t="s">
        <v>173</v>
      </c>
      <c r="Q148" s="8" t="s">
        <v>185</v>
      </c>
      <c r="R148" s="8" t="s">
        <v>186</v>
      </c>
      <c r="S148" s="8" t="s">
        <v>187</v>
      </c>
      <c r="T148" s="8" t="s">
        <v>188</v>
      </c>
      <c r="U148" s="8" t="s">
        <v>93</v>
      </c>
      <c r="V148" s="8" t="s">
        <v>22</v>
      </c>
      <c r="W148" s="8" t="s">
        <v>176</v>
      </c>
      <c r="X148" s="8" t="s">
        <v>177</v>
      </c>
      <c r="Y148" s="8" t="s">
        <v>95</v>
      </c>
      <c r="Z148" s="8" t="s">
        <v>189</v>
      </c>
      <c r="AA148" s="8" t="b">
        <v>0</v>
      </c>
      <c r="AC148" s="8">
        <v>0</v>
      </c>
      <c r="AD148" s="8">
        <v>98</v>
      </c>
      <c r="AI148" s="8" t="s">
        <v>179</v>
      </c>
      <c r="AJ148" s="8" t="s">
        <v>88</v>
      </c>
      <c r="AK148" s="8" t="s">
        <v>599</v>
      </c>
      <c r="AL148" s="8" t="s">
        <v>88</v>
      </c>
      <c r="AM148" s="8" t="s">
        <v>88</v>
      </c>
      <c r="AN148" s="8" t="s">
        <v>88</v>
      </c>
      <c r="AP148" s="8" t="s">
        <v>600</v>
      </c>
      <c r="AQ148" s="8" t="s">
        <v>100</v>
      </c>
      <c r="AR148" s="8" t="s">
        <v>101</v>
      </c>
      <c r="AS148" s="8" t="s">
        <v>120</v>
      </c>
      <c r="AT148" s="8" t="s">
        <v>103</v>
      </c>
      <c r="AU148" s="8" t="s">
        <v>103</v>
      </c>
      <c r="AX148" s="8" t="s">
        <v>104</v>
      </c>
      <c r="AY148" s="8" t="s">
        <v>121</v>
      </c>
      <c r="AZ148" s="8" t="s">
        <v>100</v>
      </c>
      <c r="BA148" s="8" t="s">
        <v>101</v>
      </c>
      <c r="BB148" s="8" t="s">
        <v>102</v>
      </c>
      <c r="BC148" s="8" t="s">
        <v>103</v>
      </c>
      <c r="BD148" s="8" t="s">
        <v>103</v>
      </c>
      <c r="BF148" s="8" t="s">
        <v>107</v>
      </c>
      <c r="BG148" s="8">
        <v>16700</v>
      </c>
      <c r="BH148" s="8" t="s">
        <v>122</v>
      </c>
      <c r="BO148" s="8">
        <v>12</v>
      </c>
      <c r="BR148" s="8" t="s">
        <v>100</v>
      </c>
      <c r="BS148" s="8" t="s">
        <v>182</v>
      </c>
      <c r="BT148" s="8" t="s">
        <v>183</v>
      </c>
      <c r="BU148" s="8" t="s">
        <v>106</v>
      </c>
      <c r="BV148" s="8" t="s">
        <v>123</v>
      </c>
      <c r="BW148" s="8" t="s">
        <v>110</v>
      </c>
    </row>
    <row r="149" spans="1:75" s="8" customFormat="1" x14ac:dyDescent="0.35">
      <c r="A149" s="8" t="s">
        <v>596</v>
      </c>
      <c r="B149" s="9">
        <v>45990</v>
      </c>
      <c r="C149" s="10">
        <v>0.67386574074074079</v>
      </c>
      <c r="D149" s="8" t="s">
        <v>170</v>
      </c>
      <c r="E149" s="8" t="s">
        <v>171</v>
      </c>
      <c r="F149" s="11" t="s">
        <v>172</v>
      </c>
      <c r="G149" s="8">
        <f>COUNTIF($F$2:$F$350,F149)</f>
        <v>213</v>
      </c>
      <c r="H149" s="8" t="s">
        <v>115</v>
      </c>
      <c r="I149" s="8" t="s">
        <v>82</v>
      </c>
      <c r="J149" s="8" t="s">
        <v>83</v>
      </c>
      <c r="K149" s="8" t="s">
        <v>84</v>
      </c>
      <c r="M149" s="8" t="s">
        <v>85</v>
      </c>
      <c r="N149" s="8" t="s">
        <v>116</v>
      </c>
      <c r="O149" s="8" t="s">
        <v>87</v>
      </c>
      <c r="P149" s="8" t="s">
        <v>173</v>
      </c>
      <c r="Q149" s="8" t="s">
        <v>185</v>
      </c>
      <c r="R149" s="8" t="s">
        <v>186</v>
      </c>
      <c r="S149" s="8" t="s">
        <v>132</v>
      </c>
      <c r="T149" s="8" t="s">
        <v>133</v>
      </c>
      <c r="U149" s="8" t="s">
        <v>93</v>
      </c>
      <c r="V149" s="8" t="s">
        <v>22</v>
      </c>
      <c r="W149" s="8" t="s">
        <v>176</v>
      </c>
      <c r="X149" s="8" t="s">
        <v>177</v>
      </c>
      <c r="Y149" s="8" t="s">
        <v>95</v>
      </c>
      <c r="Z149" s="8" t="s">
        <v>189</v>
      </c>
      <c r="AA149" s="8" t="b">
        <v>0</v>
      </c>
      <c r="AC149" s="8">
        <v>0</v>
      </c>
      <c r="AD149" s="8">
        <v>89</v>
      </c>
      <c r="AI149" s="8" t="s">
        <v>179</v>
      </c>
      <c r="AJ149" s="8" t="s">
        <v>88</v>
      </c>
      <c r="AK149" s="8" t="s">
        <v>601</v>
      </c>
      <c r="AL149" s="8" t="s">
        <v>88</v>
      </c>
      <c r="AM149" s="8" t="s">
        <v>88</v>
      </c>
      <c r="AN149" s="8" t="s">
        <v>88</v>
      </c>
      <c r="AP149" s="8" t="s">
        <v>602</v>
      </c>
      <c r="AQ149" s="8" t="s">
        <v>100</v>
      </c>
      <c r="AR149" s="8" t="s">
        <v>101</v>
      </c>
      <c r="AS149" s="8" t="s">
        <v>120</v>
      </c>
      <c r="AT149" s="8" t="s">
        <v>103</v>
      </c>
      <c r="AU149" s="8" t="s">
        <v>103</v>
      </c>
      <c r="AX149" s="8" t="s">
        <v>104</v>
      </c>
      <c r="AY149" s="8" t="s">
        <v>121</v>
      </c>
      <c r="AZ149" s="8" t="s">
        <v>100</v>
      </c>
      <c r="BA149" s="8" t="s">
        <v>101</v>
      </c>
      <c r="BB149" s="8" t="s">
        <v>102</v>
      </c>
      <c r="BC149" s="8" t="s">
        <v>103</v>
      </c>
      <c r="BD149" s="8" t="s">
        <v>103</v>
      </c>
      <c r="BF149" s="8" t="s">
        <v>107</v>
      </c>
      <c r="BG149" s="8">
        <v>16700</v>
      </c>
      <c r="BH149" s="8" t="s">
        <v>122</v>
      </c>
      <c r="BO149" s="8">
        <v>12</v>
      </c>
      <c r="BR149" s="8" t="s">
        <v>100</v>
      </c>
      <c r="BS149" s="8" t="s">
        <v>182</v>
      </c>
      <c r="BT149" s="8" t="s">
        <v>183</v>
      </c>
      <c r="BU149" s="8" t="s">
        <v>106</v>
      </c>
      <c r="BV149" s="8" t="s">
        <v>123</v>
      </c>
      <c r="BW149" s="8" t="s">
        <v>110</v>
      </c>
    </row>
    <row r="150" spans="1:75" s="8" customFormat="1" x14ac:dyDescent="0.35">
      <c r="A150" s="8" t="s">
        <v>603</v>
      </c>
      <c r="B150" s="9">
        <v>45990</v>
      </c>
      <c r="C150" s="10">
        <v>0.67383101851851857</v>
      </c>
      <c r="D150" s="8" t="s">
        <v>170</v>
      </c>
      <c r="E150" s="8" t="s">
        <v>171</v>
      </c>
      <c r="F150" s="11" t="s">
        <v>172</v>
      </c>
      <c r="G150" s="8">
        <f>COUNTIF($F$2:$F$350,F150)</f>
        <v>213</v>
      </c>
      <c r="H150" s="8" t="s">
        <v>115</v>
      </c>
      <c r="I150" s="8" t="s">
        <v>82</v>
      </c>
      <c r="J150" s="8" t="s">
        <v>83</v>
      </c>
      <c r="K150" s="8" t="s">
        <v>84</v>
      </c>
      <c r="M150" s="8" t="s">
        <v>85</v>
      </c>
      <c r="N150" s="8" t="s">
        <v>116</v>
      </c>
      <c r="O150" s="8" t="s">
        <v>87</v>
      </c>
      <c r="P150" s="8" t="s">
        <v>173</v>
      </c>
      <c r="Q150" s="8" t="s">
        <v>323</v>
      </c>
      <c r="R150" s="8" t="s">
        <v>324</v>
      </c>
      <c r="S150" s="8" t="s">
        <v>132</v>
      </c>
      <c r="T150" s="8" t="s">
        <v>133</v>
      </c>
      <c r="U150" s="8" t="s">
        <v>93</v>
      </c>
      <c r="V150" s="8" t="s">
        <v>22</v>
      </c>
      <c r="W150" s="8" t="s">
        <v>176</v>
      </c>
      <c r="X150" s="8" t="s">
        <v>177</v>
      </c>
      <c r="Y150" s="8" t="s">
        <v>95</v>
      </c>
      <c r="Z150" s="8" t="s">
        <v>189</v>
      </c>
      <c r="AA150" s="8" t="b">
        <v>0</v>
      </c>
      <c r="AC150" s="8">
        <v>0</v>
      </c>
      <c r="AD150" s="8">
        <v>116</v>
      </c>
      <c r="AI150" s="8" t="s">
        <v>179</v>
      </c>
      <c r="AJ150" s="8" t="s">
        <v>88</v>
      </c>
      <c r="AK150" s="8" t="s">
        <v>604</v>
      </c>
      <c r="AL150" s="8" t="s">
        <v>88</v>
      </c>
      <c r="AM150" s="8" t="s">
        <v>88</v>
      </c>
      <c r="AN150" s="8" t="s">
        <v>88</v>
      </c>
      <c r="AP150" s="8" t="s">
        <v>605</v>
      </c>
      <c r="AQ150" s="8" t="s">
        <v>100</v>
      </c>
      <c r="AR150" s="8" t="s">
        <v>101</v>
      </c>
      <c r="AS150" s="8" t="s">
        <v>120</v>
      </c>
      <c r="AT150" s="8" t="s">
        <v>103</v>
      </c>
      <c r="AU150" s="8" t="s">
        <v>103</v>
      </c>
      <c r="AX150" s="8" t="s">
        <v>104</v>
      </c>
      <c r="AY150" s="8" t="s">
        <v>121</v>
      </c>
      <c r="AZ150" s="8" t="s">
        <v>100</v>
      </c>
      <c r="BA150" s="8" t="s">
        <v>101</v>
      </c>
      <c r="BB150" s="8" t="s">
        <v>102</v>
      </c>
      <c r="BC150" s="8" t="s">
        <v>103</v>
      </c>
      <c r="BD150" s="8" t="s">
        <v>103</v>
      </c>
      <c r="BF150" s="8" t="s">
        <v>107</v>
      </c>
      <c r="BG150" s="8">
        <v>16700</v>
      </c>
      <c r="BH150" s="8" t="s">
        <v>122</v>
      </c>
      <c r="BO150" s="8">
        <v>12</v>
      </c>
      <c r="BR150" s="8" t="s">
        <v>100</v>
      </c>
      <c r="BS150" s="8" t="s">
        <v>182</v>
      </c>
      <c r="BT150" s="8" t="s">
        <v>183</v>
      </c>
      <c r="BU150" s="8" t="s">
        <v>106</v>
      </c>
      <c r="BV150" s="8" t="s">
        <v>123</v>
      </c>
      <c r="BW150" s="8" t="s">
        <v>110</v>
      </c>
    </row>
    <row r="151" spans="1:75" s="8" customFormat="1" x14ac:dyDescent="0.35">
      <c r="A151" s="8" t="s">
        <v>606</v>
      </c>
      <c r="B151" s="9">
        <v>45990</v>
      </c>
      <c r="C151" s="10">
        <v>0.67372685185185188</v>
      </c>
      <c r="D151" s="8" t="s">
        <v>170</v>
      </c>
      <c r="E151" s="8" t="s">
        <v>171</v>
      </c>
      <c r="F151" s="11" t="s">
        <v>172</v>
      </c>
      <c r="G151" s="8">
        <f>COUNTIF($F$2:$F$350,F151)</f>
        <v>213</v>
      </c>
      <c r="H151" s="8" t="s">
        <v>115</v>
      </c>
      <c r="I151" s="8" t="s">
        <v>82</v>
      </c>
      <c r="J151" s="8" t="s">
        <v>83</v>
      </c>
      <c r="K151" s="8" t="s">
        <v>84</v>
      </c>
      <c r="M151" s="8" t="s">
        <v>85</v>
      </c>
      <c r="N151" s="8" t="s">
        <v>116</v>
      </c>
      <c r="O151" s="8" t="s">
        <v>87</v>
      </c>
      <c r="P151" s="8" t="s">
        <v>173</v>
      </c>
      <c r="Q151" s="8" t="s">
        <v>328</v>
      </c>
      <c r="R151" s="8" t="s">
        <v>329</v>
      </c>
      <c r="S151" s="8" t="s">
        <v>328</v>
      </c>
      <c r="T151" s="8" t="s">
        <v>329</v>
      </c>
      <c r="U151" s="8" t="s">
        <v>93</v>
      </c>
      <c r="V151" s="8" t="s">
        <v>22</v>
      </c>
      <c r="W151" s="8" t="s">
        <v>176</v>
      </c>
      <c r="X151" s="8" t="s">
        <v>177</v>
      </c>
      <c r="Y151" s="8" t="s">
        <v>95</v>
      </c>
      <c r="Z151" s="8" t="s">
        <v>178</v>
      </c>
      <c r="AA151" s="8" t="b">
        <v>0</v>
      </c>
      <c r="AC151" s="8">
        <v>0</v>
      </c>
      <c r="AD151" s="8">
        <v>124</v>
      </c>
      <c r="AI151" s="8" t="s">
        <v>179</v>
      </c>
      <c r="AJ151" s="8" t="s">
        <v>88</v>
      </c>
      <c r="AK151" s="8" t="s">
        <v>607</v>
      </c>
      <c r="AL151" s="8" t="s">
        <v>88</v>
      </c>
      <c r="AM151" s="8" t="s">
        <v>88</v>
      </c>
      <c r="AN151" s="8" t="s">
        <v>88</v>
      </c>
      <c r="AP151" s="8" t="s">
        <v>608</v>
      </c>
      <c r="AQ151" s="8" t="s">
        <v>100</v>
      </c>
      <c r="AR151" s="8" t="s">
        <v>101</v>
      </c>
      <c r="AS151" s="8" t="s">
        <v>120</v>
      </c>
      <c r="AT151" s="8" t="s">
        <v>103</v>
      </c>
      <c r="AU151" s="8" t="s">
        <v>103</v>
      </c>
      <c r="AX151" s="8" t="s">
        <v>104</v>
      </c>
      <c r="AY151" s="8" t="s">
        <v>121</v>
      </c>
      <c r="AZ151" s="8" t="s">
        <v>100</v>
      </c>
      <c r="BA151" s="8" t="s">
        <v>101</v>
      </c>
      <c r="BB151" s="8" t="s">
        <v>102</v>
      </c>
      <c r="BC151" s="8" t="s">
        <v>103</v>
      </c>
      <c r="BD151" s="8" t="s">
        <v>103</v>
      </c>
      <c r="BF151" s="8" t="s">
        <v>107</v>
      </c>
      <c r="BG151" s="8">
        <v>16700</v>
      </c>
      <c r="BH151" s="8" t="s">
        <v>122</v>
      </c>
      <c r="BO151" s="8">
        <v>12</v>
      </c>
      <c r="BR151" s="8" t="s">
        <v>100</v>
      </c>
      <c r="BS151" s="8" t="s">
        <v>182</v>
      </c>
      <c r="BT151" s="8" t="s">
        <v>183</v>
      </c>
      <c r="BU151" s="8" t="s">
        <v>106</v>
      </c>
      <c r="BV151" s="8" t="s">
        <v>123</v>
      </c>
      <c r="BW151" s="8" t="s">
        <v>110</v>
      </c>
    </row>
    <row r="152" spans="1:75" s="8" customFormat="1" x14ac:dyDescent="0.35">
      <c r="A152" s="8" t="s">
        <v>609</v>
      </c>
      <c r="B152" s="9">
        <v>45990</v>
      </c>
      <c r="C152" s="10">
        <v>0.6607291666666667</v>
      </c>
      <c r="D152" s="8" t="s">
        <v>220</v>
      </c>
      <c r="E152" s="8" t="s">
        <v>221</v>
      </c>
      <c r="F152" s="11" t="s">
        <v>172</v>
      </c>
      <c r="G152" s="8">
        <f>COUNTIF($F$2:$F$350,F152)</f>
        <v>213</v>
      </c>
      <c r="H152" s="8" t="s">
        <v>115</v>
      </c>
      <c r="I152" s="8" t="s">
        <v>82</v>
      </c>
      <c r="J152" s="8" t="s">
        <v>83</v>
      </c>
      <c r="K152" s="8" t="s">
        <v>361</v>
      </c>
      <c r="L152" s="8">
        <v>50126</v>
      </c>
      <c r="M152" s="8" t="s">
        <v>85</v>
      </c>
      <c r="N152" s="8" t="s">
        <v>86</v>
      </c>
      <c r="O152" s="8" t="s">
        <v>87</v>
      </c>
      <c r="P152" s="8" t="s">
        <v>88</v>
      </c>
      <c r="Q152" s="8" t="s">
        <v>89</v>
      </c>
      <c r="R152" s="8" t="s">
        <v>90</v>
      </c>
      <c r="S152" s="8" t="s">
        <v>91</v>
      </c>
      <c r="T152" s="8" t="s">
        <v>92</v>
      </c>
      <c r="U152" s="8" t="s">
        <v>362</v>
      </c>
      <c r="V152" s="8" t="s">
        <v>22</v>
      </c>
      <c r="X152" s="8" t="s">
        <v>177</v>
      </c>
      <c r="Y152" s="8" t="s">
        <v>95</v>
      </c>
      <c r="Z152" s="8" t="s">
        <v>222</v>
      </c>
      <c r="AA152" s="8" t="b">
        <v>0</v>
      </c>
      <c r="AC152" s="8">
        <v>0</v>
      </c>
      <c r="AD152" s="8">
        <v>187</v>
      </c>
      <c r="AE152" s="8" t="s">
        <v>365</v>
      </c>
      <c r="AH152" s="8" t="s">
        <v>221</v>
      </c>
      <c r="AJ152" s="8" t="s">
        <v>88</v>
      </c>
      <c r="AK152" s="8" t="s">
        <v>610</v>
      </c>
      <c r="AL152" s="8" t="s">
        <v>88</v>
      </c>
      <c r="AM152" s="8" t="s">
        <v>88</v>
      </c>
      <c r="AN152" s="8" t="s">
        <v>88</v>
      </c>
      <c r="AP152" s="8" t="s">
        <v>611</v>
      </c>
      <c r="AQ152" s="8" t="s">
        <v>100</v>
      </c>
      <c r="AR152" s="8" t="s">
        <v>101</v>
      </c>
      <c r="AS152" s="8" t="s">
        <v>120</v>
      </c>
      <c r="AT152" s="8" t="s">
        <v>103</v>
      </c>
      <c r="AU152" s="8" t="s">
        <v>103</v>
      </c>
      <c r="AX152" s="8" t="s">
        <v>104</v>
      </c>
      <c r="AY152" s="8" t="s">
        <v>121</v>
      </c>
      <c r="AZ152" s="8" t="s">
        <v>100</v>
      </c>
      <c r="BA152" s="8" t="s">
        <v>101</v>
      </c>
      <c r="BB152" s="8" t="s">
        <v>102</v>
      </c>
      <c r="BC152" s="8" t="s">
        <v>103</v>
      </c>
      <c r="BD152" s="8" t="s">
        <v>103</v>
      </c>
      <c r="BF152" s="8" t="s">
        <v>107</v>
      </c>
      <c r="BG152" s="8">
        <v>16700</v>
      </c>
      <c r="BH152" s="8" t="s">
        <v>122</v>
      </c>
      <c r="BO152" s="8">
        <v>12</v>
      </c>
      <c r="BR152" s="8" t="s">
        <v>100</v>
      </c>
      <c r="BS152" s="8" t="s">
        <v>182</v>
      </c>
      <c r="BT152" s="8" t="s">
        <v>183</v>
      </c>
      <c r="BU152" s="8" t="s">
        <v>106</v>
      </c>
      <c r="BV152" s="8" t="s">
        <v>123</v>
      </c>
      <c r="BW152" s="8" t="s">
        <v>110</v>
      </c>
    </row>
    <row r="153" spans="1:75" s="8" customFormat="1" x14ac:dyDescent="0.35">
      <c r="A153" s="8" t="s">
        <v>612</v>
      </c>
      <c r="B153" s="9">
        <v>45990</v>
      </c>
      <c r="C153" s="10">
        <v>0.66057870370370375</v>
      </c>
      <c r="D153" s="8" t="s">
        <v>220</v>
      </c>
      <c r="E153" s="8" t="s">
        <v>221</v>
      </c>
      <c r="F153" s="11" t="s">
        <v>172</v>
      </c>
      <c r="G153" s="8">
        <f>COUNTIF($F$2:$F$350,F153)</f>
        <v>213</v>
      </c>
      <c r="H153" s="8" t="s">
        <v>115</v>
      </c>
      <c r="I153" s="8" t="s">
        <v>82</v>
      </c>
      <c r="J153" s="8" t="s">
        <v>83</v>
      </c>
      <c r="K153" s="8" t="s">
        <v>361</v>
      </c>
      <c r="L153" s="8">
        <v>50089</v>
      </c>
      <c r="M153" s="8" t="s">
        <v>85</v>
      </c>
      <c r="N153" s="8" t="s">
        <v>86</v>
      </c>
      <c r="O153" s="8" t="s">
        <v>87</v>
      </c>
      <c r="P153" s="8" t="s">
        <v>88</v>
      </c>
      <c r="Q153" s="8" t="s">
        <v>89</v>
      </c>
      <c r="R153" s="8" t="s">
        <v>90</v>
      </c>
      <c r="S153" s="8" t="s">
        <v>91</v>
      </c>
      <c r="T153" s="8" t="s">
        <v>92</v>
      </c>
      <c r="U153" s="8" t="s">
        <v>613</v>
      </c>
      <c r="V153" s="8" t="s">
        <v>22</v>
      </c>
      <c r="X153" s="8" t="s">
        <v>177</v>
      </c>
      <c r="Y153" s="8" t="s">
        <v>95</v>
      </c>
      <c r="Z153" s="8" t="s">
        <v>222</v>
      </c>
      <c r="AA153" s="8" t="b">
        <v>0</v>
      </c>
      <c r="AC153" s="8">
        <v>0</v>
      </c>
      <c r="AD153" s="8">
        <v>594</v>
      </c>
      <c r="AE153" s="8" t="s">
        <v>614</v>
      </c>
      <c r="AH153" s="8" t="s">
        <v>221</v>
      </c>
      <c r="AJ153" s="8" t="s">
        <v>88</v>
      </c>
      <c r="AK153" s="8" t="s">
        <v>615</v>
      </c>
      <c r="AL153" s="8" t="s">
        <v>88</v>
      </c>
      <c r="AM153" s="8" t="s">
        <v>88</v>
      </c>
      <c r="AN153" s="8" t="s">
        <v>88</v>
      </c>
      <c r="AP153" s="8" t="s">
        <v>611</v>
      </c>
      <c r="AQ153" s="8" t="s">
        <v>100</v>
      </c>
      <c r="AR153" s="8" t="s">
        <v>101</v>
      </c>
      <c r="AS153" s="8" t="s">
        <v>120</v>
      </c>
      <c r="AT153" s="8" t="s">
        <v>103</v>
      </c>
      <c r="AU153" s="8" t="s">
        <v>103</v>
      </c>
      <c r="AX153" s="8" t="s">
        <v>104</v>
      </c>
      <c r="AY153" s="8" t="s">
        <v>121</v>
      </c>
      <c r="AZ153" s="8" t="s">
        <v>100</v>
      </c>
      <c r="BA153" s="8" t="s">
        <v>101</v>
      </c>
      <c r="BB153" s="8" t="s">
        <v>102</v>
      </c>
      <c r="BC153" s="8" t="s">
        <v>103</v>
      </c>
      <c r="BD153" s="8" t="s">
        <v>103</v>
      </c>
      <c r="BF153" s="8" t="s">
        <v>107</v>
      </c>
      <c r="BG153" s="8">
        <v>16700</v>
      </c>
      <c r="BH153" s="8" t="s">
        <v>122</v>
      </c>
      <c r="BO153" s="8">
        <v>12</v>
      </c>
      <c r="BR153" s="8" t="s">
        <v>100</v>
      </c>
      <c r="BS153" s="8" t="s">
        <v>182</v>
      </c>
      <c r="BT153" s="8" t="s">
        <v>183</v>
      </c>
      <c r="BU153" s="8" t="s">
        <v>106</v>
      </c>
      <c r="BV153" s="8" t="s">
        <v>123</v>
      </c>
      <c r="BW153" s="8" t="s">
        <v>110</v>
      </c>
    </row>
    <row r="154" spans="1:75" s="8" customFormat="1" x14ac:dyDescent="0.35">
      <c r="A154" s="8" t="s">
        <v>616</v>
      </c>
      <c r="B154" s="9">
        <v>45990</v>
      </c>
      <c r="C154" s="10">
        <v>0.65409722222222222</v>
      </c>
      <c r="D154" s="8" t="s">
        <v>170</v>
      </c>
      <c r="E154" s="8" t="s">
        <v>171</v>
      </c>
      <c r="F154" s="11" t="s">
        <v>172</v>
      </c>
      <c r="G154" s="8">
        <f>COUNTIF($F$2:$F$350,F154)</f>
        <v>213</v>
      </c>
      <c r="H154" s="8" t="s">
        <v>115</v>
      </c>
      <c r="I154" s="8" t="s">
        <v>82</v>
      </c>
      <c r="J154" s="8" t="s">
        <v>83</v>
      </c>
      <c r="K154" s="8" t="s">
        <v>84</v>
      </c>
      <c r="M154" s="8" t="s">
        <v>85</v>
      </c>
      <c r="N154" s="8" t="s">
        <v>116</v>
      </c>
      <c r="O154" s="8" t="s">
        <v>87</v>
      </c>
      <c r="P154" s="8" t="s">
        <v>173</v>
      </c>
      <c r="Q154" s="8" t="s">
        <v>185</v>
      </c>
      <c r="R154" s="8" t="s">
        <v>186</v>
      </c>
      <c r="S154" s="8" t="s">
        <v>132</v>
      </c>
      <c r="T154" s="8" t="s">
        <v>133</v>
      </c>
      <c r="U154" s="8" t="s">
        <v>93</v>
      </c>
      <c r="V154" s="8" t="s">
        <v>22</v>
      </c>
      <c r="W154" s="8" t="s">
        <v>176</v>
      </c>
      <c r="X154" s="8" t="s">
        <v>177</v>
      </c>
      <c r="Y154" s="8" t="s">
        <v>95</v>
      </c>
      <c r="Z154" s="8" t="s">
        <v>189</v>
      </c>
      <c r="AA154" s="8" t="b">
        <v>0</v>
      </c>
      <c r="AC154" s="8">
        <v>0</v>
      </c>
      <c r="AD154" s="8">
        <v>142</v>
      </c>
      <c r="AI154" s="8" t="s">
        <v>179</v>
      </c>
      <c r="AJ154" s="8" t="s">
        <v>88</v>
      </c>
      <c r="AK154" s="8" t="s">
        <v>617</v>
      </c>
      <c r="AL154" s="8" t="s">
        <v>88</v>
      </c>
      <c r="AM154" s="8" t="s">
        <v>88</v>
      </c>
      <c r="AN154" s="8" t="s">
        <v>88</v>
      </c>
      <c r="AP154" s="8" t="s">
        <v>618</v>
      </c>
      <c r="AQ154" s="8" t="s">
        <v>100</v>
      </c>
      <c r="AR154" s="8" t="s">
        <v>101</v>
      </c>
      <c r="AS154" s="8" t="s">
        <v>120</v>
      </c>
      <c r="AT154" s="8" t="s">
        <v>103</v>
      </c>
      <c r="AU154" s="8" t="s">
        <v>103</v>
      </c>
      <c r="AX154" s="8" t="s">
        <v>104</v>
      </c>
      <c r="AY154" s="8" t="s">
        <v>121</v>
      </c>
      <c r="AZ154" s="8" t="s">
        <v>100</v>
      </c>
      <c r="BA154" s="8" t="s">
        <v>101</v>
      </c>
      <c r="BB154" s="8" t="s">
        <v>102</v>
      </c>
      <c r="BC154" s="8" t="s">
        <v>103</v>
      </c>
      <c r="BD154" s="8" t="s">
        <v>103</v>
      </c>
      <c r="BF154" s="8" t="s">
        <v>107</v>
      </c>
      <c r="BG154" s="8">
        <v>16700</v>
      </c>
      <c r="BH154" s="8" t="s">
        <v>122</v>
      </c>
      <c r="BO154" s="8">
        <v>12</v>
      </c>
      <c r="BR154" s="8" t="s">
        <v>100</v>
      </c>
      <c r="BS154" s="8" t="s">
        <v>182</v>
      </c>
      <c r="BT154" s="8" t="s">
        <v>183</v>
      </c>
      <c r="BU154" s="8" t="s">
        <v>106</v>
      </c>
      <c r="BV154" s="8" t="s">
        <v>123</v>
      </c>
      <c r="BW154" s="8" t="s">
        <v>110</v>
      </c>
    </row>
    <row r="155" spans="1:75" s="8" customFormat="1" x14ac:dyDescent="0.35">
      <c r="A155" s="8" t="s">
        <v>616</v>
      </c>
      <c r="B155" s="9">
        <v>45990</v>
      </c>
      <c r="C155" s="10">
        <v>0.65409722222222222</v>
      </c>
      <c r="D155" s="8" t="s">
        <v>170</v>
      </c>
      <c r="E155" s="8" t="s">
        <v>171</v>
      </c>
      <c r="F155" s="11" t="s">
        <v>172</v>
      </c>
      <c r="G155" s="8">
        <f>COUNTIF($F$2:$F$350,F155)</f>
        <v>213</v>
      </c>
      <c r="H155" s="8" t="s">
        <v>115</v>
      </c>
      <c r="I155" s="8" t="s">
        <v>82</v>
      </c>
      <c r="J155" s="8" t="s">
        <v>83</v>
      </c>
      <c r="K155" s="8" t="s">
        <v>84</v>
      </c>
      <c r="M155" s="8" t="s">
        <v>85</v>
      </c>
      <c r="N155" s="8" t="s">
        <v>116</v>
      </c>
      <c r="O155" s="8" t="s">
        <v>87</v>
      </c>
      <c r="P155" s="8" t="s">
        <v>173</v>
      </c>
      <c r="Q155" s="8" t="s">
        <v>185</v>
      </c>
      <c r="R155" s="8" t="s">
        <v>186</v>
      </c>
      <c r="S155" s="8" t="s">
        <v>132</v>
      </c>
      <c r="T155" s="8" t="s">
        <v>133</v>
      </c>
      <c r="U155" s="8" t="s">
        <v>93</v>
      </c>
      <c r="V155" s="8" t="s">
        <v>22</v>
      </c>
      <c r="W155" s="8" t="s">
        <v>176</v>
      </c>
      <c r="X155" s="8" t="s">
        <v>177</v>
      </c>
      <c r="Y155" s="8" t="s">
        <v>95</v>
      </c>
      <c r="Z155" s="8" t="s">
        <v>189</v>
      </c>
      <c r="AA155" s="8" t="b">
        <v>0</v>
      </c>
      <c r="AC155" s="8">
        <v>0</v>
      </c>
      <c r="AD155" s="8">
        <v>119</v>
      </c>
      <c r="AI155" s="8" t="s">
        <v>179</v>
      </c>
      <c r="AJ155" s="8" t="s">
        <v>88</v>
      </c>
      <c r="AK155" s="8" t="s">
        <v>619</v>
      </c>
      <c r="AL155" s="8" t="s">
        <v>88</v>
      </c>
      <c r="AM155" s="8" t="s">
        <v>88</v>
      </c>
      <c r="AN155" s="8" t="s">
        <v>88</v>
      </c>
      <c r="AP155" s="8" t="s">
        <v>620</v>
      </c>
      <c r="AQ155" s="8" t="s">
        <v>100</v>
      </c>
      <c r="AR155" s="8" t="s">
        <v>101</v>
      </c>
      <c r="AS155" s="8" t="s">
        <v>120</v>
      </c>
      <c r="AT155" s="8" t="s">
        <v>103</v>
      </c>
      <c r="AU155" s="8" t="s">
        <v>103</v>
      </c>
      <c r="AX155" s="8" t="s">
        <v>104</v>
      </c>
      <c r="AY155" s="8" t="s">
        <v>121</v>
      </c>
      <c r="AZ155" s="8" t="s">
        <v>100</v>
      </c>
      <c r="BA155" s="8" t="s">
        <v>101</v>
      </c>
      <c r="BB155" s="8" t="s">
        <v>102</v>
      </c>
      <c r="BC155" s="8" t="s">
        <v>103</v>
      </c>
      <c r="BD155" s="8" t="s">
        <v>103</v>
      </c>
      <c r="BF155" s="8" t="s">
        <v>107</v>
      </c>
      <c r="BG155" s="8">
        <v>16700</v>
      </c>
      <c r="BH155" s="8" t="s">
        <v>122</v>
      </c>
      <c r="BO155" s="8">
        <v>12</v>
      </c>
      <c r="BR155" s="8" t="s">
        <v>100</v>
      </c>
      <c r="BS155" s="8" t="s">
        <v>182</v>
      </c>
      <c r="BT155" s="8" t="s">
        <v>183</v>
      </c>
      <c r="BU155" s="8" t="s">
        <v>106</v>
      </c>
      <c r="BV155" s="8" t="s">
        <v>123</v>
      </c>
      <c r="BW155" s="8" t="s">
        <v>110</v>
      </c>
    </row>
    <row r="156" spans="1:75" s="8" customFormat="1" x14ac:dyDescent="0.35">
      <c r="A156" s="8" t="s">
        <v>616</v>
      </c>
      <c r="B156" s="9">
        <v>45990</v>
      </c>
      <c r="C156" s="10">
        <v>0.65409722222222222</v>
      </c>
      <c r="D156" s="8" t="s">
        <v>170</v>
      </c>
      <c r="E156" s="8" t="s">
        <v>171</v>
      </c>
      <c r="F156" s="11" t="s">
        <v>172</v>
      </c>
      <c r="G156" s="8">
        <f>COUNTIF($F$2:$F$350,F156)</f>
        <v>213</v>
      </c>
      <c r="H156" s="8" t="s">
        <v>115</v>
      </c>
      <c r="I156" s="8" t="s">
        <v>82</v>
      </c>
      <c r="J156" s="8" t="s">
        <v>83</v>
      </c>
      <c r="K156" s="8" t="s">
        <v>84</v>
      </c>
      <c r="M156" s="8" t="s">
        <v>85</v>
      </c>
      <c r="N156" s="8" t="s">
        <v>116</v>
      </c>
      <c r="O156" s="8" t="s">
        <v>87</v>
      </c>
      <c r="P156" s="8" t="s">
        <v>173</v>
      </c>
      <c r="Q156" s="8" t="s">
        <v>185</v>
      </c>
      <c r="R156" s="8" t="s">
        <v>186</v>
      </c>
      <c r="S156" s="8" t="s">
        <v>187</v>
      </c>
      <c r="T156" s="8" t="s">
        <v>188</v>
      </c>
      <c r="U156" s="8" t="s">
        <v>93</v>
      </c>
      <c r="V156" s="8" t="s">
        <v>22</v>
      </c>
      <c r="W156" s="8" t="s">
        <v>176</v>
      </c>
      <c r="X156" s="8" t="s">
        <v>177</v>
      </c>
      <c r="Y156" s="8" t="s">
        <v>95</v>
      </c>
      <c r="Z156" s="8" t="s">
        <v>189</v>
      </c>
      <c r="AA156" s="8" t="b">
        <v>0</v>
      </c>
      <c r="AC156" s="8">
        <v>0</v>
      </c>
      <c r="AD156" s="8">
        <v>101</v>
      </c>
      <c r="AI156" s="8" t="s">
        <v>179</v>
      </c>
      <c r="AJ156" s="8" t="s">
        <v>88</v>
      </c>
      <c r="AK156" s="8" t="s">
        <v>621</v>
      </c>
      <c r="AL156" s="8" t="s">
        <v>88</v>
      </c>
      <c r="AM156" s="8" t="s">
        <v>88</v>
      </c>
      <c r="AN156" s="8" t="s">
        <v>88</v>
      </c>
      <c r="AP156" s="8" t="s">
        <v>622</v>
      </c>
      <c r="AQ156" s="8" t="s">
        <v>100</v>
      </c>
      <c r="AR156" s="8" t="s">
        <v>101</v>
      </c>
      <c r="AS156" s="8" t="s">
        <v>120</v>
      </c>
      <c r="AT156" s="8" t="s">
        <v>103</v>
      </c>
      <c r="AU156" s="8" t="s">
        <v>103</v>
      </c>
      <c r="AX156" s="8" t="s">
        <v>104</v>
      </c>
      <c r="AY156" s="8" t="s">
        <v>121</v>
      </c>
      <c r="AZ156" s="8" t="s">
        <v>100</v>
      </c>
      <c r="BA156" s="8" t="s">
        <v>101</v>
      </c>
      <c r="BB156" s="8" t="s">
        <v>102</v>
      </c>
      <c r="BC156" s="8" t="s">
        <v>103</v>
      </c>
      <c r="BD156" s="8" t="s">
        <v>103</v>
      </c>
      <c r="BF156" s="8" t="s">
        <v>107</v>
      </c>
      <c r="BG156" s="8">
        <v>16700</v>
      </c>
      <c r="BH156" s="8" t="s">
        <v>122</v>
      </c>
      <c r="BO156" s="8">
        <v>12</v>
      </c>
      <c r="BR156" s="8" t="s">
        <v>100</v>
      </c>
      <c r="BS156" s="8" t="s">
        <v>182</v>
      </c>
      <c r="BT156" s="8" t="s">
        <v>183</v>
      </c>
      <c r="BU156" s="8" t="s">
        <v>106</v>
      </c>
      <c r="BV156" s="8" t="s">
        <v>123</v>
      </c>
      <c r="BW156" s="8" t="s">
        <v>110</v>
      </c>
    </row>
    <row r="157" spans="1:75" s="8" customFormat="1" x14ac:dyDescent="0.35">
      <c r="A157" s="8" t="s">
        <v>623</v>
      </c>
      <c r="B157" s="9">
        <v>45990</v>
      </c>
      <c r="C157" s="10">
        <v>0.65405092592592595</v>
      </c>
      <c r="D157" s="8" t="s">
        <v>170</v>
      </c>
      <c r="E157" s="8" t="s">
        <v>171</v>
      </c>
      <c r="F157" s="11" t="s">
        <v>172</v>
      </c>
      <c r="G157" s="8">
        <f>COUNTIF($F$2:$F$350,F157)</f>
        <v>213</v>
      </c>
      <c r="H157" s="8" t="s">
        <v>115</v>
      </c>
      <c r="I157" s="8" t="s">
        <v>82</v>
      </c>
      <c r="J157" s="8" t="s">
        <v>83</v>
      </c>
      <c r="K157" s="8" t="s">
        <v>84</v>
      </c>
      <c r="M157" s="8" t="s">
        <v>85</v>
      </c>
      <c r="N157" s="8" t="s">
        <v>116</v>
      </c>
      <c r="O157" s="8" t="s">
        <v>87</v>
      </c>
      <c r="P157" s="8" t="s">
        <v>173</v>
      </c>
      <c r="Q157" s="8" t="s">
        <v>211</v>
      </c>
      <c r="R157" s="8" t="s">
        <v>212</v>
      </c>
      <c r="S157" s="8" t="s">
        <v>132</v>
      </c>
      <c r="T157" s="8" t="s">
        <v>133</v>
      </c>
      <c r="U157" s="8" t="s">
        <v>93</v>
      </c>
      <c r="V157" s="8" t="s">
        <v>22</v>
      </c>
      <c r="W157" s="8" t="s">
        <v>176</v>
      </c>
      <c r="X157" s="8" t="s">
        <v>177</v>
      </c>
      <c r="Y157" s="8" t="s">
        <v>95</v>
      </c>
      <c r="Z157" s="8" t="s">
        <v>178</v>
      </c>
      <c r="AA157" s="8" t="b">
        <v>0</v>
      </c>
      <c r="AC157" s="8">
        <v>0</v>
      </c>
      <c r="AD157" s="8">
        <v>158</v>
      </c>
      <c r="AI157" s="8" t="s">
        <v>179</v>
      </c>
      <c r="AJ157" s="8" t="s">
        <v>88</v>
      </c>
      <c r="AK157" s="8" t="s">
        <v>624</v>
      </c>
      <c r="AL157" s="8" t="s">
        <v>88</v>
      </c>
      <c r="AM157" s="8" t="s">
        <v>88</v>
      </c>
      <c r="AN157" s="8" t="s">
        <v>88</v>
      </c>
      <c r="AP157" s="8" t="s">
        <v>625</v>
      </c>
      <c r="AQ157" s="8" t="s">
        <v>100</v>
      </c>
      <c r="AR157" s="8" t="s">
        <v>101</v>
      </c>
      <c r="AS157" s="8" t="s">
        <v>120</v>
      </c>
      <c r="AT157" s="8" t="s">
        <v>103</v>
      </c>
      <c r="AU157" s="8" t="s">
        <v>103</v>
      </c>
      <c r="AX157" s="8" t="s">
        <v>104</v>
      </c>
      <c r="AY157" s="8" t="s">
        <v>121</v>
      </c>
      <c r="AZ157" s="8" t="s">
        <v>100</v>
      </c>
      <c r="BA157" s="8" t="s">
        <v>101</v>
      </c>
      <c r="BB157" s="8" t="s">
        <v>102</v>
      </c>
      <c r="BC157" s="8" t="s">
        <v>103</v>
      </c>
      <c r="BD157" s="8" t="s">
        <v>103</v>
      </c>
      <c r="BF157" s="8" t="s">
        <v>107</v>
      </c>
      <c r="BG157" s="8">
        <v>16700</v>
      </c>
      <c r="BH157" s="8" t="s">
        <v>122</v>
      </c>
      <c r="BO157" s="8">
        <v>12</v>
      </c>
      <c r="BR157" s="8" t="s">
        <v>100</v>
      </c>
      <c r="BS157" s="8" t="s">
        <v>182</v>
      </c>
      <c r="BT157" s="8" t="s">
        <v>183</v>
      </c>
      <c r="BU157" s="8" t="s">
        <v>106</v>
      </c>
      <c r="BV157" s="8" t="s">
        <v>123</v>
      </c>
      <c r="BW157" s="8" t="s">
        <v>110</v>
      </c>
    </row>
    <row r="158" spans="1:75" s="8" customFormat="1" x14ac:dyDescent="0.35">
      <c r="A158" s="8" t="s">
        <v>626</v>
      </c>
      <c r="B158" s="9">
        <v>45990</v>
      </c>
      <c r="C158" s="10">
        <v>0.65402777777777776</v>
      </c>
      <c r="D158" s="8" t="s">
        <v>170</v>
      </c>
      <c r="E158" s="8" t="s">
        <v>171</v>
      </c>
      <c r="F158" s="11" t="s">
        <v>172</v>
      </c>
      <c r="G158" s="8">
        <f>COUNTIF($F$2:$F$350,F158)</f>
        <v>213</v>
      </c>
      <c r="H158" s="8" t="s">
        <v>115</v>
      </c>
      <c r="I158" s="8" t="s">
        <v>82</v>
      </c>
      <c r="J158" s="8" t="s">
        <v>83</v>
      </c>
      <c r="K158" s="8" t="s">
        <v>84</v>
      </c>
      <c r="M158" s="8" t="s">
        <v>85</v>
      </c>
      <c r="N158" s="8" t="s">
        <v>116</v>
      </c>
      <c r="O158" s="8" t="s">
        <v>87</v>
      </c>
      <c r="P158" s="8" t="s">
        <v>173</v>
      </c>
      <c r="Q158" s="8" t="s">
        <v>211</v>
      </c>
      <c r="R158" s="8" t="s">
        <v>212</v>
      </c>
      <c r="S158" s="8" t="s">
        <v>132</v>
      </c>
      <c r="T158" s="8" t="s">
        <v>133</v>
      </c>
      <c r="U158" s="8" t="s">
        <v>93</v>
      </c>
      <c r="V158" s="8" t="s">
        <v>22</v>
      </c>
      <c r="W158" s="8" t="s">
        <v>176</v>
      </c>
      <c r="X158" s="8" t="s">
        <v>177</v>
      </c>
      <c r="Y158" s="8" t="s">
        <v>95</v>
      </c>
      <c r="Z158" s="8" t="s">
        <v>189</v>
      </c>
      <c r="AA158" s="8" t="b">
        <v>0</v>
      </c>
      <c r="AC158" s="8">
        <v>0</v>
      </c>
      <c r="AD158" s="8">
        <v>110</v>
      </c>
      <c r="AI158" s="8" t="s">
        <v>179</v>
      </c>
      <c r="AJ158" s="8" t="s">
        <v>88</v>
      </c>
      <c r="AK158" s="8" t="s">
        <v>627</v>
      </c>
      <c r="AL158" s="8" t="s">
        <v>88</v>
      </c>
      <c r="AM158" s="8" t="s">
        <v>88</v>
      </c>
      <c r="AN158" s="8" t="s">
        <v>88</v>
      </c>
      <c r="AP158" s="8" t="s">
        <v>628</v>
      </c>
      <c r="AQ158" s="8" t="s">
        <v>100</v>
      </c>
      <c r="AR158" s="8" t="s">
        <v>101</v>
      </c>
      <c r="AS158" s="8" t="s">
        <v>120</v>
      </c>
      <c r="AT158" s="8" t="s">
        <v>103</v>
      </c>
      <c r="AU158" s="8" t="s">
        <v>103</v>
      </c>
      <c r="AX158" s="8" t="s">
        <v>104</v>
      </c>
      <c r="AY158" s="8" t="s">
        <v>121</v>
      </c>
      <c r="AZ158" s="8" t="s">
        <v>100</v>
      </c>
      <c r="BA158" s="8" t="s">
        <v>101</v>
      </c>
      <c r="BB158" s="8" t="s">
        <v>102</v>
      </c>
      <c r="BC158" s="8" t="s">
        <v>103</v>
      </c>
      <c r="BD158" s="8" t="s">
        <v>103</v>
      </c>
      <c r="BF158" s="8" t="s">
        <v>107</v>
      </c>
      <c r="BG158" s="8">
        <v>16700</v>
      </c>
      <c r="BH158" s="8" t="s">
        <v>122</v>
      </c>
      <c r="BO158" s="8">
        <v>12</v>
      </c>
      <c r="BR158" s="8" t="s">
        <v>100</v>
      </c>
      <c r="BS158" s="8" t="s">
        <v>182</v>
      </c>
      <c r="BT158" s="8" t="s">
        <v>183</v>
      </c>
      <c r="BU158" s="8" t="s">
        <v>106</v>
      </c>
      <c r="BV158" s="8" t="s">
        <v>123</v>
      </c>
      <c r="BW158" s="8" t="s">
        <v>110</v>
      </c>
    </row>
    <row r="159" spans="1:75" x14ac:dyDescent="0.35">
      <c r="A159" t="s">
        <v>629</v>
      </c>
      <c r="B159" s="1">
        <v>45990</v>
      </c>
      <c r="C159" s="2">
        <v>0.63304398148148155</v>
      </c>
      <c r="D159" t="s">
        <v>125</v>
      </c>
      <c r="E159" t="s">
        <v>126</v>
      </c>
      <c r="F159" t="s">
        <v>630</v>
      </c>
      <c r="G159">
        <f>COUNTIF($F$2:$F$350,F159)</f>
        <v>5</v>
      </c>
      <c r="H159" t="s">
        <v>631</v>
      </c>
      <c r="I159" t="s">
        <v>632</v>
      </c>
      <c r="J159" t="s">
        <v>83</v>
      </c>
      <c r="K159" t="s">
        <v>84</v>
      </c>
      <c r="M159" t="s">
        <v>85</v>
      </c>
      <c r="N159" t="s">
        <v>116</v>
      </c>
      <c r="O159" t="s">
        <v>87</v>
      </c>
      <c r="P159" t="s">
        <v>88</v>
      </c>
      <c r="Q159" t="s">
        <v>130</v>
      </c>
      <c r="R159" t="s">
        <v>131</v>
      </c>
      <c r="S159" t="s">
        <v>132</v>
      </c>
      <c r="T159" t="s">
        <v>133</v>
      </c>
      <c r="U159" t="s">
        <v>93</v>
      </c>
      <c r="V159" t="s">
        <v>22</v>
      </c>
      <c r="X159" t="s">
        <v>94</v>
      </c>
      <c r="Y159" t="s">
        <v>95</v>
      </c>
      <c r="Z159" t="s">
        <v>96</v>
      </c>
      <c r="AA159" t="b">
        <v>0</v>
      </c>
      <c r="AC159">
        <v>0</v>
      </c>
      <c r="AD159">
        <v>80</v>
      </c>
      <c r="AI159" t="s">
        <v>633</v>
      </c>
      <c r="AJ159" t="s">
        <v>88</v>
      </c>
      <c r="AK159" t="s">
        <v>634</v>
      </c>
      <c r="AL159" t="s">
        <v>88</v>
      </c>
      <c r="AM159" t="s">
        <v>88</v>
      </c>
      <c r="AN159" t="s">
        <v>88</v>
      </c>
      <c r="AO159">
        <v>1002</v>
      </c>
      <c r="AP159" t="s">
        <v>635</v>
      </c>
      <c r="AQ159" t="s">
        <v>100</v>
      </c>
      <c r="AR159" t="s">
        <v>636</v>
      </c>
      <c r="AS159" t="s">
        <v>637</v>
      </c>
      <c r="AT159" t="s">
        <v>638</v>
      </c>
      <c r="AU159" t="s">
        <v>638</v>
      </c>
      <c r="AX159" t="s">
        <v>639</v>
      </c>
      <c r="AY159" t="s">
        <v>640</v>
      </c>
      <c r="AZ159" t="s">
        <v>100</v>
      </c>
      <c r="BA159" t="s">
        <v>636</v>
      </c>
      <c r="BB159" t="s">
        <v>637</v>
      </c>
      <c r="BC159" t="s">
        <v>638</v>
      </c>
      <c r="BD159" t="s">
        <v>638</v>
      </c>
      <c r="BF159" t="s">
        <v>641</v>
      </c>
      <c r="BG159">
        <v>11426</v>
      </c>
      <c r="BH159" t="s">
        <v>642</v>
      </c>
      <c r="BO159">
        <v>3</v>
      </c>
      <c r="BR159" t="s">
        <v>100</v>
      </c>
      <c r="BS159" t="s">
        <v>643</v>
      </c>
      <c r="BT159" t="s">
        <v>637</v>
      </c>
      <c r="BU159" t="s">
        <v>638</v>
      </c>
      <c r="BV159" t="s">
        <v>644</v>
      </c>
      <c r="BW159" t="s">
        <v>110</v>
      </c>
    </row>
    <row r="160" spans="1:75" x14ac:dyDescent="0.35">
      <c r="A160" t="s">
        <v>645</v>
      </c>
      <c r="B160" s="1">
        <v>45990</v>
      </c>
      <c r="C160" s="2">
        <v>0.63299768518518518</v>
      </c>
      <c r="D160" t="s">
        <v>125</v>
      </c>
      <c r="E160" t="s">
        <v>126</v>
      </c>
      <c r="F160" t="s">
        <v>630</v>
      </c>
      <c r="G160">
        <f>COUNTIF($F$2:$F$350,F160)</f>
        <v>5</v>
      </c>
      <c r="H160" t="s">
        <v>631</v>
      </c>
      <c r="I160" t="s">
        <v>632</v>
      </c>
      <c r="J160" t="s">
        <v>83</v>
      </c>
      <c r="K160" t="s">
        <v>84</v>
      </c>
      <c r="M160" t="s">
        <v>85</v>
      </c>
      <c r="N160" t="s">
        <v>116</v>
      </c>
      <c r="O160" t="s">
        <v>87</v>
      </c>
      <c r="P160" t="s">
        <v>88</v>
      </c>
      <c r="Q160" t="s">
        <v>148</v>
      </c>
      <c r="R160" t="s">
        <v>149</v>
      </c>
      <c r="S160" t="s">
        <v>150</v>
      </c>
      <c r="T160" t="s">
        <v>151</v>
      </c>
      <c r="U160" t="s">
        <v>93</v>
      </c>
      <c r="V160" t="s">
        <v>22</v>
      </c>
      <c r="X160" t="s">
        <v>94</v>
      </c>
      <c r="Y160" t="s">
        <v>95</v>
      </c>
      <c r="Z160" t="s">
        <v>96</v>
      </c>
      <c r="AA160" t="b">
        <v>0</v>
      </c>
      <c r="AC160">
        <v>0</v>
      </c>
      <c r="AD160">
        <v>76</v>
      </c>
      <c r="AI160" t="s">
        <v>633</v>
      </c>
      <c r="AJ160" t="s">
        <v>88</v>
      </c>
      <c r="AK160" t="s">
        <v>646</v>
      </c>
      <c r="AL160" t="s">
        <v>88</v>
      </c>
      <c r="AM160" t="s">
        <v>88</v>
      </c>
      <c r="AN160" t="s">
        <v>88</v>
      </c>
      <c r="AO160">
        <v>1002</v>
      </c>
      <c r="AP160" t="s">
        <v>647</v>
      </c>
      <c r="AQ160" t="s">
        <v>100</v>
      </c>
      <c r="AR160" t="s">
        <v>636</v>
      </c>
      <c r="AS160" t="s">
        <v>637</v>
      </c>
      <c r="AT160" t="s">
        <v>638</v>
      </c>
      <c r="AU160" t="s">
        <v>638</v>
      </c>
      <c r="AX160" t="s">
        <v>639</v>
      </c>
      <c r="AY160" t="s">
        <v>640</v>
      </c>
      <c r="AZ160" t="s">
        <v>100</v>
      </c>
      <c r="BA160" t="s">
        <v>636</v>
      </c>
      <c r="BB160" t="s">
        <v>637</v>
      </c>
      <c r="BC160" t="s">
        <v>638</v>
      </c>
      <c r="BD160" t="s">
        <v>638</v>
      </c>
      <c r="BF160" t="s">
        <v>641</v>
      </c>
      <c r="BG160">
        <v>11426</v>
      </c>
      <c r="BH160" t="s">
        <v>642</v>
      </c>
      <c r="BO160">
        <v>3</v>
      </c>
      <c r="BR160" t="s">
        <v>100</v>
      </c>
      <c r="BS160" t="s">
        <v>643</v>
      </c>
      <c r="BT160" t="s">
        <v>637</v>
      </c>
      <c r="BU160" t="s">
        <v>638</v>
      </c>
      <c r="BV160" t="s">
        <v>644</v>
      </c>
      <c r="BW160" t="s">
        <v>110</v>
      </c>
    </row>
    <row r="161" spans="1:75" x14ac:dyDescent="0.35">
      <c r="A161" t="s">
        <v>648</v>
      </c>
      <c r="B161" s="1">
        <v>45990</v>
      </c>
      <c r="C161" s="2">
        <v>0.63274305555555554</v>
      </c>
      <c r="D161" t="s">
        <v>125</v>
      </c>
      <c r="E161" t="s">
        <v>126</v>
      </c>
      <c r="F161" t="s">
        <v>630</v>
      </c>
      <c r="G161">
        <f>COUNTIF($F$2:$F$350,F161)</f>
        <v>5</v>
      </c>
      <c r="H161" t="s">
        <v>631</v>
      </c>
      <c r="I161" t="s">
        <v>632</v>
      </c>
      <c r="J161" t="s">
        <v>83</v>
      </c>
      <c r="K161" t="s">
        <v>84</v>
      </c>
      <c r="M161" t="s">
        <v>85</v>
      </c>
      <c r="N161" t="s">
        <v>116</v>
      </c>
      <c r="O161" t="s">
        <v>87</v>
      </c>
      <c r="P161" t="s">
        <v>88</v>
      </c>
      <c r="Q161" t="s">
        <v>155</v>
      </c>
      <c r="R161" t="s">
        <v>156</v>
      </c>
      <c r="S161" t="s">
        <v>155</v>
      </c>
      <c r="T161" t="s">
        <v>156</v>
      </c>
      <c r="U161" t="s">
        <v>93</v>
      </c>
      <c r="V161" t="s">
        <v>22</v>
      </c>
      <c r="X161" t="s">
        <v>94</v>
      </c>
      <c r="Y161" t="s">
        <v>95</v>
      </c>
      <c r="Z161" t="s">
        <v>96</v>
      </c>
      <c r="AA161" t="b">
        <v>0</v>
      </c>
      <c r="AC161">
        <v>0</v>
      </c>
      <c r="AD161">
        <v>96</v>
      </c>
      <c r="AI161" t="s">
        <v>633</v>
      </c>
      <c r="AJ161" t="s">
        <v>88</v>
      </c>
      <c r="AK161" t="s">
        <v>649</v>
      </c>
      <c r="AL161" t="s">
        <v>88</v>
      </c>
      <c r="AM161" t="s">
        <v>88</v>
      </c>
      <c r="AN161" t="s">
        <v>88</v>
      </c>
      <c r="AO161">
        <v>1002</v>
      </c>
      <c r="AP161" t="s">
        <v>650</v>
      </c>
      <c r="AQ161" t="s">
        <v>100</v>
      </c>
      <c r="AR161" t="s">
        <v>636</v>
      </c>
      <c r="AS161" t="s">
        <v>637</v>
      </c>
      <c r="AT161" t="s">
        <v>638</v>
      </c>
      <c r="AU161" t="s">
        <v>638</v>
      </c>
      <c r="AX161" t="s">
        <v>639</v>
      </c>
      <c r="AY161" t="s">
        <v>640</v>
      </c>
      <c r="AZ161" t="s">
        <v>100</v>
      </c>
      <c r="BA161" t="s">
        <v>636</v>
      </c>
      <c r="BB161" t="s">
        <v>637</v>
      </c>
      <c r="BC161" t="s">
        <v>638</v>
      </c>
      <c r="BD161" t="s">
        <v>638</v>
      </c>
      <c r="BF161" t="s">
        <v>641</v>
      </c>
      <c r="BG161">
        <v>11426</v>
      </c>
      <c r="BH161" t="s">
        <v>642</v>
      </c>
      <c r="BO161">
        <v>3</v>
      </c>
      <c r="BR161" t="s">
        <v>100</v>
      </c>
      <c r="BS161" t="s">
        <v>643</v>
      </c>
      <c r="BT161" t="s">
        <v>637</v>
      </c>
      <c r="BU161" t="s">
        <v>638</v>
      </c>
      <c r="BV161" t="s">
        <v>644</v>
      </c>
      <c r="BW161" t="s">
        <v>110</v>
      </c>
    </row>
    <row r="162" spans="1:75" x14ac:dyDescent="0.35">
      <c r="A162" t="s">
        <v>651</v>
      </c>
      <c r="B162" s="1">
        <v>45990</v>
      </c>
      <c r="C162" s="2">
        <v>0.63273148148148151</v>
      </c>
      <c r="D162" t="s">
        <v>125</v>
      </c>
      <c r="E162" t="s">
        <v>126</v>
      </c>
      <c r="F162" t="s">
        <v>630</v>
      </c>
      <c r="G162">
        <f>COUNTIF($F$2:$F$350,F162)</f>
        <v>5</v>
      </c>
      <c r="H162" t="s">
        <v>631</v>
      </c>
      <c r="I162" t="s">
        <v>632</v>
      </c>
      <c r="J162" t="s">
        <v>83</v>
      </c>
      <c r="K162" t="s">
        <v>84</v>
      </c>
      <c r="M162" t="s">
        <v>85</v>
      </c>
      <c r="N162" t="s">
        <v>116</v>
      </c>
      <c r="O162" t="s">
        <v>87</v>
      </c>
      <c r="P162" t="s">
        <v>88</v>
      </c>
      <c r="Q162" t="s">
        <v>155</v>
      </c>
      <c r="R162" t="s">
        <v>156</v>
      </c>
      <c r="S162" t="s">
        <v>155</v>
      </c>
      <c r="T162" t="s">
        <v>156</v>
      </c>
      <c r="U162" t="s">
        <v>93</v>
      </c>
      <c r="V162" t="s">
        <v>22</v>
      </c>
      <c r="X162" t="s">
        <v>94</v>
      </c>
      <c r="Y162" t="s">
        <v>95</v>
      </c>
      <c r="Z162" t="s">
        <v>96</v>
      </c>
      <c r="AA162" t="b">
        <v>0</v>
      </c>
      <c r="AC162">
        <v>0</v>
      </c>
      <c r="AD162">
        <v>67</v>
      </c>
      <c r="AH162" t="s">
        <v>126</v>
      </c>
      <c r="AI162" t="s">
        <v>633</v>
      </c>
      <c r="AJ162" t="s">
        <v>88</v>
      </c>
      <c r="AK162" t="s">
        <v>652</v>
      </c>
      <c r="AL162" t="s">
        <v>88</v>
      </c>
      <c r="AM162" t="s">
        <v>88</v>
      </c>
      <c r="AN162" t="s">
        <v>88</v>
      </c>
      <c r="AO162">
        <v>1002</v>
      </c>
      <c r="AP162" t="s">
        <v>650</v>
      </c>
      <c r="AQ162" t="s">
        <v>100</v>
      </c>
      <c r="AR162" t="s">
        <v>636</v>
      </c>
      <c r="AS162" t="s">
        <v>637</v>
      </c>
      <c r="AT162" t="s">
        <v>638</v>
      </c>
      <c r="AU162" t="s">
        <v>638</v>
      </c>
      <c r="AX162" t="s">
        <v>639</v>
      </c>
      <c r="AY162" t="s">
        <v>640</v>
      </c>
      <c r="AZ162" t="s">
        <v>100</v>
      </c>
      <c r="BA162" t="s">
        <v>636</v>
      </c>
      <c r="BB162" t="s">
        <v>637</v>
      </c>
      <c r="BC162" t="s">
        <v>638</v>
      </c>
      <c r="BD162" t="s">
        <v>638</v>
      </c>
      <c r="BF162" t="s">
        <v>641</v>
      </c>
      <c r="BG162">
        <v>11426</v>
      </c>
      <c r="BH162" t="s">
        <v>642</v>
      </c>
      <c r="BO162">
        <v>3</v>
      </c>
      <c r="BR162" t="s">
        <v>100</v>
      </c>
      <c r="BS162" t="s">
        <v>643</v>
      </c>
      <c r="BT162" t="s">
        <v>637</v>
      </c>
      <c r="BU162" t="s">
        <v>638</v>
      </c>
      <c r="BV162" t="s">
        <v>644</v>
      </c>
      <c r="BW162" t="s">
        <v>110</v>
      </c>
    </row>
    <row r="163" spans="1:75" x14ac:dyDescent="0.35">
      <c r="A163" t="s">
        <v>653</v>
      </c>
      <c r="B163" s="1">
        <v>45990</v>
      </c>
      <c r="C163" s="2">
        <v>0.63270833333333332</v>
      </c>
      <c r="D163" t="s">
        <v>125</v>
      </c>
      <c r="E163" t="s">
        <v>126</v>
      </c>
      <c r="F163" t="s">
        <v>630</v>
      </c>
      <c r="G163">
        <f>COUNTIF($F$2:$F$350,F163)</f>
        <v>5</v>
      </c>
      <c r="H163" t="s">
        <v>631</v>
      </c>
      <c r="I163" t="s">
        <v>632</v>
      </c>
      <c r="J163" t="s">
        <v>83</v>
      </c>
      <c r="K163" t="s">
        <v>165</v>
      </c>
      <c r="L163">
        <v>50140</v>
      </c>
      <c r="M163" t="s">
        <v>85</v>
      </c>
      <c r="N163" t="s">
        <v>116</v>
      </c>
      <c r="O163" t="s">
        <v>87</v>
      </c>
      <c r="P163" t="s">
        <v>88</v>
      </c>
      <c r="Q163" t="s">
        <v>155</v>
      </c>
      <c r="R163" t="s">
        <v>156</v>
      </c>
      <c r="S163" t="s">
        <v>155</v>
      </c>
      <c r="T163" t="s">
        <v>156</v>
      </c>
      <c r="U163" t="s">
        <v>166</v>
      </c>
      <c r="V163" t="s">
        <v>22</v>
      </c>
      <c r="X163" t="s">
        <v>94</v>
      </c>
      <c r="Y163" t="s">
        <v>95</v>
      </c>
      <c r="Z163" t="s">
        <v>96</v>
      </c>
      <c r="AA163" t="b">
        <v>0</v>
      </c>
      <c r="AC163">
        <v>0</v>
      </c>
      <c r="AD163">
        <v>47</v>
      </c>
      <c r="AE163" t="s">
        <v>167</v>
      </c>
      <c r="AH163" t="s">
        <v>126</v>
      </c>
      <c r="AI163" t="s">
        <v>633</v>
      </c>
      <c r="AJ163" t="s">
        <v>88</v>
      </c>
      <c r="AK163" t="s">
        <v>654</v>
      </c>
      <c r="AL163" t="s">
        <v>88</v>
      </c>
      <c r="AM163" t="s">
        <v>88</v>
      </c>
      <c r="AN163" t="s">
        <v>88</v>
      </c>
      <c r="AO163">
        <v>1002</v>
      </c>
      <c r="AP163" t="s">
        <v>650</v>
      </c>
      <c r="AQ163" t="s">
        <v>100</v>
      </c>
      <c r="AR163" t="s">
        <v>636</v>
      </c>
      <c r="AS163" t="s">
        <v>637</v>
      </c>
      <c r="AT163" t="s">
        <v>638</v>
      </c>
      <c r="AU163" t="s">
        <v>638</v>
      </c>
      <c r="AX163" t="s">
        <v>639</v>
      </c>
      <c r="AY163" t="s">
        <v>640</v>
      </c>
      <c r="AZ163" t="s">
        <v>100</v>
      </c>
      <c r="BA163" t="s">
        <v>636</v>
      </c>
      <c r="BB163" t="s">
        <v>637</v>
      </c>
      <c r="BC163" t="s">
        <v>638</v>
      </c>
      <c r="BD163" t="s">
        <v>638</v>
      </c>
      <c r="BF163" t="s">
        <v>641</v>
      </c>
      <c r="BG163">
        <v>11426</v>
      </c>
      <c r="BH163" t="s">
        <v>642</v>
      </c>
      <c r="BO163">
        <v>3</v>
      </c>
      <c r="BR163" t="s">
        <v>100</v>
      </c>
      <c r="BS163" t="s">
        <v>643</v>
      </c>
      <c r="BT163" t="s">
        <v>637</v>
      </c>
      <c r="BU163" t="s">
        <v>638</v>
      </c>
      <c r="BV163" t="s">
        <v>644</v>
      </c>
      <c r="BW163" t="s">
        <v>110</v>
      </c>
    </row>
    <row r="164" spans="1:75" s="8" customFormat="1" x14ac:dyDescent="0.35">
      <c r="A164" s="8" t="s">
        <v>655</v>
      </c>
      <c r="B164" s="9">
        <v>45990</v>
      </c>
      <c r="C164" s="10">
        <v>0.60428240740740746</v>
      </c>
      <c r="D164" s="8" t="s">
        <v>209</v>
      </c>
      <c r="E164" s="8" t="s">
        <v>210</v>
      </c>
      <c r="F164" s="11" t="s">
        <v>172</v>
      </c>
      <c r="G164" s="8">
        <f>COUNTIF($F$2:$F$350,F164)</f>
        <v>213</v>
      </c>
      <c r="H164" s="8" t="s">
        <v>115</v>
      </c>
      <c r="I164" s="8" t="s">
        <v>82</v>
      </c>
      <c r="J164" s="8" t="s">
        <v>83</v>
      </c>
      <c r="K164" s="8" t="s">
        <v>84</v>
      </c>
      <c r="M164" s="8" t="s">
        <v>85</v>
      </c>
      <c r="N164" s="8" t="s">
        <v>86</v>
      </c>
      <c r="O164" s="8" t="s">
        <v>87</v>
      </c>
      <c r="P164" s="8" t="s">
        <v>88</v>
      </c>
      <c r="Q164" s="8" t="s">
        <v>89</v>
      </c>
      <c r="R164" s="8" t="s">
        <v>90</v>
      </c>
      <c r="S164" s="8" t="s">
        <v>91</v>
      </c>
      <c r="T164" s="8" t="s">
        <v>92</v>
      </c>
      <c r="U164" s="8" t="s">
        <v>93</v>
      </c>
      <c r="V164" s="8" t="s">
        <v>22</v>
      </c>
      <c r="X164" s="8" t="s">
        <v>177</v>
      </c>
      <c r="Y164" s="8" t="s">
        <v>95</v>
      </c>
      <c r="Z164" s="8" t="s">
        <v>189</v>
      </c>
      <c r="AA164" s="8" t="b">
        <v>0</v>
      </c>
      <c r="AC164" s="8">
        <v>0</v>
      </c>
      <c r="AD164" s="8">
        <v>88</v>
      </c>
      <c r="AI164" s="8" t="s">
        <v>213</v>
      </c>
      <c r="AJ164" s="8" t="s">
        <v>88</v>
      </c>
      <c r="AK164" s="8" t="s">
        <v>656</v>
      </c>
      <c r="AL164" s="8" t="s">
        <v>88</v>
      </c>
      <c r="AM164" s="8" t="s">
        <v>88</v>
      </c>
      <c r="AN164" s="8" t="s">
        <v>88</v>
      </c>
      <c r="AO164" s="8">
        <v>1002</v>
      </c>
      <c r="AP164" s="8" t="s">
        <v>657</v>
      </c>
      <c r="AQ164" s="8" t="s">
        <v>100</v>
      </c>
      <c r="AR164" s="8" t="s">
        <v>101</v>
      </c>
      <c r="AS164" s="8" t="s">
        <v>120</v>
      </c>
      <c r="AT164" s="8" t="s">
        <v>103</v>
      </c>
      <c r="AU164" s="8" t="s">
        <v>103</v>
      </c>
      <c r="AX164" s="8" t="s">
        <v>104</v>
      </c>
      <c r="AY164" s="8" t="s">
        <v>121</v>
      </c>
      <c r="AZ164" s="8" t="s">
        <v>100</v>
      </c>
      <c r="BA164" s="8" t="s">
        <v>101</v>
      </c>
      <c r="BB164" s="8" t="s">
        <v>102</v>
      </c>
      <c r="BC164" s="8" t="s">
        <v>103</v>
      </c>
      <c r="BD164" s="8" t="s">
        <v>103</v>
      </c>
      <c r="BF164" s="8" t="s">
        <v>107</v>
      </c>
      <c r="BG164" s="8">
        <v>16700</v>
      </c>
      <c r="BH164" s="8" t="s">
        <v>122</v>
      </c>
      <c r="BO164" s="8">
        <v>12</v>
      </c>
      <c r="BR164" s="8" t="s">
        <v>100</v>
      </c>
      <c r="BS164" s="8" t="s">
        <v>182</v>
      </c>
      <c r="BT164" s="8" t="s">
        <v>183</v>
      </c>
      <c r="BU164" s="8" t="s">
        <v>106</v>
      </c>
      <c r="BV164" s="8" t="s">
        <v>123</v>
      </c>
      <c r="BW164" s="8" t="s">
        <v>110</v>
      </c>
    </row>
    <row r="165" spans="1:75" s="8" customFormat="1" x14ac:dyDescent="0.35">
      <c r="A165" s="8" t="s">
        <v>658</v>
      </c>
      <c r="B165" s="9">
        <v>45990</v>
      </c>
      <c r="C165" s="10">
        <v>0.60211805555555553</v>
      </c>
      <c r="D165" s="8" t="s">
        <v>659</v>
      </c>
      <c r="E165" s="8" t="s">
        <v>660</v>
      </c>
      <c r="F165" s="11" t="s">
        <v>172</v>
      </c>
      <c r="G165" s="8">
        <f>COUNTIF($F$2:$F$350,F165)</f>
        <v>213</v>
      </c>
      <c r="H165" s="8" t="s">
        <v>115</v>
      </c>
      <c r="I165" s="8" t="s">
        <v>82</v>
      </c>
      <c r="J165" s="8" t="s">
        <v>83</v>
      </c>
      <c r="K165" s="8" t="s">
        <v>84</v>
      </c>
      <c r="M165" s="8" t="s">
        <v>85</v>
      </c>
      <c r="N165" s="8" t="s">
        <v>86</v>
      </c>
      <c r="O165" s="8" t="s">
        <v>87</v>
      </c>
      <c r="P165" s="8" t="s">
        <v>173</v>
      </c>
      <c r="Q165" s="8" t="s">
        <v>89</v>
      </c>
      <c r="R165" s="8" t="s">
        <v>90</v>
      </c>
      <c r="S165" s="8" t="s">
        <v>91</v>
      </c>
      <c r="T165" s="8" t="s">
        <v>92</v>
      </c>
      <c r="U165" s="8" t="s">
        <v>93</v>
      </c>
      <c r="V165" s="8" t="s">
        <v>22</v>
      </c>
      <c r="W165" s="8" t="s">
        <v>661</v>
      </c>
      <c r="X165" s="8" t="s">
        <v>177</v>
      </c>
      <c r="Y165" s="8" t="s">
        <v>95</v>
      </c>
      <c r="Z165" s="8" t="s">
        <v>189</v>
      </c>
      <c r="AA165" s="8" t="b">
        <v>0</v>
      </c>
      <c r="AC165" s="8">
        <v>0</v>
      </c>
      <c r="AD165" s="8">
        <v>122</v>
      </c>
      <c r="AI165" s="8" t="s">
        <v>662</v>
      </c>
      <c r="AJ165" s="8" t="s">
        <v>88</v>
      </c>
      <c r="AK165" s="8" t="s">
        <v>663</v>
      </c>
      <c r="AL165" s="8" t="s">
        <v>88</v>
      </c>
      <c r="AM165" s="8" t="s">
        <v>88</v>
      </c>
      <c r="AN165" s="8" t="s">
        <v>88</v>
      </c>
      <c r="AP165" s="8" t="s">
        <v>664</v>
      </c>
      <c r="AQ165" s="8" t="s">
        <v>100</v>
      </c>
      <c r="AR165" s="8" t="s">
        <v>101</v>
      </c>
      <c r="AS165" s="8" t="s">
        <v>120</v>
      </c>
      <c r="AT165" s="8" t="s">
        <v>103</v>
      </c>
      <c r="AU165" s="8" t="s">
        <v>103</v>
      </c>
      <c r="AX165" s="8" t="s">
        <v>104</v>
      </c>
      <c r="AY165" s="8" t="s">
        <v>121</v>
      </c>
      <c r="AZ165" s="8" t="s">
        <v>100</v>
      </c>
      <c r="BA165" s="8" t="s">
        <v>101</v>
      </c>
      <c r="BB165" s="8" t="s">
        <v>102</v>
      </c>
      <c r="BC165" s="8" t="s">
        <v>103</v>
      </c>
      <c r="BD165" s="8" t="s">
        <v>103</v>
      </c>
      <c r="BF165" s="8" t="s">
        <v>107</v>
      </c>
      <c r="BG165" s="8">
        <v>16700</v>
      </c>
      <c r="BH165" s="8" t="s">
        <v>122</v>
      </c>
      <c r="BO165" s="8">
        <v>12</v>
      </c>
      <c r="BR165" s="8" t="s">
        <v>100</v>
      </c>
      <c r="BS165" s="8" t="s">
        <v>182</v>
      </c>
      <c r="BT165" s="8" t="s">
        <v>183</v>
      </c>
      <c r="BU165" s="8" t="s">
        <v>106</v>
      </c>
      <c r="BV165" s="8" t="s">
        <v>123</v>
      </c>
      <c r="BW165" s="8" t="s">
        <v>110</v>
      </c>
    </row>
    <row r="166" spans="1:75" s="8" customFormat="1" x14ac:dyDescent="0.35">
      <c r="A166" s="8" t="s">
        <v>665</v>
      </c>
      <c r="B166" s="9">
        <v>45990</v>
      </c>
      <c r="C166" s="10">
        <v>0.57817129629629627</v>
      </c>
      <c r="D166" s="8" t="s">
        <v>385</v>
      </c>
      <c r="E166" s="8" t="s">
        <v>386</v>
      </c>
      <c r="F166" s="11" t="s">
        <v>172</v>
      </c>
      <c r="G166" s="8">
        <f>COUNTIF($F$2:$F$350,F166)</f>
        <v>213</v>
      </c>
      <c r="H166" s="8" t="s">
        <v>115</v>
      </c>
      <c r="I166" s="8" t="s">
        <v>82</v>
      </c>
      <c r="J166" s="8" t="s">
        <v>83</v>
      </c>
      <c r="K166" s="8" t="s">
        <v>84</v>
      </c>
      <c r="M166" s="8" t="s">
        <v>85</v>
      </c>
      <c r="N166" s="8" t="s">
        <v>116</v>
      </c>
      <c r="O166" s="8" t="s">
        <v>87</v>
      </c>
      <c r="P166" s="8" t="s">
        <v>88</v>
      </c>
      <c r="Q166" s="8" t="s">
        <v>89</v>
      </c>
      <c r="R166" s="8" t="s">
        <v>90</v>
      </c>
      <c r="S166" s="8" t="s">
        <v>91</v>
      </c>
      <c r="T166" s="8" t="s">
        <v>92</v>
      </c>
      <c r="U166" s="8" t="s">
        <v>93</v>
      </c>
      <c r="V166" s="8" t="s">
        <v>22</v>
      </c>
      <c r="X166" s="8" t="s">
        <v>387</v>
      </c>
      <c r="Y166" s="8" t="s">
        <v>95</v>
      </c>
      <c r="Z166" s="8" t="s">
        <v>388</v>
      </c>
      <c r="AA166" s="8" t="b">
        <v>0</v>
      </c>
      <c r="AC166" s="8">
        <v>0</v>
      </c>
      <c r="AD166" s="8">
        <v>78</v>
      </c>
      <c r="AI166" s="12" t="s">
        <v>389</v>
      </c>
      <c r="AJ166" s="8" t="s">
        <v>88</v>
      </c>
      <c r="AK166" s="8" t="s">
        <v>666</v>
      </c>
      <c r="AL166" s="8" t="s">
        <v>88</v>
      </c>
      <c r="AM166" s="8" t="s">
        <v>88</v>
      </c>
      <c r="AN166" s="8" t="s">
        <v>88</v>
      </c>
      <c r="AO166" s="8">
        <v>1002</v>
      </c>
      <c r="AP166" s="8" t="s">
        <v>667</v>
      </c>
      <c r="AQ166" s="8" t="s">
        <v>100</v>
      </c>
      <c r="AR166" s="8" t="s">
        <v>101</v>
      </c>
      <c r="AS166" s="8" t="s">
        <v>120</v>
      </c>
      <c r="AT166" s="8" t="s">
        <v>103</v>
      </c>
      <c r="AU166" s="8" t="s">
        <v>103</v>
      </c>
      <c r="AX166" s="8" t="s">
        <v>104</v>
      </c>
      <c r="AY166" s="8" t="s">
        <v>121</v>
      </c>
      <c r="AZ166" s="8" t="s">
        <v>100</v>
      </c>
      <c r="BA166" s="8" t="s">
        <v>101</v>
      </c>
      <c r="BB166" s="8" t="s">
        <v>102</v>
      </c>
      <c r="BC166" s="8" t="s">
        <v>103</v>
      </c>
      <c r="BD166" s="8" t="s">
        <v>103</v>
      </c>
      <c r="BF166" s="8" t="s">
        <v>107</v>
      </c>
      <c r="BG166" s="8">
        <v>16700</v>
      </c>
      <c r="BH166" s="8" t="s">
        <v>122</v>
      </c>
      <c r="BO166" s="8">
        <v>12</v>
      </c>
      <c r="BR166" s="8" t="s">
        <v>100</v>
      </c>
      <c r="BS166" s="8" t="s">
        <v>182</v>
      </c>
      <c r="BT166" s="8" t="s">
        <v>183</v>
      </c>
      <c r="BU166" s="8" t="s">
        <v>106</v>
      </c>
      <c r="BV166" s="8" t="s">
        <v>123</v>
      </c>
      <c r="BW166" s="8" t="s">
        <v>110</v>
      </c>
    </row>
    <row r="167" spans="1:75" s="8" customFormat="1" x14ac:dyDescent="0.35">
      <c r="A167" s="8" t="s">
        <v>668</v>
      </c>
      <c r="B167" s="9">
        <v>45990</v>
      </c>
      <c r="C167" s="10">
        <v>0.57805555555555554</v>
      </c>
      <c r="D167" s="8" t="s">
        <v>385</v>
      </c>
      <c r="E167" s="8" t="s">
        <v>386</v>
      </c>
      <c r="F167" s="11" t="s">
        <v>172</v>
      </c>
      <c r="G167" s="8">
        <f>COUNTIF($F$2:$F$350,F167)</f>
        <v>213</v>
      </c>
      <c r="H167" s="8" t="s">
        <v>115</v>
      </c>
      <c r="I167" s="8" t="s">
        <v>82</v>
      </c>
      <c r="J167" s="8" t="s">
        <v>83</v>
      </c>
      <c r="K167" s="8" t="s">
        <v>84</v>
      </c>
      <c r="M167" s="8" t="s">
        <v>85</v>
      </c>
      <c r="N167" s="8" t="s">
        <v>116</v>
      </c>
      <c r="O167" s="8" t="s">
        <v>87</v>
      </c>
      <c r="P167" s="8" t="s">
        <v>88</v>
      </c>
      <c r="Q167" s="8" t="s">
        <v>89</v>
      </c>
      <c r="R167" s="8" t="s">
        <v>90</v>
      </c>
      <c r="S167" s="8" t="s">
        <v>91</v>
      </c>
      <c r="T167" s="8" t="s">
        <v>92</v>
      </c>
      <c r="U167" s="8" t="s">
        <v>93</v>
      </c>
      <c r="V167" s="8" t="s">
        <v>22</v>
      </c>
      <c r="X167" s="8" t="s">
        <v>387</v>
      </c>
      <c r="Y167" s="8" t="s">
        <v>95</v>
      </c>
      <c r="Z167" s="8" t="s">
        <v>388</v>
      </c>
      <c r="AA167" s="8" t="b">
        <v>0</v>
      </c>
      <c r="AC167" s="8">
        <v>0</v>
      </c>
      <c r="AD167" s="8">
        <v>97</v>
      </c>
      <c r="AI167" s="12" t="s">
        <v>389</v>
      </c>
      <c r="AJ167" s="8" t="s">
        <v>88</v>
      </c>
      <c r="AK167" s="8" t="s">
        <v>669</v>
      </c>
      <c r="AL167" s="8" t="s">
        <v>88</v>
      </c>
      <c r="AM167" s="8" t="s">
        <v>88</v>
      </c>
      <c r="AN167" s="8" t="s">
        <v>88</v>
      </c>
      <c r="AO167" s="8">
        <v>1002</v>
      </c>
      <c r="AP167" s="8" t="s">
        <v>670</v>
      </c>
      <c r="AQ167" s="8" t="s">
        <v>100</v>
      </c>
      <c r="AR167" s="8" t="s">
        <v>101</v>
      </c>
      <c r="AS167" s="8" t="s">
        <v>120</v>
      </c>
      <c r="AT167" s="8" t="s">
        <v>103</v>
      </c>
      <c r="AU167" s="8" t="s">
        <v>103</v>
      </c>
      <c r="AX167" s="8" t="s">
        <v>104</v>
      </c>
      <c r="AY167" s="8" t="s">
        <v>121</v>
      </c>
      <c r="AZ167" s="8" t="s">
        <v>100</v>
      </c>
      <c r="BA167" s="8" t="s">
        <v>101</v>
      </c>
      <c r="BB167" s="8" t="s">
        <v>102</v>
      </c>
      <c r="BC167" s="8" t="s">
        <v>103</v>
      </c>
      <c r="BD167" s="8" t="s">
        <v>103</v>
      </c>
      <c r="BF167" s="8" t="s">
        <v>107</v>
      </c>
      <c r="BG167" s="8">
        <v>16700</v>
      </c>
      <c r="BH167" s="8" t="s">
        <v>122</v>
      </c>
      <c r="BO167" s="8">
        <v>12</v>
      </c>
      <c r="BR167" s="8" t="s">
        <v>100</v>
      </c>
      <c r="BS167" s="8" t="s">
        <v>182</v>
      </c>
      <c r="BT167" s="8" t="s">
        <v>183</v>
      </c>
      <c r="BU167" s="8" t="s">
        <v>106</v>
      </c>
      <c r="BV167" s="8" t="s">
        <v>123</v>
      </c>
      <c r="BW167" s="8" t="s">
        <v>110</v>
      </c>
    </row>
    <row r="168" spans="1:75" s="8" customFormat="1" x14ac:dyDescent="0.35">
      <c r="A168" s="8" t="s">
        <v>671</v>
      </c>
      <c r="B168" s="9">
        <v>45990</v>
      </c>
      <c r="C168" s="10">
        <v>0.57799768518518524</v>
      </c>
      <c r="D168" s="8" t="s">
        <v>385</v>
      </c>
      <c r="E168" s="8" t="s">
        <v>386</v>
      </c>
      <c r="F168" s="11" t="s">
        <v>172</v>
      </c>
      <c r="G168" s="8">
        <f>COUNTIF($F$2:$F$350,F168)</f>
        <v>213</v>
      </c>
      <c r="H168" s="8" t="s">
        <v>115</v>
      </c>
      <c r="I168" s="8" t="s">
        <v>82</v>
      </c>
      <c r="J168" s="8" t="s">
        <v>83</v>
      </c>
      <c r="K168" s="8" t="s">
        <v>84</v>
      </c>
      <c r="M168" s="8" t="s">
        <v>85</v>
      </c>
      <c r="N168" s="8" t="s">
        <v>116</v>
      </c>
      <c r="O168" s="8" t="s">
        <v>87</v>
      </c>
      <c r="P168" s="8" t="s">
        <v>88</v>
      </c>
      <c r="Q168" s="8" t="s">
        <v>672</v>
      </c>
      <c r="R168" s="8" t="s">
        <v>673</v>
      </c>
      <c r="S168" s="8" t="s">
        <v>132</v>
      </c>
      <c r="T168" s="8" t="s">
        <v>133</v>
      </c>
      <c r="U168" s="8" t="s">
        <v>93</v>
      </c>
      <c r="V168" s="8" t="s">
        <v>22</v>
      </c>
      <c r="X168" s="8" t="s">
        <v>387</v>
      </c>
      <c r="Y168" s="8" t="s">
        <v>95</v>
      </c>
      <c r="Z168" s="8" t="s">
        <v>388</v>
      </c>
      <c r="AA168" s="8" t="b">
        <v>0</v>
      </c>
      <c r="AC168" s="8">
        <v>0</v>
      </c>
      <c r="AD168" s="8">
        <v>50</v>
      </c>
      <c r="AI168" s="12" t="s">
        <v>389</v>
      </c>
      <c r="AJ168" s="8" t="s">
        <v>88</v>
      </c>
      <c r="AK168" s="8" t="s">
        <v>674</v>
      </c>
      <c r="AL168" s="8" t="s">
        <v>88</v>
      </c>
      <c r="AM168" s="8" t="s">
        <v>88</v>
      </c>
      <c r="AN168" s="8" t="s">
        <v>88</v>
      </c>
      <c r="AO168" s="8">
        <v>1002</v>
      </c>
      <c r="AP168" s="8" t="s">
        <v>675</v>
      </c>
      <c r="AQ168" s="8" t="s">
        <v>100</v>
      </c>
      <c r="AR168" s="8" t="s">
        <v>101</v>
      </c>
      <c r="AS168" s="8" t="s">
        <v>120</v>
      </c>
      <c r="AT168" s="8" t="s">
        <v>103</v>
      </c>
      <c r="AU168" s="8" t="s">
        <v>103</v>
      </c>
      <c r="AX168" s="8" t="s">
        <v>104</v>
      </c>
      <c r="AY168" s="8" t="s">
        <v>121</v>
      </c>
      <c r="AZ168" s="8" t="s">
        <v>100</v>
      </c>
      <c r="BA168" s="8" t="s">
        <v>101</v>
      </c>
      <c r="BB168" s="8" t="s">
        <v>102</v>
      </c>
      <c r="BC168" s="8" t="s">
        <v>103</v>
      </c>
      <c r="BD168" s="8" t="s">
        <v>103</v>
      </c>
      <c r="BF168" s="8" t="s">
        <v>107</v>
      </c>
      <c r="BG168" s="8">
        <v>16700</v>
      </c>
      <c r="BH168" s="8" t="s">
        <v>122</v>
      </c>
      <c r="BO168" s="8">
        <v>12</v>
      </c>
      <c r="BR168" s="8" t="s">
        <v>100</v>
      </c>
      <c r="BS168" s="8" t="s">
        <v>182</v>
      </c>
      <c r="BT168" s="8" t="s">
        <v>183</v>
      </c>
      <c r="BU168" s="8" t="s">
        <v>106</v>
      </c>
      <c r="BV168" s="8" t="s">
        <v>123</v>
      </c>
      <c r="BW168" s="8" t="s">
        <v>110</v>
      </c>
    </row>
    <row r="169" spans="1:75" s="4" customFormat="1" x14ac:dyDescent="0.35">
      <c r="A169" s="4" t="s">
        <v>676</v>
      </c>
      <c r="B169" s="5">
        <v>45990</v>
      </c>
      <c r="C169" s="6">
        <v>0.57465277777777779</v>
      </c>
      <c r="D169" s="4" t="s">
        <v>78</v>
      </c>
      <c r="E169" s="4" t="s">
        <v>79</v>
      </c>
      <c r="F169" s="4" t="s">
        <v>677</v>
      </c>
      <c r="G169" s="4">
        <f>COUNTIF($F$2:$F$350,F169)</f>
        <v>5</v>
      </c>
      <c r="H169" s="4" t="s">
        <v>678</v>
      </c>
      <c r="I169" s="4" t="s">
        <v>82</v>
      </c>
      <c r="J169" s="4" t="s">
        <v>83</v>
      </c>
      <c r="K169" s="4" t="s">
        <v>84</v>
      </c>
      <c r="M169" s="4" t="s">
        <v>85</v>
      </c>
      <c r="N169" s="4" t="s">
        <v>86</v>
      </c>
      <c r="O169" s="4" t="s">
        <v>87</v>
      </c>
      <c r="P169" s="4" t="s">
        <v>88</v>
      </c>
      <c r="Q169" s="4" t="s">
        <v>89</v>
      </c>
      <c r="R169" s="4" t="s">
        <v>90</v>
      </c>
      <c r="S169" s="4" t="s">
        <v>91</v>
      </c>
      <c r="T169" s="4" t="s">
        <v>92</v>
      </c>
      <c r="U169" s="4" t="s">
        <v>93</v>
      </c>
      <c r="V169" s="4" t="s">
        <v>22</v>
      </c>
      <c r="X169" s="4" t="s">
        <v>177</v>
      </c>
      <c r="Y169" s="4" t="s">
        <v>95</v>
      </c>
      <c r="Z169" s="4" t="s">
        <v>189</v>
      </c>
      <c r="AA169" s="4" t="b">
        <v>0</v>
      </c>
      <c r="AC169" s="4">
        <v>0</v>
      </c>
      <c r="AD169" s="4">
        <v>131</v>
      </c>
      <c r="AI169" s="4" t="s">
        <v>679</v>
      </c>
      <c r="AJ169" s="4" t="s">
        <v>88</v>
      </c>
      <c r="AK169" s="4" t="s">
        <v>680</v>
      </c>
      <c r="AL169" s="4" t="s">
        <v>88</v>
      </c>
      <c r="AM169" s="4" t="s">
        <v>88</v>
      </c>
      <c r="AN169" s="4" t="s">
        <v>88</v>
      </c>
      <c r="AO169" s="4">
        <v>1002</v>
      </c>
      <c r="AP169" s="4" t="s">
        <v>681</v>
      </c>
      <c r="AQ169" s="4" t="s">
        <v>100</v>
      </c>
      <c r="AR169" s="4" t="s">
        <v>101</v>
      </c>
      <c r="AS169" s="4" t="s">
        <v>682</v>
      </c>
      <c r="AT169" s="4" t="s">
        <v>683</v>
      </c>
      <c r="AU169" s="4" t="s">
        <v>683</v>
      </c>
      <c r="AX169" s="4" t="s">
        <v>684</v>
      </c>
      <c r="AY169" s="4" t="s">
        <v>685</v>
      </c>
      <c r="AZ169" s="4" t="s">
        <v>100</v>
      </c>
      <c r="BA169" s="4" t="s">
        <v>101</v>
      </c>
      <c r="BB169" s="4" t="s">
        <v>682</v>
      </c>
      <c r="BC169" s="4" t="s">
        <v>683</v>
      </c>
      <c r="BD169" s="4" t="s">
        <v>683</v>
      </c>
      <c r="BE169" s="4" t="s">
        <v>377</v>
      </c>
      <c r="BF169" s="4" t="s">
        <v>686</v>
      </c>
      <c r="BG169" s="4">
        <v>22653</v>
      </c>
      <c r="BH169" s="4" t="s">
        <v>687</v>
      </c>
      <c r="BO169" s="4">
        <v>22</v>
      </c>
      <c r="BR169" s="4" t="s">
        <v>100</v>
      </c>
      <c r="BS169" s="4" t="s">
        <v>688</v>
      </c>
      <c r="BT169" s="4" t="s">
        <v>689</v>
      </c>
      <c r="BU169" s="4" t="s">
        <v>683</v>
      </c>
      <c r="BV169" s="7" t="s">
        <v>683</v>
      </c>
      <c r="BW169" s="4" t="s">
        <v>380</v>
      </c>
    </row>
    <row r="170" spans="1:75" s="4" customFormat="1" x14ac:dyDescent="0.35">
      <c r="A170" s="4" t="s">
        <v>690</v>
      </c>
      <c r="B170" s="5">
        <v>45990</v>
      </c>
      <c r="C170" s="6">
        <v>0.57421296296296298</v>
      </c>
      <c r="D170" s="4" t="s">
        <v>78</v>
      </c>
      <c r="E170" s="4" t="s">
        <v>79</v>
      </c>
      <c r="F170" s="4" t="s">
        <v>677</v>
      </c>
      <c r="G170" s="4">
        <f>COUNTIF($F$2:$F$350,F170)</f>
        <v>5</v>
      </c>
      <c r="H170" s="4" t="s">
        <v>678</v>
      </c>
      <c r="I170" s="4" t="s">
        <v>82</v>
      </c>
      <c r="J170" s="4" t="s">
        <v>83</v>
      </c>
      <c r="K170" s="4" t="s">
        <v>84</v>
      </c>
      <c r="M170" s="4" t="s">
        <v>85</v>
      </c>
      <c r="N170" s="4" t="s">
        <v>86</v>
      </c>
      <c r="O170" s="4" t="s">
        <v>87</v>
      </c>
      <c r="P170" s="4" t="s">
        <v>88</v>
      </c>
      <c r="Q170" s="4" t="s">
        <v>155</v>
      </c>
      <c r="R170" s="4" t="s">
        <v>156</v>
      </c>
      <c r="S170" s="4" t="s">
        <v>155</v>
      </c>
      <c r="T170" s="4" t="s">
        <v>156</v>
      </c>
      <c r="U170" s="4" t="s">
        <v>93</v>
      </c>
      <c r="V170" s="4" t="s">
        <v>22</v>
      </c>
      <c r="X170" s="4" t="s">
        <v>177</v>
      </c>
      <c r="Y170" s="4" t="s">
        <v>95</v>
      </c>
      <c r="Z170" s="4" t="s">
        <v>691</v>
      </c>
      <c r="AA170" s="4" t="b">
        <v>0</v>
      </c>
      <c r="AC170" s="4">
        <v>0</v>
      </c>
      <c r="AD170" s="4">
        <v>99</v>
      </c>
      <c r="AI170" s="4" t="s">
        <v>679</v>
      </c>
      <c r="AJ170" s="4" t="s">
        <v>88</v>
      </c>
      <c r="AK170" s="4" t="s">
        <v>692</v>
      </c>
      <c r="AL170" s="4" t="s">
        <v>88</v>
      </c>
      <c r="AM170" s="4" t="s">
        <v>88</v>
      </c>
      <c r="AN170" s="4" t="s">
        <v>88</v>
      </c>
      <c r="AO170" s="4">
        <v>1002</v>
      </c>
      <c r="AP170" s="4" t="s">
        <v>693</v>
      </c>
      <c r="AQ170" s="4" t="s">
        <v>100</v>
      </c>
      <c r="AR170" s="4" t="s">
        <v>101</v>
      </c>
      <c r="AS170" s="4" t="s">
        <v>682</v>
      </c>
      <c r="AT170" s="4" t="s">
        <v>683</v>
      </c>
      <c r="AU170" s="4" t="s">
        <v>683</v>
      </c>
      <c r="AX170" s="4" t="s">
        <v>684</v>
      </c>
      <c r="AY170" s="4" t="s">
        <v>685</v>
      </c>
      <c r="AZ170" s="4" t="s">
        <v>100</v>
      </c>
      <c r="BA170" s="4" t="s">
        <v>101</v>
      </c>
      <c r="BB170" s="4" t="s">
        <v>682</v>
      </c>
      <c r="BC170" s="4" t="s">
        <v>683</v>
      </c>
      <c r="BD170" s="4" t="s">
        <v>683</v>
      </c>
      <c r="BE170" s="4" t="s">
        <v>377</v>
      </c>
      <c r="BF170" s="4" t="s">
        <v>686</v>
      </c>
      <c r="BG170" s="4">
        <v>22653</v>
      </c>
      <c r="BH170" s="4" t="s">
        <v>687</v>
      </c>
      <c r="BO170" s="4">
        <v>22</v>
      </c>
      <c r="BR170" s="4" t="s">
        <v>100</v>
      </c>
      <c r="BS170" s="4" t="s">
        <v>688</v>
      </c>
      <c r="BT170" s="4" t="s">
        <v>689</v>
      </c>
      <c r="BU170" s="4" t="s">
        <v>683</v>
      </c>
      <c r="BV170" s="7" t="s">
        <v>683</v>
      </c>
      <c r="BW170" s="4" t="s">
        <v>380</v>
      </c>
    </row>
    <row r="171" spans="1:75" s="4" customFormat="1" x14ac:dyDescent="0.35">
      <c r="A171" s="4" t="s">
        <v>694</v>
      </c>
      <c r="B171" s="5">
        <v>45990</v>
      </c>
      <c r="C171" s="6">
        <v>0.57418981481481479</v>
      </c>
      <c r="D171" s="4" t="s">
        <v>78</v>
      </c>
      <c r="E171" s="4" t="s">
        <v>79</v>
      </c>
      <c r="F171" s="4" t="s">
        <v>677</v>
      </c>
      <c r="G171" s="4">
        <f>COUNTIF($F$2:$F$350,F171)</f>
        <v>5</v>
      </c>
      <c r="H171" s="4" t="s">
        <v>678</v>
      </c>
      <c r="I171" s="4" t="s">
        <v>82</v>
      </c>
      <c r="J171" s="4" t="s">
        <v>83</v>
      </c>
      <c r="K171" s="4" t="s">
        <v>84</v>
      </c>
      <c r="M171" s="4" t="s">
        <v>85</v>
      </c>
      <c r="N171" s="4" t="s">
        <v>86</v>
      </c>
      <c r="O171" s="4" t="s">
        <v>87</v>
      </c>
      <c r="P171" s="4" t="s">
        <v>88</v>
      </c>
      <c r="Q171" s="4" t="s">
        <v>155</v>
      </c>
      <c r="R171" s="4" t="s">
        <v>156</v>
      </c>
      <c r="S171" s="4" t="s">
        <v>155</v>
      </c>
      <c r="T171" s="4" t="s">
        <v>156</v>
      </c>
      <c r="U171" s="4" t="s">
        <v>93</v>
      </c>
      <c r="V171" s="4" t="s">
        <v>22</v>
      </c>
      <c r="X171" s="4" t="s">
        <v>177</v>
      </c>
      <c r="Y171" s="4" t="s">
        <v>95</v>
      </c>
      <c r="Z171" s="4" t="s">
        <v>691</v>
      </c>
      <c r="AA171" s="4" t="b">
        <v>0</v>
      </c>
      <c r="AC171" s="4">
        <v>0</v>
      </c>
      <c r="AD171" s="4">
        <v>75</v>
      </c>
      <c r="AH171" s="4" t="s">
        <v>79</v>
      </c>
      <c r="AI171" s="4" t="s">
        <v>679</v>
      </c>
      <c r="AJ171" s="4" t="s">
        <v>88</v>
      </c>
      <c r="AK171" s="4" t="s">
        <v>695</v>
      </c>
      <c r="AL171" s="4" t="s">
        <v>88</v>
      </c>
      <c r="AM171" s="4" t="s">
        <v>88</v>
      </c>
      <c r="AN171" s="4" t="s">
        <v>88</v>
      </c>
      <c r="AO171" s="4">
        <v>1002</v>
      </c>
      <c r="AP171" s="4" t="s">
        <v>693</v>
      </c>
      <c r="AQ171" s="4" t="s">
        <v>100</v>
      </c>
      <c r="AR171" s="4" t="s">
        <v>101</v>
      </c>
      <c r="AS171" s="4" t="s">
        <v>682</v>
      </c>
      <c r="AT171" s="4" t="s">
        <v>683</v>
      </c>
      <c r="AU171" s="7" t="s">
        <v>683</v>
      </c>
      <c r="AX171" s="4" t="s">
        <v>684</v>
      </c>
      <c r="AY171" s="4" t="s">
        <v>685</v>
      </c>
      <c r="AZ171" s="4" t="s">
        <v>100</v>
      </c>
      <c r="BA171" s="4" t="s">
        <v>101</v>
      </c>
      <c r="BB171" s="4" t="s">
        <v>682</v>
      </c>
      <c r="BC171" s="4" t="s">
        <v>683</v>
      </c>
      <c r="BD171" s="4" t="s">
        <v>683</v>
      </c>
      <c r="BE171" s="4" t="s">
        <v>377</v>
      </c>
      <c r="BF171" s="4" t="s">
        <v>686</v>
      </c>
      <c r="BG171" s="4">
        <v>22653</v>
      </c>
      <c r="BH171" s="4" t="s">
        <v>687</v>
      </c>
      <c r="BO171" s="4">
        <v>22</v>
      </c>
      <c r="BR171" s="4" t="s">
        <v>100</v>
      </c>
      <c r="BS171" s="4" t="s">
        <v>688</v>
      </c>
      <c r="BT171" s="4" t="s">
        <v>689</v>
      </c>
      <c r="BU171" s="4" t="s">
        <v>683</v>
      </c>
      <c r="BV171" s="4" t="s">
        <v>683</v>
      </c>
      <c r="BW171" s="4" t="s">
        <v>380</v>
      </c>
    </row>
    <row r="172" spans="1:75" s="4" customFormat="1" x14ac:dyDescent="0.35">
      <c r="A172" s="4" t="s">
        <v>696</v>
      </c>
      <c r="B172" s="5">
        <v>45990</v>
      </c>
      <c r="C172" s="6">
        <v>0.57403935185185184</v>
      </c>
      <c r="D172" s="4" t="s">
        <v>78</v>
      </c>
      <c r="E172" s="4" t="s">
        <v>79</v>
      </c>
      <c r="F172" s="4" t="s">
        <v>677</v>
      </c>
      <c r="G172" s="4">
        <f>COUNTIF($F$2:$F$350,F172)</f>
        <v>5</v>
      </c>
      <c r="H172" s="4" t="s">
        <v>678</v>
      </c>
      <c r="I172" s="4" t="s">
        <v>82</v>
      </c>
      <c r="J172" s="4" t="s">
        <v>83</v>
      </c>
      <c r="K172" s="4" t="s">
        <v>165</v>
      </c>
      <c r="L172" s="4">
        <v>50140</v>
      </c>
      <c r="M172" s="4" t="s">
        <v>85</v>
      </c>
      <c r="N172" s="4" t="s">
        <v>86</v>
      </c>
      <c r="O172" s="4" t="s">
        <v>87</v>
      </c>
      <c r="P172" s="4" t="s">
        <v>88</v>
      </c>
      <c r="Q172" s="4" t="s">
        <v>155</v>
      </c>
      <c r="R172" s="4" t="s">
        <v>156</v>
      </c>
      <c r="S172" s="4" t="s">
        <v>155</v>
      </c>
      <c r="T172" s="4" t="s">
        <v>156</v>
      </c>
      <c r="U172" s="4" t="s">
        <v>166</v>
      </c>
      <c r="V172" s="4" t="s">
        <v>22</v>
      </c>
      <c r="X172" s="4" t="s">
        <v>177</v>
      </c>
      <c r="Y172" s="4" t="s">
        <v>95</v>
      </c>
      <c r="Z172" s="4" t="s">
        <v>691</v>
      </c>
      <c r="AA172" s="4" t="b">
        <v>0</v>
      </c>
      <c r="AC172" s="4">
        <v>0</v>
      </c>
      <c r="AD172" s="4">
        <v>147</v>
      </c>
      <c r="AE172" s="4" t="s">
        <v>167</v>
      </c>
      <c r="AH172" s="4" t="s">
        <v>79</v>
      </c>
      <c r="AI172" s="4" t="s">
        <v>679</v>
      </c>
      <c r="AJ172" s="4" t="s">
        <v>88</v>
      </c>
      <c r="AK172" s="4" t="s">
        <v>697</v>
      </c>
      <c r="AL172" s="4" t="s">
        <v>88</v>
      </c>
      <c r="AM172" s="4" t="s">
        <v>88</v>
      </c>
      <c r="AN172" s="4" t="s">
        <v>88</v>
      </c>
      <c r="AO172" s="4">
        <v>1002</v>
      </c>
      <c r="AP172" s="4" t="s">
        <v>693</v>
      </c>
      <c r="AQ172" s="4" t="s">
        <v>100</v>
      </c>
      <c r="AR172" s="4" t="s">
        <v>101</v>
      </c>
      <c r="AS172" s="4" t="s">
        <v>682</v>
      </c>
      <c r="AT172" s="4" t="s">
        <v>683</v>
      </c>
      <c r="AU172" s="4" t="s">
        <v>683</v>
      </c>
      <c r="AX172" s="4" t="s">
        <v>684</v>
      </c>
      <c r="AY172" s="4" t="s">
        <v>685</v>
      </c>
      <c r="AZ172" s="4" t="s">
        <v>100</v>
      </c>
      <c r="BA172" s="4" t="s">
        <v>101</v>
      </c>
      <c r="BB172" s="4" t="s">
        <v>682</v>
      </c>
      <c r="BC172" s="4" t="s">
        <v>683</v>
      </c>
      <c r="BD172" s="4" t="s">
        <v>683</v>
      </c>
      <c r="BE172" s="4" t="s">
        <v>377</v>
      </c>
      <c r="BF172" s="4" t="s">
        <v>686</v>
      </c>
      <c r="BG172" s="4">
        <v>22653</v>
      </c>
      <c r="BH172" s="4" t="s">
        <v>687</v>
      </c>
      <c r="BO172" s="4">
        <v>22</v>
      </c>
      <c r="BR172" s="4" t="s">
        <v>100</v>
      </c>
      <c r="BS172" s="4" t="s">
        <v>688</v>
      </c>
      <c r="BT172" s="4" t="s">
        <v>689</v>
      </c>
      <c r="BU172" s="4" t="s">
        <v>683</v>
      </c>
      <c r="BV172" s="7" t="s">
        <v>683</v>
      </c>
      <c r="BW172" s="4" t="s">
        <v>380</v>
      </c>
    </row>
    <row r="173" spans="1:75" x14ac:dyDescent="0.35">
      <c r="A173" t="s">
        <v>698</v>
      </c>
      <c r="B173" s="1">
        <v>45990</v>
      </c>
      <c r="C173" s="2">
        <v>0.54789351851851853</v>
      </c>
      <c r="D173" t="s">
        <v>393</v>
      </c>
      <c r="E173" t="s">
        <v>394</v>
      </c>
      <c r="F173" t="s">
        <v>419</v>
      </c>
      <c r="G173">
        <f>COUNTIF($F$2:$F$350,F173)</f>
        <v>2</v>
      </c>
      <c r="H173" t="s">
        <v>81</v>
      </c>
      <c r="I173" t="s">
        <v>82</v>
      </c>
      <c r="J173" t="s">
        <v>83</v>
      </c>
      <c r="K173" t="s">
        <v>84</v>
      </c>
      <c r="M173" t="s">
        <v>85</v>
      </c>
      <c r="N173" t="s">
        <v>86</v>
      </c>
      <c r="O173" t="s">
        <v>87</v>
      </c>
      <c r="P173" t="s">
        <v>173</v>
      </c>
      <c r="Q173" t="s">
        <v>89</v>
      </c>
      <c r="R173" t="s">
        <v>90</v>
      </c>
      <c r="S173" t="s">
        <v>91</v>
      </c>
      <c r="T173" t="s">
        <v>92</v>
      </c>
      <c r="U173" t="s">
        <v>93</v>
      </c>
      <c r="V173" t="s">
        <v>22</v>
      </c>
      <c r="W173" t="s">
        <v>420</v>
      </c>
      <c r="X173" t="s">
        <v>421</v>
      </c>
      <c r="Y173" t="s">
        <v>95</v>
      </c>
      <c r="Z173" t="s">
        <v>422</v>
      </c>
      <c r="AA173" t="b">
        <v>0</v>
      </c>
      <c r="AC173">
        <v>0</v>
      </c>
      <c r="AD173">
        <v>142</v>
      </c>
      <c r="AI173" t="s">
        <v>423</v>
      </c>
      <c r="AJ173" t="s">
        <v>88</v>
      </c>
      <c r="AK173" t="s">
        <v>699</v>
      </c>
      <c r="AL173" t="s">
        <v>88</v>
      </c>
      <c r="AM173" t="s">
        <v>88</v>
      </c>
      <c r="AN173" t="s">
        <v>88</v>
      </c>
      <c r="AP173" t="s">
        <v>700</v>
      </c>
      <c r="AQ173" t="s">
        <v>100</v>
      </c>
      <c r="AR173" t="s">
        <v>101</v>
      </c>
      <c r="AS173" t="s">
        <v>102</v>
      </c>
      <c r="AT173" t="s">
        <v>426</v>
      </c>
      <c r="AU173" t="s">
        <v>426</v>
      </c>
      <c r="AX173" t="s">
        <v>427</v>
      </c>
      <c r="AY173" t="s">
        <v>428</v>
      </c>
      <c r="AZ173" t="s">
        <v>100</v>
      </c>
      <c r="BA173" t="s">
        <v>101</v>
      </c>
      <c r="BB173" t="s">
        <v>102</v>
      </c>
      <c r="BC173" t="s">
        <v>429</v>
      </c>
      <c r="BD173" t="s">
        <v>429</v>
      </c>
      <c r="BF173" t="s">
        <v>143</v>
      </c>
      <c r="BG173">
        <v>7018</v>
      </c>
      <c r="BH173" t="s">
        <v>430</v>
      </c>
      <c r="BO173">
        <v>5</v>
      </c>
      <c r="BR173" t="s">
        <v>100</v>
      </c>
      <c r="BS173" t="s">
        <v>109</v>
      </c>
      <c r="BT173" t="s">
        <v>102</v>
      </c>
      <c r="BU173" t="s">
        <v>429</v>
      </c>
      <c r="BV173" t="s">
        <v>431</v>
      </c>
      <c r="BW173" t="s">
        <v>110</v>
      </c>
    </row>
    <row r="174" spans="1:75" s="4" customFormat="1" x14ac:dyDescent="0.35">
      <c r="A174" s="4" t="s">
        <v>701</v>
      </c>
      <c r="B174" s="5">
        <v>45990</v>
      </c>
      <c r="C174" s="6">
        <v>0.54787037037037034</v>
      </c>
      <c r="D174" s="4" t="s">
        <v>78</v>
      </c>
      <c r="E174" s="4" t="s">
        <v>79</v>
      </c>
      <c r="F174" s="4" t="s">
        <v>677</v>
      </c>
      <c r="G174" s="4">
        <f>COUNTIF($F$2:$F$350,F174)</f>
        <v>5</v>
      </c>
      <c r="H174" s="4" t="s">
        <v>678</v>
      </c>
      <c r="I174" s="4" t="s">
        <v>82</v>
      </c>
      <c r="J174" s="4" t="s">
        <v>83</v>
      </c>
      <c r="K174" s="4" t="s">
        <v>84</v>
      </c>
      <c r="M174" s="4" t="s">
        <v>85</v>
      </c>
      <c r="N174" s="4" t="s">
        <v>86</v>
      </c>
      <c r="O174" s="4" t="s">
        <v>87</v>
      </c>
      <c r="P174" s="4" t="s">
        <v>88</v>
      </c>
      <c r="Q174" s="4" t="s">
        <v>702</v>
      </c>
      <c r="R174" s="4" t="s">
        <v>703</v>
      </c>
      <c r="S174" s="4" t="s">
        <v>91</v>
      </c>
      <c r="T174" s="4" t="s">
        <v>92</v>
      </c>
      <c r="U174" s="4" t="s">
        <v>93</v>
      </c>
      <c r="V174" s="4" t="s">
        <v>704</v>
      </c>
      <c r="X174" s="4" t="s">
        <v>705</v>
      </c>
      <c r="Y174" s="4" t="s">
        <v>95</v>
      </c>
      <c r="Z174" s="4" t="s">
        <v>706</v>
      </c>
      <c r="AA174" s="4" t="b">
        <v>0</v>
      </c>
      <c r="AC174" s="4">
        <v>0</v>
      </c>
      <c r="AD174" s="4">
        <v>217</v>
      </c>
      <c r="AH174" s="4" t="s">
        <v>79</v>
      </c>
      <c r="AI174" s="4" t="s">
        <v>707</v>
      </c>
      <c r="AJ174" s="4" t="s">
        <v>88</v>
      </c>
      <c r="AK174" s="4" t="s">
        <v>708</v>
      </c>
      <c r="AL174" s="4" t="s">
        <v>88</v>
      </c>
      <c r="AM174" s="4" t="s">
        <v>88</v>
      </c>
      <c r="AN174" s="4" t="s">
        <v>88</v>
      </c>
      <c r="AO174" s="4">
        <v>1002</v>
      </c>
      <c r="AP174" s="4" t="s">
        <v>709</v>
      </c>
      <c r="AQ174" s="4" t="s">
        <v>100</v>
      </c>
      <c r="AR174" s="4" t="s">
        <v>101</v>
      </c>
      <c r="AS174" s="4" t="s">
        <v>682</v>
      </c>
      <c r="AT174" s="4" t="s">
        <v>683</v>
      </c>
      <c r="AU174" s="4" t="s">
        <v>683</v>
      </c>
      <c r="AX174" s="4" t="s">
        <v>684</v>
      </c>
      <c r="AY174" s="4" t="s">
        <v>685</v>
      </c>
      <c r="AZ174" s="4" t="s">
        <v>100</v>
      </c>
      <c r="BA174" s="4" t="s">
        <v>101</v>
      </c>
      <c r="BB174" s="4" t="s">
        <v>682</v>
      </c>
      <c r="BC174" s="4" t="s">
        <v>683</v>
      </c>
      <c r="BD174" s="4" t="s">
        <v>683</v>
      </c>
      <c r="BE174" s="4" t="s">
        <v>377</v>
      </c>
      <c r="BF174" s="4" t="s">
        <v>686</v>
      </c>
      <c r="BG174" s="4">
        <v>22653</v>
      </c>
      <c r="BH174" s="4" t="s">
        <v>687</v>
      </c>
      <c r="BO174" s="4">
        <v>22</v>
      </c>
      <c r="BR174" s="4" t="s">
        <v>100</v>
      </c>
      <c r="BS174" s="4" t="s">
        <v>688</v>
      </c>
      <c r="BT174" s="4" t="s">
        <v>689</v>
      </c>
      <c r="BU174" s="4" t="s">
        <v>683</v>
      </c>
      <c r="BV174" s="7" t="s">
        <v>683</v>
      </c>
      <c r="BW174" s="4" t="s">
        <v>380</v>
      </c>
    </row>
    <row r="175" spans="1:75" s="8" customFormat="1" x14ac:dyDescent="0.35">
      <c r="A175" s="8" t="s">
        <v>710</v>
      </c>
      <c r="B175" s="9">
        <v>45990</v>
      </c>
      <c r="C175" s="10">
        <v>0.5370949074074074</v>
      </c>
      <c r="D175" s="8" t="s">
        <v>209</v>
      </c>
      <c r="E175" s="8" t="s">
        <v>210</v>
      </c>
      <c r="F175" s="11" t="s">
        <v>172</v>
      </c>
      <c r="G175" s="8">
        <f>COUNTIF($F$2:$F$350,F175)</f>
        <v>213</v>
      </c>
      <c r="H175" s="8" t="s">
        <v>115</v>
      </c>
      <c r="I175" s="8" t="s">
        <v>82</v>
      </c>
      <c r="J175" s="8" t="s">
        <v>83</v>
      </c>
      <c r="K175" s="8" t="s">
        <v>84</v>
      </c>
      <c r="M175" s="8" t="s">
        <v>85</v>
      </c>
      <c r="N175" s="8" t="s">
        <v>86</v>
      </c>
      <c r="O175" s="8" t="s">
        <v>87</v>
      </c>
      <c r="P175" s="8" t="s">
        <v>88</v>
      </c>
      <c r="Q175" s="8" t="s">
        <v>89</v>
      </c>
      <c r="R175" s="8" t="s">
        <v>90</v>
      </c>
      <c r="S175" s="8" t="s">
        <v>91</v>
      </c>
      <c r="T175" s="8" t="s">
        <v>92</v>
      </c>
      <c r="U175" s="8" t="s">
        <v>93</v>
      </c>
      <c r="V175" s="8" t="s">
        <v>22</v>
      </c>
      <c r="X175" s="8" t="s">
        <v>177</v>
      </c>
      <c r="Y175" s="8" t="s">
        <v>95</v>
      </c>
      <c r="Z175" s="8" t="s">
        <v>189</v>
      </c>
      <c r="AA175" s="8" t="b">
        <v>0</v>
      </c>
      <c r="AC175" s="8">
        <v>0</v>
      </c>
      <c r="AD175" s="8">
        <v>76</v>
      </c>
      <c r="AI175" s="8" t="s">
        <v>213</v>
      </c>
      <c r="AJ175" s="8" t="s">
        <v>88</v>
      </c>
      <c r="AK175" s="8" t="s">
        <v>711</v>
      </c>
      <c r="AL175" s="8" t="s">
        <v>88</v>
      </c>
      <c r="AM175" s="8" t="s">
        <v>88</v>
      </c>
      <c r="AN175" s="8" t="s">
        <v>88</v>
      </c>
      <c r="AO175" s="8">
        <v>1002</v>
      </c>
      <c r="AP175" s="8" t="s">
        <v>712</v>
      </c>
      <c r="AQ175" s="8" t="s">
        <v>100</v>
      </c>
      <c r="AR175" s="8" t="s">
        <v>101</v>
      </c>
      <c r="AS175" s="8" t="s">
        <v>120</v>
      </c>
      <c r="AT175" s="8" t="s">
        <v>103</v>
      </c>
      <c r="AU175" s="8" t="s">
        <v>103</v>
      </c>
      <c r="AX175" s="8" t="s">
        <v>104</v>
      </c>
      <c r="AY175" s="8" t="s">
        <v>121</v>
      </c>
      <c r="AZ175" s="8" t="s">
        <v>100</v>
      </c>
      <c r="BA175" s="8" t="s">
        <v>101</v>
      </c>
      <c r="BB175" s="8" t="s">
        <v>102</v>
      </c>
      <c r="BC175" s="8" t="s">
        <v>103</v>
      </c>
      <c r="BD175" s="8" t="s">
        <v>103</v>
      </c>
      <c r="BF175" s="8" t="s">
        <v>107</v>
      </c>
      <c r="BG175" s="8">
        <v>16700</v>
      </c>
      <c r="BH175" s="8" t="s">
        <v>122</v>
      </c>
      <c r="BO175" s="8">
        <v>12</v>
      </c>
      <c r="BR175" s="8" t="s">
        <v>100</v>
      </c>
      <c r="BS175" s="8" t="s">
        <v>182</v>
      </c>
      <c r="BT175" s="8" t="s">
        <v>183</v>
      </c>
      <c r="BU175" s="8" t="s">
        <v>106</v>
      </c>
      <c r="BV175" s="8" t="s">
        <v>123</v>
      </c>
      <c r="BW175" s="8" t="s">
        <v>110</v>
      </c>
    </row>
    <row r="176" spans="1:75" s="8" customFormat="1" x14ac:dyDescent="0.35">
      <c r="A176" s="8" t="s">
        <v>713</v>
      </c>
      <c r="B176" s="9">
        <v>45990</v>
      </c>
      <c r="C176" s="10">
        <v>0.53224537037037034</v>
      </c>
      <c r="D176" s="8" t="s">
        <v>78</v>
      </c>
      <c r="E176" s="8" t="s">
        <v>79</v>
      </c>
      <c r="F176" s="11" t="s">
        <v>80</v>
      </c>
      <c r="G176" s="8">
        <f>COUNTIF($F$2:$F$350,F176)</f>
        <v>38</v>
      </c>
      <c r="H176" s="8" t="s">
        <v>81</v>
      </c>
      <c r="I176" s="8" t="s">
        <v>82</v>
      </c>
      <c r="J176" s="8" t="s">
        <v>83</v>
      </c>
      <c r="K176" s="8" t="s">
        <v>84</v>
      </c>
      <c r="M176" s="8" t="s">
        <v>85</v>
      </c>
      <c r="N176" s="8" t="s">
        <v>86</v>
      </c>
      <c r="O176" s="8" t="s">
        <v>87</v>
      </c>
      <c r="P176" s="8" t="s">
        <v>88</v>
      </c>
      <c r="Q176" s="8" t="s">
        <v>89</v>
      </c>
      <c r="R176" s="8" t="s">
        <v>90</v>
      </c>
      <c r="S176" s="8" t="s">
        <v>91</v>
      </c>
      <c r="T176" s="8" t="s">
        <v>92</v>
      </c>
      <c r="U176" s="8" t="s">
        <v>93</v>
      </c>
      <c r="V176" s="8" t="s">
        <v>22</v>
      </c>
      <c r="X176" s="8" t="s">
        <v>94</v>
      </c>
      <c r="Y176" s="8" t="s">
        <v>95</v>
      </c>
      <c r="Z176" s="8" t="s">
        <v>96</v>
      </c>
      <c r="AA176" s="8" t="b">
        <v>0</v>
      </c>
      <c r="AC176" s="8">
        <v>0</v>
      </c>
      <c r="AD176" s="8">
        <v>133</v>
      </c>
      <c r="AI176" s="8" t="s">
        <v>97</v>
      </c>
      <c r="AJ176" s="8" t="s">
        <v>88</v>
      </c>
      <c r="AK176" s="8" t="s">
        <v>714</v>
      </c>
      <c r="AL176" s="8" t="s">
        <v>88</v>
      </c>
      <c r="AM176" s="8" t="s">
        <v>88</v>
      </c>
      <c r="AN176" s="8" t="s">
        <v>88</v>
      </c>
      <c r="AO176" s="8">
        <v>1002</v>
      </c>
      <c r="AP176" s="12" t="s">
        <v>715</v>
      </c>
      <c r="AQ176" s="8" t="s">
        <v>100</v>
      </c>
      <c r="AR176" s="8" t="s">
        <v>101</v>
      </c>
      <c r="AS176" s="8" t="s">
        <v>102</v>
      </c>
      <c r="AT176" s="8" t="s">
        <v>103</v>
      </c>
      <c r="AU176" s="8" t="s">
        <v>103</v>
      </c>
      <c r="AX176" s="8" t="s">
        <v>104</v>
      </c>
      <c r="AY176" s="8" t="s">
        <v>105</v>
      </c>
      <c r="AZ176" s="8" t="s">
        <v>100</v>
      </c>
      <c r="BA176" s="8" t="s">
        <v>101</v>
      </c>
      <c r="BB176" s="8" t="s">
        <v>102</v>
      </c>
      <c r="BC176" s="8" t="s">
        <v>103</v>
      </c>
      <c r="BD176" s="8" t="s">
        <v>106</v>
      </c>
      <c r="BF176" s="8" t="s">
        <v>107</v>
      </c>
      <c r="BG176" s="8">
        <v>16700</v>
      </c>
      <c r="BH176" s="8" t="s">
        <v>108</v>
      </c>
      <c r="BO176" s="8">
        <v>0</v>
      </c>
      <c r="BR176" s="8" t="s">
        <v>100</v>
      </c>
      <c r="BS176" s="8" t="s">
        <v>109</v>
      </c>
      <c r="BT176" s="8" t="s">
        <v>102</v>
      </c>
      <c r="BU176" s="8" t="s">
        <v>103</v>
      </c>
      <c r="BV176" s="8" t="s">
        <v>106</v>
      </c>
      <c r="BW176" s="8" t="s">
        <v>110</v>
      </c>
    </row>
    <row r="177" spans="1:75" x14ac:dyDescent="0.35">
      <c r="A177" t="s">
        <v>716</v>
      </c>
      <c r="B177" s="1">
        <v>45990</v>
      </c>
      <c r="C177" s="2">
        <v>0.52685185185185179</v>
      </c>
      <c r="D177" t="s">
        <v>112</v>
      </c>
      <c r="E177" t="s">
        <v>113</v>
      </c>
      <c r="F177" t="s">
        <v>114</v>
      </c>
      <c r="G177">
        <f>COUNTIF($F$2:$F$350,F177)</f>
        <v>42</v>
      </c>
      <c r="H177" t="s">
        <v>115</v>
      </c>
      <c r="I177" t="s">
        <v>82</v>
      </c>
      <c r="J177" t="s">
        <v>83</v>
      </c>
      <c r="K177" t="s">
        <v>84</v>
      </c>
      <c r="M177" t="s">
        <v>85</v>
      </c>
      <c r="N177" t="s">
        <v>116</v>
      </c>
      <c r="O177" t="s">
        <v>87</v>
      </c>
      <c r="P177" t="s">
        <v>88</v>
      </c>
      <c r="Q177" t="s">
        <v>89</v>
      </c>
      <c r="R177" t="s">
        <v>90</v>
      </c>
      <c r="S177" t="s">
        <v>91</v>
      </c>
      <c r="T177" t="s">
        <v>92</v>
      </c>
      <c r="U177" t="s">
        <v>93</v>
      </c>
      <c r="V177" t="s">
        <v>22</v>
      </c>
      <c r="X177" t="s">
        <v>94</v>
      </c>
      <c r="Y177" t="s">
        <v>95</v>
      </c>
      <c r="Z177" t="s">
        <v>96</v>
      </c>
      <c r="AA177" t="b">
        <v>0</v>
      </c>
      <c r="AC177">
        <v>0</v>
      </c>
      <c r="AD177">
        <v>74</v>
      </c>
      <c r="AI177" t="s">
        <v>117</v>
      </c>
      <c r="AJ177" t="s">
        <v>88</v>
      </c>
      <c r="AK177" t="s">
        <v>717</v>
      </c>
      <c r="AL177" t="s">
        <v>88</v>
      </c>
      <c r="AM177" t="s">
        <v>88</v>
      </c>
      <c r="AN177" t="s">
        <v>88</v>
      </c>
      <c r="AO177">
        <v>1002</v>
      </c>
      <c r="AP177" t="s">
        <v>718</v>
      </c>
      <c r="AQ177" t="s">
        <v>100</v>
      </c>
      <c r="AR177" t="s">
        <v>101</v>
      </c>
      <c r="AS177" t="s">
        <v>120</v>
      </c>
      <c r="AT177" t="s">
        <v>103</v>
      </c>
      <c r="AU177" t="s">
        <v>103</v>
      </c>
      <c r="AX177" t="s">
        <v>104</v>
      </c>
      <c r="AY177" t="s">
        <v>121</v>
      </c>
      <c r="AZ177" t="s">
        <v>100</v>
      </c>
      <c r="BA177" t="s">
        <v>101</v>
      </c>
      <c r="BB177" t="s">
        <v>102</v>
      </c>
      <c r="BC177" t="s">
        <v>103</v>
      </c>
      <c r="BD177" t="s">
        <v>103</v>
      </c>
      <c r="BF177" t="s">
        <v>107</v>
      </c>
      <c r="BG177">
        <v>16700</v>
      </c>
      <c r="BH177" t="s">
        <v>122</v>
      </c>
      <c r="BO177">
        <v>12</v>
      </c>
      <c r="BR177" t="s">
        <v>100</v>
      </c>
      <c r="BS177" t="s">
        <v>109</v>
      </c>
      <c r="BT177" t="s">
        <v>102</v>
      </c>
      <c r="BU177" t="s">
        <v>106</v>
      </c>
      <c r="BV177" t="s">
        <v>123</v>
      </c>
      <c r="BW177" t="s">
        <v>110</v>
      </c>
    </row>
    <row r="178" spans="1:75" s="8" customFormat="1" x14ac:dyDescent="0.35">
      <c r="A178" s="8" t="s">
        <v>719</v>
      </c>
      <c r="B178" s="9">
        <v>45990</v>
      </c>
      <c r="C178" s="10">
        <v>0.50531249999999994</v>
      </c>
      <c r="D178" s="8" t="s">
        <v>460</v>
      </c>
      <c r="E178" s="8" t="s">
        <v>461</v>
      </c>
      <c r="F178" s="11" t="s">
        <v>172</v>
      </c>
      <c r="G178" s="8">
        <f>COUNTIF($F$2:$F$350,F178)</f>
        <v>213</v>
      </c>
      <c r="H178" s="8" t="s">
        <v>115</v>
      </c>
      <c r="I178" s="8" t="s">
        <v>82</v>
      </c>
      <c r="J178" s="8" t="s">
        <v>83</v>
      </c>
      <c r="K178" s="8" t="s">
        <v>84</v>
      </c>
      <c r="M178" s="8" t="s">
        <v>85</v>
      </c>
      <c r="N178" s="8" t="s">
        <v>116</v>
      </c>
      <c r="O178" s="8" t="s">
        <v>87</v>
      </c>
      <c r="P178" s="8" t="s">
        <v>88</v>
      </c>
      <c r="Q178" s="8" t="s">
        <v>89</v>
      </c>
      <c r="R178" s="8" t="s">
        <v>90</v>
      </c>
      <c r="S178" s="8" t="s">
        <v>91</v>
      </c>
      <c r="T178" s="8" t="s">
        <v>92</v>
      </c>
      <c r="U178" s="8" t="s">
        <v>93</v>
      </c>
      <c r="V178" s="8" t="s">
        <v>22</v>
      </c>
      <c r="X178" s="8" t="s">
        <v>462</v>
      </c>
      <c r="Y178" s="8" t="s">
        <v>95</v>
      </c>
      <c r="Z178" s="8" t="s">
        <v>463</v>
      </c>
      <c r="AA178" s="8" t="b">
        <v>0</v>
      </c>
      <c r="AC178" s="8">
        <v>0</v>
      </c>
      <c r="AD178" s="8">
        <v>113</v>
      </c>
      <c r="AI178" s="8" t="s">
        <v>464</v>
      </c>
      <c r="AJ178" s="8" t="s">
        <v>88</v>
      </c>
      <c r="AK178" s="8" t="s">
        <v>720</v>
      </c>
      <c r="AL178" s="8" t="s">
        <v>88</v>
      </c>
      <c r="AM178" s="8" t="s">
        <v>88</v>
      </c>
      <c r="AN178" s="8" t="s">
        <v>88</v>
      </c>
      <c r="AO178" s="8">
        <v>1002</v>
      </c>
      <c r="AP178" s="8" t="s">
        <v>721</v>
      </c>
      <c r="AQ178" s="8" t="s">
        <v>100</v>
      </c>
      <c r="AR178" s="8" t="s">
        <v>101</v>
      </c>
      <c r="AS178" s="8" t="s">
        <v>120</v>
      </c>
      <c r="AT178" s="8" t="s">
        <v>103</v>
      </c>
      <c r="AU178" s="8" t="s">
        <v>103</v>
      </c>
      <c r="AX178" s="8" t="s">
        <v>104</v>
      </c>
      <c r="AY178" s="8" t="s">
        <v>121</v>
      </c>
      <c r="AZ178" s="8" t="s">
        <v>100</v>
      </c>
      <c r="BA178" s="8" t="s">
        <v>101</v>
      </c>
      <c r="BB178" s="8" t="s">
        <v>102</v>
      </c>
      <c r="BC178" s="8" t="s">
        <v>103</v>
      </c>
      <c r="BD178" s="8" t="s">
        <v>103</v>
      </c>
      <c r="BF178" s="8" t="s">
        <v>107</v>
      </c>
      <c r="BG178" s="8">
        <v>16700</v>
      </c>
      <c r="BH178" s="8" t="s">
        <v>122</v>
      </c>
      <c r="BO178" s="8">
        <v>12</v>
      </c>
      <c r="BR178" s="8" t="s">
        <v>100</v>
      </c>
      <c r="BS178" s="8" t="s">
        <v>182</v>
      </c>
      <c r="BT178" s="8" t="s">
        <v>183</v>
      </c>
      <c r="BU178" s="8" t="s">
        <v>106</v>
      </c>
      <c r="BV178" s="8" t="s">
        <v>123</v>
      </c>
      <c r="BW178" s="8" t="s">
        <v>110</v>
      </c>
    </row>
    <row r="179" spans="1:75" s="8" customFormat="1" x14ac:dyDescent="0.35">
      <c r="A179" s="8" t="s">
        <v>722</v>
      </c>
      <c r="B179" s="9">
        <v>45990</v>
      </c>
      <c r="C179" s="10">
        <v>0.50523148148148145</v>
      </c>
      <c r="D179" s="8" t="s">
        <v>460</v>
      </c>
      <c r="E179" s="8" t="s">
        <v>461</v>
      </c>
      <c r="F179" s="11" t="s">
        <v>172</v>
      </c>
      <c r="G179" s="8">
        <f>COUNTIF($F$2:$F$350,F179)</f>
        <v>213</v>
      </c>
      <c r="H179" s="8" t="s">
        <v>115</v>
      </c>
      <c r="I179" s="8" t="s">
        <v>82</v>
      </c>
      <c r="J179" s="8" t="s">
        <v>83</v>
      </c>
      <c r="K179" s="8" t="s">
        <v>84</v>
      </c>
      <c r="M179" s="8" t="s">
        <v>85</v>
      </c>
      <c r="N179" s="8" t="s">
        <v>116</v>
      </c>
      <c r="O179" s="8" t="s">
        <v>87</v>
      </c>
      <c r="P179" s="8" t="s">
        <v>88</v>
      </c>
      <c r="Q179" s="8" t="s">
        <v>155</v>
      </c>
      <c r="R179" s="8" t="s">
        <v>156</v>
      </c>
      <c r="S179" s="8" t="s">
        <v>155</v>
      </c>
      <c r="T179" s="8" t="s">
        <v>156</v>
      </c>
      <c r="U179" s="8" t="s">
        <v>93</v>
      </c>
      <c r="V179" s="8" t="s">
        <v>22</v>
      </c>
      <c r="X179" s="8" t="s">
        <v>462</v>
      </c>
      <c r="Y179" s="8" t="s">
        <v>95</v>
      </c>
      <c r="Z179" s="8" t="s">
        <v>463</v>
      </c>
      <c r="AA179" s="8" t="b">
        <v>0</v>
      </c>
      <c r="AC179" s="8">
        <v>0</v>
      </c>
      <c r="AD179" s="8">
        <v>79</v>
      </c>
      <c r="AI179" s="8" t="s">
        <v>464</v>
      </c>
      <c r="AJ179" s="8" t="s">
        <v>88</v>
      </c>
      <c r="AK179" s="8" t="s">
        <v>723</v>
      </c>
      <c r="AL179" s="8" t="s">
        <v>88</v>
      </c>
      <c r="AM179" s="8" t="s">
        <v>88</v>
      </c>
      <c r="AN179" s="8" t="s">
        <v>88</v>
      </c>
      <c r="AO179" s="8">
        <v>1002</v>
      </c>
      <c r="AP179" s="8" t="s">
        <v>724</v>
      </c>
      <c r="AQ179" s="8" t="s">
        <v>100</v>
      </c>
      <c r="AR179" s="8" t="s">
        <v>101</v>
      </c>
      <c r="AS179" s="8" t="s">
        <v>120</v>
      </c>
      <c r="AT179" s="8" t="s">
        <v>103</v>
      </c>
      <c r="AU179" s="8" t="s">
        <v>103</v>
      </c>
      <c r="AX179" s="8" t="s">
        <v>104</v>
      </c>
      <c r="AY179" s="8" t="s">
        <v>121</v>
      </c>
      <c r="AZ179" s="8" t="s">
        <v>100</v>
      </c>
      <c r="BA179" s="8" t="s">
        <v>101</v>
      </c>
      <c r="BB179" s="8" t="s">
        <v>102</v>
      </c>
      <c r="BC179" s="8" t="s">
        <v>103</v>
      </c>
      <c r="BD179" s="8" t="s">
        <v>103</v>
      </c>
      <c r="BF179" s="8" t="s">
        <v>107</v>
      </c>
      <c r="BG179" s="8">
        <v>16700</v>
      </c>
      <c r="BH179" s="8" t="s">
        <v>122</v>
      </c>
      <c r="BO179" s="8">
        <v>12</v>
      </c>
      <c r="BR179" s="8" t="s">
        <v>100</v>
      </c>
      <c r="BS179" s="8" t="s">
        <v>182</v>
      </c>
      <c r="BT179" s="8" t="s">
        <v>183</v>
      </c>
      <c r="BU179" s="8" t="s">
        <v>106</v>
      </c>
      <c r="BV179" s="8" t="s">
        <v>123</v>
      </c>
      <c r="BW179" s="8" t="s">
        <v>110</v>
      </c>
    </row>
    <row r="180" spans="1:75" s="8" customFormat="1" x14ac:dyDescent="0.35">
      <c r="A180" s="8" t="s">
        <v>725</v>
      </c>
      <c r="B180" s="9">
        <v>45990</v>
      </c>
      <c r="C180" s="10">
        <v>0.50519675925925933</v>
      </c>
      <c r="D180" s="8" t="s">
        <v>460</v>
      </c>
      <c r="E180" s="8" t="s">
        <v>461</v>
      </c>
      <c r="F180" s="11" t="s">
        <v>172</v>
      </c>
      <c r="G180" s="8">
        <f>COUNTIF($F$2:$F$350,F180)</f>
        <v>213</v>
      </c>
      <c r="H180" s="8" t="s">
        <v>115</v>
      </c>
      <c r="I180" s="8" t="s">
        <v>82</v>
      </c>
      <c r="J180" s="8" t="s">
        <v>83</v>
      </c>
      <c r="K180" s="8" t="s">
        <v>84</v>
      </c>
      <c r="M180" s="8" t="s">
        <v>85</v>
      </c>
      <c r="N180" s="8" t="s">
        <v>116</v>
      </c>
      <c r="O180" s="8" t="s">
        <v>87</v>
      </c>
      <c r="P180" s="8" t="s">
        <v>88</v>
      </c>
      <c r="Q180" s="8" t="s">
        <v>155</v>
      </c>
      <c r="R180" s="8" t="s">
        <v>156</v>
      </c>
      <c r="S180" s="8" t="s">
        <v>155</v>
      </c>
      <c r="T180" s="8" t="s">
        <v>156</v>
      </c>
      <c r="U180" s="8" t="s">
        <v>93</v>
      </c>
      <c r="V180" s="8" t="s">
        <v>22</v>
      </c>
      <c r="X180" s="8" t="s">
        <v>462</v>
      </c>
      <c r="Y180" s="8" t="s">
        <v>95</v>
      </c>
      <c r="Z180" s="8" t="s">
        <v>463</v>
      </c>
      <c r="AA180" s="8" t="b">
        <v>0</v>
      </c>
      <c r="AC180" s="8">
        <v>0</v>
      </c>
      <c r="AD180" s="8">
        <v>72</v>
      </c>
      <c r="AI180" s="8" t="s">
        <v>464</v>
      </c>
      <c r="AJ180" s="8" t="s">
        <v>88</v>
      </c>
      <c r="AK180" s="8" t="s">
        <v>726</v>
      </c>
      <c r="AL180" s="8" t="s">
        <v>88</v>
      </c>
      <c r="AM180" s="8" t="s">
        <v>88</v>
      </c>
      <c r="AN180" s="8" t="s">
        <v>88</v>
      </c>
      <c r="AO180" s="8">
        <v>1002</v>
      </c>
      <c r="AP180" s="8" t="s">
        <v>727</v>
      </c>
      <c r="AQ180" s="8" t="s">
        <v>100</v>
      </c>
      <c r="AR180" s="8" t="s">
        <v>101</v>
      </c>
      <c r="AS180" s="8" t="s">
        <v>120</v>
      </c>
      <c r="AT180" s="8" t="s">
        <v>103</v>
      </c>
      <c r="AU180" s="8" t="s">
        <v>103</v>
      </c>
      <c r="AX180" s="8" t="s">
        <v>104</v>
      </c>
      <c r="AY180" s="8" t="s">
        <v>121</v>
      </c>
      <c r="AZ180" s="8" t="s">
        <v>100</v>
      </c>
      <c r="BA180" s="8" t="s">
        <v>101</v>
      </c>
      <c r="BB180" s="8" t="s">
        <v>102</v>
      </c>
      <c r="BC180" s="8" t="s">
        <v>103</v>
      </c>
      <c r="BD180" s="8" t="s">
        <v>103</v>
      </c>
      <c r="BF180" s="8" t="s">
        <v>107</v>
      </c>
      <c r="BG180" s="8">
        <v>16700</v>
      </c>
      <c r="BH180" s="8" t="s">
        <v>122</v>
      </c>
      <c r="BO180" s="8">
        <v>12</v>
      </c>
      <c r="BR180" s="8" t="s">
        <v>100</v>
      </c>
      <c r="BS180" s="8" t="s">
        <v>182</v>
      </c>
      <c r="BT180" s="8" t="s">
        <v>183</v>
      </c>
      <c r="BU180" s="8" t="s">
        <v>106</v>
      </c>
      <c r="BV180" s="8" t="s">
        <v>123</v>
      </c>
      <c r="BW180" s="8" t="s">
        <v>110</v>
      </c>
    </row>
    <row r="181" spans="1:75" s="8" customFormat="1" x14ac:dyDescent="0.35">
      <c r="A181" s="8" t="s">
        <v>728</v>
      </c>
      <c r="B181" s="9">
        <v>45990</v>
      </c>
      <c r="C181" s="10">
        <v>0.49276620370370372</v>
      </c>
      <c r="D181" s="8" t="s">
        <v>549</v>
      </c>
      <c r="E181" s="8" t="s">
        <v>550</v>
      </c>
      <c r="F181" s="11" t="s">
        <v>172</v>
      </c>
      <c r="G181" s="8">
        <f>COUNTIF($F$2:$F$350,F181)</f>
        <v>213</v>
      </c>
      <c r="H181" s="8" t="s">
        <v>115</v>
      </c>
      <c r="I181" s="8" t="s">
        <v>82</v>
      </c>
      <c r="J181" s="8" t="s">
        <v>83</v>
      </c>
      <c r="K181" s="8" t="s">
        <v>84</v>
      </c>
      <c r="M181" s="8" t="s">
        <v>85</v>
      </c>
      <c r="N181" s="8" t="s">
        <v>86</v>
      </c>
      <c r="O181" s="8" t="s">
        <v>87</v>
      </c>
      <c r="P181" s="8" t="s">
        <v>173</v>
      </c>
      <c r="Q181" s="8" t="s">
        <v>89</v>
      </c>
      <c r="R181" s="8" t="s">
        <v>90</v>
      </c>
      <c r="S181" s="8" t="s">
        <v>729</v>
      </c>
      <c r="T181" s="8" t="s">
        <v>730</v>
      </c>
      <c r="U181" s="8" t="s">
        <v>93</v>
      </c>
      <c r="V181" s="8" t="s">
        <v>22</v>
      </c>
      <c r="W181" s="8" t="s">
        <v>731</v>
      </c>
      <c r="X181" s="8" t="s">
        <v>177</v>
      </c>
      <c r="Y181" s="8" t="s">
        <v>95</v>
      </c>
      <c r="Z181" s="8" t="s">
        <v>189</v>
      </c>
      <c r="AA181" s="8" t="b">
        <v>0</v>
      </c>
      <c r="AC181" s="8">
        <v>0</v>
      </c>
      <c r="AD181" s="8">
        <v>141</v>
      </c>
      <c r="AI181" s="8" t="s">
        <v>732</v>
      </c>
      <c r="AJ181" s="8" t="s">
        <v>88</v>
      </c>
      <c r="AK181" s="8" t="s">
        <v>733</v>
      </c>
      <c r="AL181" s="8" t="s">
        <v>88</v>
      </c>
      <c r="AM181" s="8" t="s">
        <v>88</v>
      </c>
      <c r="AN181" s="8" t="s">
        <v>88</v>
      </c>
      <c r="AP181" s="8" t="s">
        <v>734</v>
      </c>
      <c r="AQ181" s="8" t="s">
        <v>100</v>
      </c>
      <c r="AR181" s="8" t="s">
        <v>101</v>
      </c>
      <c r="AS181" s="8" t="s">
        <v>120</v>
      </c>
      <c r="AT181" s="8" t="s">
        <v>103</v>
      </c>
      <c r="AU181" s="8" t="s">
        <v>103</v>
      </c>
      <c r="AX181" s="8" t="s">
        <v>104</v>
      </c>
      <c r="AY181" s="8" t="s">
        <v>121</v>
      </c>
      <c r="AZ181" s="8" t="s">
        <v>100</v>
      </c>
      <c r="BA181" s="8" t="s">
        <v>101</v>
      </c>
      <c r="BB181" s="8" t="s">
        <v>102</v>
      </c>
      <c r="BC181" s="8" t="s">
        <v>103</v>
      </c>
      <c r="BD181" s="8" t="s">
        <v>103</v>
      </c>
      <c r="BF181" s="8" t="s">
        <v>107</v>
      </c>
      <c r="BG181" s="8">
        <v>16700</v>
      </c>
      <c r="BH181" s="8" t="s">
        <v>122</v>
      </c>
      <c r="BO181" s="8">
        <v>12</v>
      </c>
      <c r="BR181" s="8" t="s">
        <v>100</v>
      </c>
      <c r="BS181" s="8" t="s">
        <v>182</v>
      </c>
      <c r="BT181" s="8" t="s">
        <v>183</v>
      </c>
      <c r="BU181" s="8" t="s">
        <v>106</v>
      </c>
      <c r="BV181" s="8" t="s">
        <v>123</v>
      </c>
      <c r="BW181" s="8" t="s">
        <v>110</v>
      </c>
    </row>
    <row r="182" spans="1:75" s="8" customFormat="1" x14ac:dyDescent="0.35">
      <c r="A182" s="8" t="s">
        <v>735</v>
      </c>
      <c r="B182" s="9">
        <v>45990</v>
      </c>
      <c r="C182" s="10">
        <v>0.36210648148148145</v>
      </c>
      <c r="D182" s="8" t="s">
        <v>78</v>
      </c>
      <c r="E182" s="8" t="s">
        <v>79</v>
      </c>
      <c r="F182" s="11" t="s">
        <v>80</v>
      </c>
      <c r="G182" s="8">
        <f>COUNTIF($F$2:$F$350,F182)</f>
        <v>38</v>
      </c>
      <c r="H182" s="8" t="s">
        <v>81</v>
      </c>
      <c r="I182" s="8" t="s">
        <v>82</v>
      </c>
      <c r="J182" s="8" t="s">
        <v>83</v>
      </c>
      <c r="K182" s="8" t="s">
        <v>84</v>
      </c>
      <c r="M182" s="8" t="s">
        <v>85</v>
      </c>
      <c r="N182" s="8" t="s">
        <v>86</v>
      </c>
      <c r="O182" s="8" t="s">
        <v>87</v>
      </c>
      <c r="P182" s="8" t="s">
        <v>88</v>
      </c>
      <c r="Q182" s="8" t="s">
        <v>89</v>
      </c>
      <c r="R182" s="8" t="s">
        <v>90</v>
      </c>
      <c r="S182" s="8" t="s">
        <v>91</v>
      </c>
      <c r="T182" s="8" t="s">
        <v>92</v>
      </c>
      <c r="U182" s="8" t="s">
        <v>93</v>
      </c>
      <c r="V182" s="8" t="s">
        <v>22</v>
      </c>
      <c r="X182" s="8" t="s">
        <v>94</v>
      </c>
      <c r="Y182" s="8" t="s">
        <v>95</v>
      </c>
      <c r="Z182" s="8" t="s">
        <v>96</v>
      </c>
      <c r="AA182" s="8" t="b">
        <v>0</v>
      </c>
      <c r="AC182" s="8">
        <v>0</v>
      </c>
      <c r="AD182" s="8">
        <v>80</v>
      </c>
      <c r="AI182" s="8" t="s">
        <v>97</v>
      </c>
      <c r="AJ182" s="8" t="s">
        <v>88</v>
      </c>
      <c r="AK182" s="8" t="s">
        <v>736</v>
      </c>
      <c r="AL182" s="8" t="s">
        <v>88</v>
      </c>
      <c r="AM182" s="8" t="s">
        <v>88</v>
      </c>
      <c r="AN182" s="8" t="s">
        <v>88</v>
      </c>
      <c r="AO182" s="8">
        <v>1002</v>
      </c>
      <c r="AP182" s="8" t="s">
        <v>737</v>
      </c>
      <c r="AQ182" s="8" t="s">
        <v>100</v>
      </c>
      <c r="AR182" s="8" t="s">
        <v>101</v>
      </c>
      <c r="AS182" s="8" t="s">
        <v>102</v>
      </c>
      <c r="AT182" s="8" t="s">
        <v>103</v>
      </c>
      <c r="AU182" s="8" t="s">
        <v>103</v>
      </c>
      <c r="AX182" s="8" t="s">
        <v>104</v>
      </c>
      <c r="AY182" s="8" t="s">
        <v>105</v>
      </c>
      <c r="AZ182" s="8" t="s">
        <v>100</v>
      </c>
      <c r="BA182" s="8" t="s">
        <v>101</v>
      </c>
      <c r="BB182" s="8" t="s">
        <v>102</v>
      </c>
      <c r="BC182" s="8" t="s">
        <v>103</v>
      </c>
      <c r="BD182" s="8" t="s">
        <v>106</v>
      </c>
      <c r="BF182" s="8" t="s">
        <v>107</v>
      </c>
      <c r="BG182" s="8">
        <v>16700</v>
      </c>
      <c r="BH182" s="8" t="s">
        <v>108</v>
      </c>
      <c r="BO182" s="8">
        <v>0</v>
      </c>
      <c r="BR182" s="8" t="s">
        <v>100</v>
      </c>
      <c r="BS182" s="8" t="s">
        <v>109</v>
      </c>
      <c r="BT182" s="8" t="s">
        <v>102</v>
      </c>
      <c r="BU182" s="8" t="s">
        <v>103</v>
      </c>
      <c r="BV182" s="8" t="s">
        <v>106</v>
      </c>
      <c r="BW182" s="8" t="s">
        <v>110</v>
      </c>
    </row>
    <row r="183" spans="1:75" x14ac:dyDescent="0.35">
      <c r="A183" t="s">
        <v>738</v>
      </c>
      <c r="B183" s="1">
        <v>45990</v>
      </c>
      <c r="C183" s="2">
        <v>0.35810185185185189</v>
      </c>
      <c r="D183" t="s">
        <v>112</v>
      </c>
      <c r="E183" t="s">
        <v>113</v>
      </c>
      <c r="F183" t="s">
        <v>114</v>
      </c>
      <c r="G183">
        <f>COUNTIF($F$2:$F$350,F183)</f>
        <v>42</v>
      </c>
      <c r="H183" t="s">
        <v>115</v>
      </c>
      <c r="I183" t="s">
        <v>82</v>
      </c>
      <c r="J183" t="s">
        <v>83</v>
      </c>
      <c r="K183" t="s">
        <v>84</v>
      </c>
      <c r="M183" t="s">
        <v>85</v>
      </c>
      <c r="N183" t="s">
        <v>116</v>
      </c>
      <c r="O183" t="s">
        <v>87</v>
      </c>
      <c r="P183" t="s">
        <v>88</v>
      </c>
      <c r="Q183" t="s">
        <v>89</v>
      </c>
      <c r="R183" t="s">
        <v>90</v>
      </c>
      <c r="S183" t="s">
        <v>91</v>
      </c>
      <c r="T183" t="s">
        <v>92</v>
      </c>
      <c r="U183" t="s">
        <v>93</v>
      </c>
      <c r="V183" t="s">
        <v>22</v>
      </c>
      <c r="X183" t="s">
        <v>94</v>
      </c>
      <c r="Y183" t="s">
        <v>95</v>
      </c>
      <c r="Z183" t="s">
        <v>96</v>
      </c>
      <c r="AA183" t="b">
        <v>0</v>
      </c>
      <c r="AC183">
        <v>0</v>
      </c>
      <c r="AD183">
        <v>119</v>
      </c>
      <c r="AI183" t="s">
        <v>117</v>
      </c>
      <c r="AJ183" t="s">
        <v>88</v>
      </c>
      <c r="AK183" t="s">
        <v>739</v>
      </c>
      <c r="AL183" t="s">
        <v>88</v>
      </c>
      <c r="AM183" t="s">
        <v>88</v>
      </c>
      <c r="AN183" t="s">
        <v>88</v>
      </c>
      <c r="AO183">
        <v>1002</v>
      </c>
      <c r="AP183" t="s">
        <v>740</v>
      </c>
      <c r="AQ183" t="s">
        <v>100</v>
      </c>
      <c r="AR183" t="s">
        <v>101</v>
      </c>
      <c r="AS183" t="s">
        <v>120</v>
      </c>
      <c r="AT183" t="s">
        <v>103</v>
      </c>
      <c r="AU183" t="s">
        <v>103</v>
      </c>
      <c r="AX183" t="s">
        <v>104</v>
      </c>
      <c r="AY183" t="s">
        <v>121</v>
      </c>
      <c r="AZ183" t="s">
        <v>100</v>
      </c>
      <c r="BA183" t="s">
        <v>101</v>
      </c>
      <c r="BB183" t="s">
        <v>102</v>
      </c>
      <c r="BC183" t="s">
        <v>103</v>
      </c>
      <c r="BD183" t="s">
        <v>103</v>
      </c>
      <c r="BF183" t="s">
        <v>107</v>
      </c>
      <c r="BG183">
        <v>16700</v>
      </c>
      <c r="BH183" t="s">
        <v>122</v>
      </c>
      <c r="BO183">
        <v>12</v>
      </c>
      <c r="BR183" t="s">
        <v>100</v>
      </c>
      <c r="BS183" t="s">
        <v>109</v>
      </c>
      <c r="BT183" t="s">
        <v>102</v>
      </c>
      <c r="BU183" t="s">
        <v>106</v>
      </c>
      <c r="BV183" t="s">
        <v>123</v>
      </c>
      <c r="BW183" t="s">
        <v>110</v>
      </c>
    </row>
    <row r="184" spans="1:75" s="8" customFormat="1" x14ac:dyDescent="0.35">
      <c r="A184" s="8" t="s">
        <v>741</v>
      </c>
      <c r="B184" s="9">
        <v>45990</v>
      </c>
      <c r="C184" s="10">
        <v>0.19196759259259258</v>
      </c>
      <c r="D184" s="8" t="s">
        <v>78</v>
      </c>
      <c r="E184" s="8" t="s">
        <v>79</v>
      </c>
      <c r="F184" s="11" t="s">
        <v>80</v>
      </c>
      <c r="G184" s="8">
        <f>COUNTIF($F$2:$F$350,F184)</f>
        <v>38</v>
      </c>
      <c r="H184" s="8" t="s">
        <v>81</v>
      </c>
      <c r="I184" s="8" t="s">
        <v>82</v>
      </c>
      <c r="J184" s="8" t="s">
        <v>83</v>
      </c>
      <c r="K184" s="8" t="s">
        <v>84</v>
      </c>
      <c r="M184" s="8" t="s">
        <v>85</v>
      </c>
      <c r="N184" s="8" t="s">
        <v>86</v>
      </c>
      <c r="O184" s="8" t="s">
        <v>87</v>
      </c>
      <c r="P184" s="8" t="s">
        <v>88</v>
      </c>
      <c r="Q184" s="8" t="s">
        <v>89</v>
      </c>
      <c r="R184" s="8" t="s">
        <v>90</v>
      </c>
      <c r="S184" s="8" t="s">
        <v>91</v>
      </c>
      <c r="T184" s="8" t="s">
        <v>92</v>
      </c>
      <c r="U184" s="8" t="s">
        <v>93</v>
      </c>
      <c r="V184" s="8" t="s">
        <v>22</v>
      </c>
      <c r="X184" s="8" t="s">
        <v>94</v>
      </c>
      <c r="Y184" s="8" t="s">
        <v>95</v>
      </c>
      <c r="Z184" s="8" t="s">
        <v>96</v>
      </c>
      <c r="AA184" s="8" t="b">
        <v>0</v>
      </c>
      <c r="AC184" s="8">
        <v>0</v>
      </c>
      <c r="AD184" s="8">
        <v>125</v>
      </c>
      <c r="AI184" s="8" t="s">
        <v>97</v>
      </c>
      <c r="AJ184" s="8" t="s">
        <v>88</v>
      </c>
      <c r="AK184" s="8" t="s">
        <v>742</v>
      </c>
      <c r="AL184" s="8" t="s">
        <v>88</v>
      </c>
      <c r="AM184" s="8" t="s">
        <v>88</v>
      </c>
      <c r="AN184" s="8" t="s">
        <v>88</v>
      </c>
      <c r="AO184" s="8">
        <v>1002</v>
      </c>
      <c r="AP184" s="8" t="s">
        <v>743</v>
      </c>
      <c r="AQ184" s="8" t="s">
        <v>100</v>
      </c>
      <c r="AR184" s="8" t="s">
        <v>101</v>
      </c>
      <c r="AS184" s="8" t="s">
        <v>102</v>
      </c>
      <c r="AT184" s="8" t="s">
        <v>103</v>
      </c>
      <c r="AU184" s="8" t="s">
        <v>103</v>
      </c>
      <c r="AX184" s="8" t="s">
        <v>104</v>
      </c>
      <c r="AY184" s="8" t="s">
        <v>105</v>
      </c>
      <c r="AZ184" s="8" t="s">
        <v>100</v>
      </c>
      <c r="BA184" s="8" t="s">
        <v>101</v>
      </c>
      <c r="BB184" s="8" t="s">
        <v>102</v>
      </c>
      <c r="BC184" s="8" t="s">
        <v>103</v>
      </c>
      <c r="BD184" s="8" t="s">
        <v>106</v>
      </c>
      <c r="BF184" s="8" t="s">
        <v>107</v>
      </c>
      <c r="BG184" s="8">
        <v>16700</v>
      </c>
      <c r="BH184" s="8" t="s">
        <v>108</v>
      </c>
      <c r="BO184" s="8">
        <v>0</v>
      </c>
      <c r="BR184" s="8" t="s">
        <v>100</v>
      </c>
      <c r="BS184" s="8" t="s">
        <v>109</v>
      </c>
      <c r="BT184" s="8" t="s">
        <v>102</v>
      </c>
      <c r="BU184" s="8" t="s">
        <v>103</v>
      </c>
      <c r="BV184" s="8" t="s">
        <v>106</v>
      </c>
      <c r="BW184" s="8" t="s">
        <v>110</v>
      </c>
    </row>
    <row r="185" spans="1:75" x14ac:dyDescent="0.35">
      <c r="A185" t="s">
        <v>744</v>
      </c>
      <c r="B185" s="1">
        <v>45990</v>
      </c>
      <c r="C185" s="2">
        <v>0.18935185185185185</v>
      </c>
      <c r="D185" t="s">
        <v>112</v>
      </c>
      <c r="E185" t="s">
        <v>113</v>
      </c>
      <c r="F185" t="s">
        <v>114</v>
      </c>
      <c r="G185">
        <f>COUNTIF($F$2:$F$350,F185)</f>
        <v>42</v>
      </c>
      <c r="H185" t="s">
        <v>115</v>
      </c>
      <c r="I185" t="s">
        <v>82</v>
      </c>
      <c r="J185" t="s">
        <v>83</v>
      </c>
      <c r="K185" t="s">
        <v>84</v>
      </c>
      <c r="M185" t="s">
        <v>85</v>
      </c>
      <c r="N185" t="s">
        <v>116</v>
      </c>
      <c r="O185" t="s">
        <v>87</v>
      </c>
      <c r="P185" t="s">
        <v>88</v>
      </c>
      <c r="Q185" t="s">
        <v>89</v>
      </c>
      <c r="R185" t="s">
        <v>90</v>
      </c>
      <c r="S185" t="s">
        <v>91</v>
      </c>
      <c r="T185" t="s">
        <v>92</v>
      </c>
      <c r="U185" t="s">
        <v>93</v>
      </c>
      <c r="V185" t="s">
        <v>22</v>
      </c>
      <c r="X185" t="s">
        <v>94</v>
      </c>
      <c r="Y185" t="s">
        <v>95</v>
      </c>
      <c r="Z185" t="s">
        <v>96</v>
      </c>
      <c r="AA185" t="b">
        <v>0</v>
      </c>
      <c r="AC185">
        <v>0</v>
      </c>
      <c r="AD185">
        <v>90</v>
      </c>
      <c r="AI185" t="s">
        <v>117</v>
      </c>
      <c r="AJ185" t="s">
        <v>88</v>
      </c>
      <c r="AK185" t="s">
        <v>745</v>
      </c>
      <c r="AL185" t="s">
        <v>88</v>
      </c>
      <c r="AM185" t="s">
        <v>88</v>
      </c>
      <c r="AN185" t="s">
        <v>88</v>
      </c>
      <c r="AO185">
        <v>1002</v>
      </c>
      <c r="AP185" t="s">
        <v>746</v>
      </c>
      <c r="AQ185" t="s">
        <v>100</v>
      </c>
      <c r="AR185" t="s">
        <v>101</v>
      </c>
      <c r="AS185" t="s">
        <v>120</v>
      </c>
      <c r="AT185" t="s">
        <v>103</v>
      </c>
      <c r="AU185" t="s">
        <v>103</v>
      </c>
      <c r="AX185" t="s">
        <v>104</v>
      </c>
      <c r="AY185" t="s">
        <v>121</v>
      </c>
      <c r="AZ185" t="s">
        <v>100</v>
      </c>
      <c r="BA185" t="s">
        <v>101</v>
      </c>
      <c r="BB185" t="s">
        <v>102</v>
      </c>
      <c r="BC185" t="s">
        <v>103</v>
      </c>
      <c r="BD185" t="s">
        <v>103</v>
      </c>
      <c r="BF185" t="s">
        <v>107</v>
      </c>
      <c r="BG185">
        <v>16700</v>
      </c>
      <c r="BH185" t="s">
        <v>122</v>
      </c>
      <c r="BO185">
        <v>12</v>
      </c>
      <c r="BR185" t="s">
        <v>100</v>
      </c>
      <c r="BS185" t="s">
        <v>109</v>
      </c>
      <c r="BT185" t="s">
        <v>102</v>
      </c>
      <c r="BU185" t="s">
        <v>106</v>
      </c>
      <c r="BV185" t="s">
        <v>123</v>
      </c>
      <c r="BW185" t="s">
        <v>110</v>
      </c>
    </row>
    <row r="186" spans="1:75" x14ac:dyDescent="0.35">
      <c r="A186" t="s">
        <v>747</v>
      </c>
      <c r="B186" s="1">
        <v>45990</v>
      </c>
      <c r="C186" s="2">
        <v>4.116898148148148E-2</v>
      </c>
      <c r="D186" t="s">
        <v>460</v>
      </c>
      <c r="E186" t="s">
        <v>461</v>
      </c>
      <c r="F186" t="s">
        <v>748</v>
      </c>
      <c r="G186">
        <f>COUNTIF($F$2:$F$350,F186)</f>
        <v>2</v>
      </c>
      <c r="H186" t="s">
        <v>81</v>
      </c>
      <c r="I186" t="s">
        <v>82</v>
      </c>
      <c r="J186" t="s">
        <v>83</v>
      </c>
      <c r="K186" t="s">
        <v>84</v>
      </c>
      <c r="M186" t="s">
        <v>85</v>
      </c>
      <c r="N186" t="s">
        <v>116</v>
      </c>
      <c r="O186" t="s">
        <v>87</v>
      </c>
      <c r="P186" t="s">
        <v>88</v>
      </c>
      <c r="Q186" t="s">
        <v>89</v>
      </c>
      <c r="R186" t="s">
        <v>90</v>
      </c>
      <c r="S186" t="s">
        <v>91</v>
      </c>
      <c r="T186" t="s">
        <v>92</v>
      </c>
      <c r="U186" t="s">
        <v>93</v>
      </c>
      <c r="V186" t="s">
        <v>22</v>
      </c>
      <c r="X186" t="s">
        <v>94</v>
      </c>
      <c r="Y186" t="s">
        <v>95</v>
      </c>
      <c r="Z186" t="s">
        <v>96</v>
      </c>
      <c r="AA186" t="b">
        <v>0</v>
      </c>
      <c r="AC186">
        <v>0</v>
      </c>
      <c r="AD186">
        <v>74</v>
      </c>
      <c r="AI186" t="s">
        <v>749</v>
      </c>
      <c r="AJ186" t="s">
        <v>88</v>
      </c>
      <c r="AK186" t="s">
        <v>750</v>
      </c>
      <c r="AL186" t="s">
        <v>88</v>
      </c>
      <c r="AM186" t="s">
        <v>88</v>
      </c>
      <c r="AN186" t="s">
        <v>88</v>
      </c>
      <c r="AO186">
        <v>1002</v>
      </c>
      <c r="AP186" t="s">
        <v>751</v>
      </c>
      <c r="AQ186" t="s">
        <v>100</v>
      </c>
      <c r="AR186" t="s">
        <v>101</v>
      </c>
      <c r="AS186" t="s">
        <v>183</v>
      </c>
      <c r="AT186" t="s">
        <v>752</v>
      </c>
      <c r="AU186" t="s">
        <v>752</v>
      </c>
      <c r="AX186" t="s">
        <v>753</v>
      </c>
      <c r="AY186" t="s">
        <v>754</v>
      </c>
      <c r="AZ186" t="s">
        <v>100</v>
      </c>
      <c r="BA186" t="s">
        <v>101</v>
      </c>
      <c r="BB186" t="s">
        <v>755</v>
      </c>
      <c r="BC186" t="s">
        <v>752</v>
      </c>
      <c r="BD186" t="s">
        <v>752</v>
      </c>
      <c r="BF186" t="s">
        <v>756</v>
      </c>
      <c r="BG186">
        <v>399898</v>
      </c>
      <c r="BH186" t="s">
        <v>757</v>
      </c>
      <c r="BO186">
        <v>3</v>
      </c>
      <c r="BR186" t="s">
        <v>100</v>
      </c>
      <c r="BS186" t="s">
        <v>758</v>
      </c>
      <c r="BT186" t="s">
        <v>759</v>
      </c>
      <c r="BU186" t="s">
        <v>752</v>
      </c>
      <c r="BV186" t="s">
        <v>752</v>
      </c>
      <c r="BW186" t="s">
        <v>110</v>
      </c>
    </row>
    <row r="187" spans="1:75" x14ac:dyDescent="0.35">
      <c r="A187" t="s">
        <v>760</v>
      </c>
      <c r="B187" s="1">
        <v>45990</v>
      </c>
      <c r="C187" s="2">
        <v>4.1122685185185186E-2</v>
      </c>
      <c r="D187" t="s">
        <v>460</v>
      </c>
      <c r="E187" t="s">
        <v>461</v>
      </c>
      <c r="F187" t="s">
        <v>748</v>
      </c>
      <c r="G187">
        <f>COUNTIF($F$2:$F$350,F187)</f>
        <v>2</v>
      </c>
      <c r="H187" t="s">
        <v>81</v>
      </c>
      <c r="I187" t="s">
        <v>82</v>
      </c>
      <c r="J187" t="s">
        <v>83</v>
      </c>
      <c r="K187" t="s">
        <v>84</v>
      </c>
      <c r="M187" t="s">
        <v>85</v>
      </c>
      <c r="N187" t="s">
        <v>116</v>
      </c>
      <c r="O187" t="s">
        <v>87</v>
      </c>
      <c r="P187" t="s">
        <v>88</v>
      </c>
      <c r="Q187" t="s">
        <v>155</v>
      </c>
      <c r="R187" t="s">
        <v>156</v>
      </c>
      <c r="S187" t="s">
        <v>155</v>
      </c>
      <c r="T187" t="s">
        <v>156</v>
      </c>
      <c r="U187" t="s">
        <v>93</v>
      </c>
      <c r="V187" t="s">
        <v>22</v>
      </c>
      <c r="X187" t="s">
        <v>94</v>
      </c>
      <c r="Y187" t="s">
        <v>95</v>
      </c>
      <c r="Z187" t="s">
        <v>96</v>
      </c>
      <c r="AA187" t="b">
        <v>0</v>
      </c>
      <c r="AC187">
        <v>0</v>
      </c>
      <c r="AD187">
        <v>67</v>
      </c>
      <c r="AI187" t="s">
        <v>749</v>
      </c>
      <c r="AJ187" t="s">
        <v>88</v>
      </c>
      <c r="AK187" t="s">
        <v>761</v>
      </c>
      <c r="AL187" t="s">
        <v>88</v>
      </c>
      <c r="AM187" t="s">
        <v>88</v>
      </c>
      <c r="AN187" t="s">
        <v>88</v>
      </c>
      <c r="AO187">
        <v>1002</v>
      </c>
      <c r="AP187" t="s">
        <v>762</v>
      </c>
      <c r="AQ187" t="s">
        <v>100</v>
      </c>
      <c r="AR187" t="s">
        <v>101</v>
      </c>
      <c r="AS187" t="s">
        <v>183</v>
      </c>
      <c r="AT187" t="s">
        <v>752</v>
      </c>
      <c r="AU187" t="s">
        <v>752</v>
      </c>
      <c r="AX187" t="s">
        <v>753</v>
      </c>
      <c r="AY187" t="s">
        <v>754</v>
      </c>
      <c r="AZ187" t="s">
        <v>100</v>
      </c>
      <c r="BA187" t="s">
        <v>101</v>
      </c>
      <c r="BB187" t="s">
        <v>755</v>
      </c>
      <c r="BC187" t="s">
        <v>752</v>
      </c>
      <c r="BD187" t="s">
        <v>752</v>
      </c>
      <c r="BF187" t="s">
        <v>756</v>
      </c>
      <c r="BG187">
        <v>399898</v>
      </c>
      <c r="BH187" t="s">
        <v>757</v>
      </c>
      <c r="BO187">
        <v>3</v>
      </c>
      <c r="BR187" t="s">
        <v>100</v>
      </c>
      <c r="BS187" t="s">
        <v>758</v>
      </c>
      <c r="BT187" t="s">
        <v>759</v>
      </c>
      <c r="BU187" t="s">
        <v>752</v>
      </c>
      <c r="BV187" t="s">
        <v>752</v>
      </c>
      <c r="BW187" t="s">
        <v>110</v>
      </c>
    </row>
    <row r="188" spans="1:75" s="8" customFormat="1" x14ac:dyDescent="0.35">
      <c r="A188" s="8" t="s">
        <v>763</v>
      </c>
      <c r="B188" s="9">
        <v>45990</v>
      </c>
      <c r="C188" s="10">
        <v>2.1134259259259259E-2</v>
      </c>
      <c r="D188" s="8" t="s">
        <v>78</v>
      </c>
      <c r="E188" s="8" t="s">
        <v>79</v>
      </c>
      <c r="F188" s="11" t="s">
        <v>80</v>
      </c>
      <c r="G188" s="8">
        <f>COUNTIF($F$2:$F$350,F188)</f>
        <v>38</v>
      </c>
      <c r="H188" s="8" t="s">
        <v>81</v>
      </c>
      <c r="I188" s="8" t="s">
        <v>82</v>
      </c>
      <c r="J188" s="8" t="s">
        <v>83</v>
      </c>
      <c r="K188" s="8" t="s">
        <v>84</v>
      </c>
      <c r="M188" s="8" t="s">
        <v>85</v>
      </c>
      <c r="N188" s="8" t="s">
        <v>86</v>
      </c>
      <c r="O188" s="8" t="s">
        <v>87</v>
      </c>
      <c r="P188" s="8" t="s">
        <v>88</v>
      </c>
      <c r="Q188" s="8" t="s">
        <v>89</v>
      </c>
      <c r="R188" s="8" t="s">
        <v>90</v>
      </c>
      <c r="S188" s="8" t="s">
        <v>91</v>
      </c>
      <c r="T188" s="8" t="s">
        <v>92</v>
      </c>
      <c r="U188" s="8" t="s">
        <v>93</v>
      </c>
      <c r="V188" s="8" t="s">
        <v>22</v>
      </c>
      <c r="X188" s="8" t="s">
        <v>94</v>
      </c>
      <c r="Y188" s="8" t="s">
        <v>95</v>
      </c>
      <c r="Z188" s="8" t="s">
        <v>96</v>
      </c>
      <c r="AA188" s="8" t="b">
        <v>0</v>
      </c>
      <c r="AC188" s="8">
        <v>0</v>
      </c>
      <c r="AD188" s="8">
        <v>77</v>
      </c>
      <c r="AI188" s="8" t="s">
        <v>97</v>
      </c>
      <c r="AJ188" s="8" t="s">
        <v>88</v>
      </c>
      <c r="AK188" s="8" t="s">
        <v>764</v>
      </c>
      <c r="AL188" s="8" t="s">
        <v>88</v>
      </c>
      <c r="AM188" s="8" t="s">
        <v>88</v>
      </c>
      <c r="AN188" s="8" t="s">
        <v>88</v>
      </c>
      <c r="AO188" s="8">
        <v>1002</v>
      </c>
      <c r="AP188" s="8" t="s">
        <v>765</v>
      </c>
      <c r="AQ188" s="8" t="s">
        <v>100</v>
      </c>
      <c r="AR188" s="8" t="s">
        <v>101</v>
      </c>
      <c r="AS188" s="8" t="s">
        <v>102</v>
      </c>
      <c r="AT188" s="8" t="s">
        <v>103</v>
      </c>
      <c r="AU188" s="8" t="s">
        <v>103</v>
      </c>
      <c r="AX188" s="8" t="s">
        <v>104</v>
      </c>
      <c r="AY188" s="8" t="s">
        <v>105</v>
      </c>
      <c r="AZ188" s="8" t="s">
        <v>100</v>
      </c>
      <c r="BA188" s="8" t="s">
        <v>101</v>
      </c>
      <c r="BB188" s="8" t="s">
        <v>102</v>
      </c>
      <c r="BC188" s="8" t="s">
        <v>103</v>
      </c>
      <c r="BD188" s="8" t="s">
        <v>106</v>
      </c>
      <c r="BF188" s="8" t="s">
        <v>107</v>
      </c>
      <c r="BG188" s="8">
        <v>16700</v>
      </c>
      <c r="BH188" s="8" t="s">
        <v>108</v>
      </c>
      <c r="BO188" s="8">
        <v>0</v>
      </c>
      <c r="BR188" s="8" t="s">
        <v>100</v>
      </c>
      <c r="BS188" s="8" t="s">
        <v>109</v>
      </c>
      <c r="BT188" s="8" t="s">
        <v>102</v>
      </c>
      <c r="BU188" s="8" t="s">
        <v>103</v>
      </c>
      <c r="BV188" s="8" t="s">
        <v>106</v>
      </c>
      <c r="BW188" s="8" t="s">
        <v>110</v>
      </c>
    </row>
    <row r="189" spans="1:75" x14ac:dyDescent="0.35">
      <c r="A189" t="s">
        <v>766</v>
      </c>
      <c r="B189" s="1">
        <v>45990</v>
      </c>
      <c r="C189" s="2">
        <v>2.0590277777777777E-2</v>
      </c>
      <c r="D189" t="s">
        <v>112</v>
      </c>
      <c r="E189" t="s">
        <v>113</v>
      </c>
      <c r="F189" t="s">
        <v>114</v>
      </c>
      <c r="G189">
        <f>COUNTIF($F$2:$F$350,F189)</f>
        <v>42</v>
      </c>
      <c r="H189" t="s">
        <v>115</v>
      </c>
      <c r="I189" t="s">
        <v>82</v>
      </c>
      <c r="J189" t="s">
        <v>83</v>
      </c>
      <c r="K189" t="s">
        <v>84</v>
      </c>
      <c r="M189" t="s">
        <v>85</v>
      </c>
      <c r="N189" t="s">
        <v>116</v>
      </c>
      <c r="O189" t="s">
        <v>87</v>
      </c>
      <c r="P189" t="s">
        <v>88</v>
      </c>
      <c r="Q189" t="s">
        <v>89</v>
      </c>
      <c r="R189" t="s">
        <v>90</v>
      </c>
      <c r="S189" t="s">
        <v>91</v>
      </c>
      <c r="T189" t="s">
        <v>92</v>
      </c>
      <c r="U189" t="s">
        <v>93</v>
      </c>
      <c r="V189" t="s">
        <v>22</v>
      </c>
      <c r="X189" t="s">
        <v>94</v>
      </c>
      <c r="Y189" t="s">
        <v>95</v>
      </c>
      <c r="Z189" t="s">
        <v>96</v>
      </c>
      <c r="AA189" t="b">
        <v>0</v>
      </c>
      <c r="AC189">
        <v>0</v>
      </c>
      <c r="AD189">
        <v>110</v>
      </c>
      <c r="AI189" t="s">
        <v>117</v>
      </c>
      <c r="AJ189" t="s">
        <v>88</v>
      </c>
      <c r="AK189" t="s">
        <v>767</v>
      </c>
      <c r="AL189" t="s">
        <v>88</v>
      </c>
      <c r="AM189" t="s">
        <v>88</v>
      </c>
      <c r="AN189" t="s">
        <v>88</v>
      </c>
      <c r="AO189">
        <v>1002</v>
      </c>
      <c r="AP189" t="s">
        <v>768</v>
      </c>
      <c r="AQ189" t="s">
        <v>100</v>
      </c>
      <c r="AR189" t="s">
        <v>101</v>
      </c>
      <c r="AS189" t="s">
        <v>120</v>
      </c>
      <c r="AT189" t="s">
        <v>103</v>
      </c>
      <c r="AU189" t="s">
        <v>103</v>
      </c>
      <c r="AX189" t="s">
        <v>104</v>
      </c>
      <c r="AY189" t="s">
        <v>121</v>
      </c>
      <c r="AZ189" t="s">
        <v>100</v>
      </c>
      <c r="BA189" t="s">
        <v>101</v>
      </c>
      <c r="BB189" t="s">
        <v>102</v>
      </c>
      <c r="BC189" t="s">
        <v>103</v>
      </c>
      <c r="BD189" t="s">
        <v>103</v>
      </c>
      <c r="BF189" t="s">
        <v>107</v>
      </c>
      <c r="BG189">
        <v>16700</v>
      </c>
      <c r="BH189" t="s">
        <v>122</v>
      </c>
      <c r="BO189">
        <v>12</v>
      </c>
      <c r="BR189" t="s">
        <v>100</v>
      </c>
      <c r="BS189" t="s">
        <v>109</v>
      </c>
      <c r="BT189" t="s">
        <v>102</v>
      </c>
      <c r="BU189" t="s">
        <v>106</v>
      </c>
      <c r="BV189" t="s">
        <v>123</v>
      </c>
      <c r="BW189" t="s">
        <v>110</v>
      </c>
    </row>
    <row r="190" spans="1:75" x14ac:dyDescent="0.35">
      <c r="A190" t="s">
        <v>769</v>
      </c>
      <c r="B190" s="1">
        <v>45989</v>
      </c>
      <c r="C190" s="2">
        <v>0.85184027777777782</v>
      </c>
      <c r="D190" t="s">
        <v>112</v>
      </c>
      <c r="E190" t="s">
        <v>113</v>
      </c>
      <c r="F190" t="s">
        <v>114</v>
      </c>
      <c r="G190">
        <f>COUNTIF($F$2:$F$350,F190)</f>
        <v>42</v>
      </c>
      <c r="H190" t="s">
        <v>115</v>
      </c>
      <c r="I190" t="s">
        <v>82</v>
      </c>
      <c r="J190" t="s">
        <v>83</v>
      </c>
      <c r="K190" t="s">
        <v>84</v>
      </c>
      <c r="M190" t="s">
        <v>85</v>
      </c>
      <c r="N190" t="s">
        <v>116</v>
      </c>
      <c r="O190" t="s">
        <v>87</v>
      </c>
      <c r="P190" t="s">
        <v>88</v>
      </c>
      <c r="Q190" t="s">
        <v>89</v>
      </c>
      <c r="R190" t="s">
        <v>90</v>
      </c>
      <c r="S190" t="s">
        <v>91</v>
      </c>
      <c r="T190" t="s">
        <v>92</v>
      </c>
      <c r="U190" t="s">
        <v>93</v>
      </c>
      <c r="V190" t="s">
        <v>22</v>
      </c>
      <c r="X190" t="s">
        <v>94</v>
      </c>
      <c r="Y190" t="s">
        <v>95</v>
      </c>
      <c r="Z190" t="s">
        <v>96</v>
      </c>
      <c r="AA190" t="b">
        <v>0</v>
      </c>
      <c r="AC190">
        <v>0</v>
      </c>
      <c r="AD190">
        <v>163</v>
      </c>
      <c r="AI190" t="s">
        <v>117</v>
      </c>
      <c r="AJ190" t="s">
        <v>88</v>
      </c>
      <c r="AK190" t="s">
        <v>770</v>
      </c>
      <c r="AL190" t="s">
        <v>88</v>
      </c>
      <c r="AM190" t="s">
        <v>88</v>
      </c>
      <c r="AN190" t="s">
        <v>88</v>
      </c>
      <c r="AO190">
        <v>1002</v>
      </c>
      <c r="AP190" t="s">
        <v>771</v>
      </c>
      <c r="AQ190" t="s">
        <v>100</v>
      </c>
      <c r="AR190" t="s">
        <v>101</v>
      </c>
      <c r="AS190" t="s">
        <v>120</v>
      </c>
      <c r="AT190" t="s">
        <v>103</v>
      </c>
      <c r="AU190" t="s">
        <v>103</v>
      </c>
      <c r="AX190" t="s">
        <v>104</v>
      </c>
      <c r="AY190" t="s">
        <v>121</v>
      </c>
      <c r="AZ190" t="s">
        <v>100</v>
      </c>
      <c r="BA190" t="s">
        <v>101</v>
      </c>
      <c r="BB190" t="s">
        <v>102</v>
      </c>
      <c r="BC190" t="s">
        <v>103</v>
      </c>
      <c r="BD190" t="s">
        <v>103</v>
      </c>
      <c r="BF190" t="s">
        <v>107</v>
      </c>
      <c r="BG190">
        <v>16700</v>
      </c>
      <c r="BH190" t="s">
        <v>122</v>
      </c>
      <c r="BO190">
        <v>12</v>
      </c>
      <c r="BR190" t="s">
        <v>100</v>
      </c>
      <c r="BS190" t="s">
        <v>109</v>
      </c>
      <c r="BT190" t="s">
        <v>102</v>
      </c>
      <c r="BU190" t="s">
        <v>106</v>
      </c>
      <c r="BV190" t="s">
        <v>123</v>
      </c>
      <c r="BW190" t="s">
        <v>110</v>
      </c>
    </row>
    <row r="191" spans="1:75" s="8" customFormat="1" x14ac:dyDescent="0.35">
      <c r="A191" s="8" t="s">
        <v>772</v>
      </c>
      <c r="B191" s="9">
        <v>45989</v>
      </c>
      <c r="C191" s="10">
        <v>0.85099537037037043</v>
      </c>
      <c r="D191" s="8" t="s">
        <v>78</v>
      </c>
      <c r="E191" s="8" t="s">
        <v>79</v>
      </c>
      <c r="F191" s="11" t="s">
        <v>80</v>
      </c>
      <c r="G191" s="8">
        <f>COUNTIF($F$2:$F$350,F191)</f>
        <v>38</v>
      </c>
      <c r="H191" s="8" t="s">
        <v>81</v>
      </c>
      <c r="I191" s="8" t="s">
        <v>82</v>
      </c>
      <c r="J191" s="8" t="s">
        <v>83</v>
      </c>
      <c r="K191" s="8" t="s">
        <v>84</v>
      </c>
      <c r="M191" s="8" t="s">
        <v>85</v>
      </c>
      <c r="N191" s="8" t="s">
        <v>86</v>
      </c>
      <c r="O191" s="8" t="s">
        <v>87</v>
      </c>
      <c r="P191" s="8" t="s">
        <v>88</v>
      </c>
      <c r="Q191" s="8" t="s">
        <v>89</v>
      </c>
      <c r="R191" s="8" t="s">
        <v>90</v>
      </c>
      <c r="S191" s="8" t="s">
        <v>91</v>
      </c>
      <c r="T191" s="8" t="s">
        <v>92</v>
      </c>
      <c r="U191" s="8" t="s">
        <v>93</v>
      </c>
      <c r="V191" s="8" t="s">
        <v>22</v>
      </c>
      <c r="X191" s="8" t="s">
        <v>94</v>
      </c>
      <c r="Y191" s="8" t="s">
        <v>95</v>
      </c>
      <c r="Z191" s="8" t="s">
        <v>96</v>
      </c>
      <c r="AA191" s="8" t="b">
        <v>0</v>
      </c>
      <c r="AC191" s="8">
        <v>0</v>
      </c>
      <c r="AD191" s="8">
        <v>90</v>
      </c>
      <c r="AI191" s="8" t="s">
        <v>97</v>
      </c>
      <c r="AJ191" s="8" t="s">
        <v>88</v>
      </c>
      <c r="AK191" s="8" t="s">
        <v>773</v>
      </c>
      <c r="AL191" s="8" t="s">
        <v>88</v>
      </c>
      <c r="AM191" s="8" t="s">
        <v>88</v>
      </c>
      <c r="AN191" s="8" t="s">
        <v>88</v>
      </c>
      <c r="AO191" s="8">
        <v>1002</v>
      </c>
      <c r="AP191" s="8" t="s">
        <v>774</v>
      </c>
      <c r="AQ191" s="8" t="s">
        <v>100</v>
      </c>
      <c r="AR191" s="8" t="s">
        <v>101</v>
      </c>
      <c r="AS191" s="8" t="s">
        <v>102</v>
      </c>
      <c r="AT191" s="8" t="s">
        <v>103</v>
      </c>
      <c r="AU191" s="8" t="s">
        <v>103</v>
      </c>
      <c r="AX191" s="8" t="s">
        <v>104</v>
      </c>
      <c r="AY191" s="8" t="s">
        <v>105</v>
      </c>
      <c r="AZ191" s="8" t="s">
        <v>100</v>
      </c>
      <c r="BA191" s="8" t="s">
        <v>101</v>
      </c>
      <c r="BB191" s="8" t="s">
        <v>102</v>
      </c>
      <c r="BC191" s="8" t="s">
        <v>103</v>
      </c>
      <c r="BD191" s="8" t="s">
        <v>106</v>
      </c>
      <c r="BF191" s="8" t="s">
        <v>107</v>
      </c>
      <c r="BG191" s="8">
        <v>16700</v>
      </c>
      <c r="BH191" s="8" t="s">
        <v>108</v>
      </c>
      <c r="BO191" s="8">
        <v>0</v>
      </c>
      <c r="BR191" s="8" t="s">
        <v>100</v>
      </c>
      <c r="BS191" s="8" t="s">
        <v>109</v>
      </c>
      <c r="BT191" s="8" t="s">
        <v>102</v>
      </c>
      <c r="BU191" s="8" t="s">
        <v>103</v>
      </c>
      <c r="BV191" s="8" t="s">
        <v>106</v>
      </c>
      <c r="BW191" s="8" t="s">
        <v>110</v>
      </c>
    </row>
    <row r="192" spans="1:75" s="8" customFormat="1" x14ac:dyDescent="0.35">
      <c r="A192" s="8" t="s">
        <v>775</v>
      </c>
      <c r="B192" s="9">
        <v>45989</v>
      </c>
      <c r="C192" s="10">
        <v>0.74979166666666675</v>
      </c>
      <c r="D192" s="8" t="s">
        <v>209</v>
      </c>
      <c r="E192" s="8" t="s">
        <v>210</v>
      </c>
      <c r="F192" s="11" t="s">
        <v>172</v>
      </c>
      <c r="G192" s="8">
        <f>COUNTIF($F$2:$F$350,F192)</f>
        <v>213</v>
      </c>
      <c r="H192" s="8" t="s">
        <v>115</v>
      </c>
      <c r="I192" s="8" t="s">
        <v>82</v>
      </c>
      <c r="J192" s="8" t="s">
        <v>83</v>
      </c>
      <c r="K192" s="8" t="s">
        <v>84</v>
      </c>
      <c r="M192" s="8" t="s">
        <v>85</v>
      </c>
      <c r="N192" s="8" t="s">
        <v>86</v>
      </c>
      <c r="O192" s="8" t="s">
        <v>87</v>
      </c>
      <c r="P192" s="8" t="s">
        <v>88</v>
      </c>
      <c r="Q192" s="8" t="s">
        <v>89</v>
      </c>
      <c r="R192" s="8" t="s">
        <v>90</v>
      </c>
      <c r="S192" s="8" t="s">
        <v>91</v>
      </c>
      <c r="T192" s="8" t="s">
        <v>92</v>
      </c>
      <c r="U192" s="8" t="s">
        <v>93</v>
      </c>
      <c r="V192" s="8" t="s">
        <v>22</v>
      </c>
      <c r="X192" s="8" t="s">
        <v>177</v>
      </c>
      <c r="Y192" s="8" t="s">
        <v>95</v>
      </c>
      <c r="Z192" s="8" t="s">
        <v>189</v>
      </c>
      <c r="AA192" s="8" t="b">
        <v>0</v>
      </c>
      <c r="AC192" s="8">
        <v>0</v>
      </c>
      <c r="AD192" s="8">
        <v>87</v>
      </c>
      <c r="AI192" s="8" t="s">
        <v>213</v>
      </c>
      <c r="AJ192" s="8" t="s">
        <v>88</v>
      </c>
      <c r="AK192" s="8" t="s">
        <v>776</v>
      </c>
      <c r="AL192" s="8" t="s">
        <v>88</v>
      </c>
      <c r="AM192" s="8" t="s">
        <v>88</v>
      </c>
      <c r="AN192" s="8" t="s">
        <v>88</v>
      </c>
      <c r="AO192" s="8">
        <v>1002</v>
      </c>
      <c r="AP192" s="8" t="s">
        <v>777</v>
      </c>
      <c r="AQ192" s="8" t="s">
        <v>100</v>
      </c>
      <c r="AR192" s="8" t="s">
        <v>101</v>
      </c>
      <c r="AS192" s="8" t="s">
        <v>120</v>
      </c>
      <c r="AT192" s="8" t="s">
        <v>103</v>
      </c>
      <c r="AU192" s="8" t="s">
        <v>103</v>
      </c>
      <c r="AX192" s="8" t="s">
        <v>104</v>
      </c>
      <c r="AY192" s="8" t="s">
        <v>121</v>
      </c>
      <c r="AZ192" s="8" t="s">
        <v>100</v>
      </c>
      <c r="BA192" s="8" t="s">
        <v>101</v>
      </c>
      <c r="BB192" s="8" t="s">
        <v>102</v>
      </c>
      <c r="BC192" s="8" t="s">
        <v>103</v>
      </c>
      <c r="BD192" s="8" t="s">
        <v>103</v>
      </c>
      <c r="BF192" s="8" t="s">
        <v>107</v>
      </c>
      <c r="BG192" s="8">
        <v>16700</v>
      </c>
      <c r="BH192" s="8" t="s">
        <v>122</v>
      </c>
      <c r="BO192" s="8">
        <v>12</v>
      </c>
      <c r="BR192" s="8" t="s">
        <v>100</v>
      </c>
      <c r="BS192" s="8" t="s">
        <v>182</v>
      </c>
      <c r="BT192" s="8" t="s">
        <v>183</v>
      </c>
      <c r="BU192" s="8" t="s">
        <v>106</v>
      </c>
      <c r="BV192" s="8" t="s">
        <v>123</v>
      </c>
      <c r="BW192" s="8" t="s">
        <v>110</v>
      </c>
    </row>
    <row r="193" spans="1:75" s="8" customFormat="1" x14ac:dyDescent="0.35">
      <c r="A193" s="8" t="s">
        <v>778</v>
      </c>
      <c r="B193" s="9">
        <v>45989</v>
      </c>
      <c r="C193" s="10">
        <v>0.71326388888888881</v>
      </c>
      <c r="D193" s="8" t="s">
        <v>460</v>
      </c>
      <c r="E193" s="8" t="s">
        <v>461</v>
      </c>
      <c r="F193" s="11" t="s">
        <v>172</v>
      </c>
      <c r="G193" s="8">
        <f>COUNTIF($F$2:$F$350,F193)</f>
        <v>213</v>
      </c>
      <c r="H193" s="8" t="s">
        <v>115</v>
      </c>
      <c r="I193" s="8" t="s">
        <v>82</v>
      </c>
      <c r="J193" s="8" t="s">
        <v>83</v>
      </c>
      <c r="K193" s="8" t="s">
        <v>84</v>
      </c>
      <c r="M193" s="8" t="s">
        <v>85</v>
      </c>
      <c r="N193" s="8" t="s">
        <v>116</v>
      </c>
      <c r="O193" s="8" t="s">
        <v>87</v>
      </c>
      <c r="P193" s="8" t="s">
        <v>88</v>
      </c>
      <c r="Q193" s="8" t="s">
        <v>89</v>
      </c>
      <c r="R193" s="8" t="s">
        <v>90</v>
      </c>
      <c r="S193" s="8" t="s">
        <v>91</v>
      </c>
      <c r="T193" s="8" t="s">
        <v>92</v>
      </c>
      <c r="U193" s="8" t="s">
        <v>93</v>
      </c>
      <c r="V193" s="8" t="s">
        <v>22</v>
      </c>
      <c r="X193" s="8" t="s">
        <v>94</v>
      </c>
      <c r="Y193" s="8" t="s">
        <v>95</v>
      </c>
      <c r="Z193" s="8" t="s">
        <v>96</v>
      </c>
      <c r="AA193" s="8" t="b">
        <v>0</v>
      </c>
      <c r="AC193" s="8">
        <v>0</v>
      </c>
      <c r="AD193" s="8">
        <v>101</v>
      </c>
      <c r="AI193" s="8" t="s">
        <v>464</v>
      </c>
      <c r="AJ193" s="8" t="s">
        <v>88</v>
      </c>
      <c r="AK193" s="8" t="s">
        <v>779</v>
      </c>
      <c r="AL193" s="8" t="s">
        <v>88</v>
      </c>
      <c r="AM193" s="8" t="s">
        <v>88</v>
      </c>
      <c r="AN193" s="8" t="s">
        <v>88</v>
      </c>
      <c r="AO193" s="8">
        <v>1002</v>
      </c>
      <c r="AP193" s="8" t="s">
        <v>780</v>
      </c>
      <c r="AQ193" s="8" t="s">
        <v>100</v>
      </c>
      <c r="AR193" s="8" t="s">
        <v>101</v>
      </c>
      <c r="AS193" s="8" t="s">
        <v>120</v>
      </c>
      <c r="AT193" s="8" t="s">
        <v>103</v>
      </c>
      <c r="AU193" s="8" t="s">
        <v>103</v>
      </c>
      <c r="AX193" s="8" t="s">
        <v>104</v>
      </c>
      <c r="AY193" s="8" t="s">
        <v>121</v>
      </c>
      <c r="AZ193" s="8" t="s">
        <v>100</v>
      </c>
      <c r="BA193" s="8" t="s">
        <v>101</v>
      </c>
      <c r="BB193" s="8" t="s">
        <v>102</v>
      </c>
      <c r="BC193" s="8" t="s">
        <v>103</v>
      </c>
      <c r="BD193" s="8" t="s">
        <v>103</v>
      </c>
      <c r="BF193" s="8" t="s">
        <v>107</v>
      </c>
      <c r="BG193" s="8">
        <v>16700</v>
      </c>
      <c r="BH193" s="8" t="s">
        <v>122</v>
      </c>
      <c r="BO193" s="8">
        <v>12</v>
      </c>
      <c r="BR193" s="8" t="s">
        <v>100</v>
      </c>
      <c r="BS193" s="8" t="s">
        <v>182</v>
      </c>
      <c r="BT193" s="8" t="s">
        <v>183</v>
      </c>
      <c r="BU193" s="8" t="s">
        <v>106</v>
      </c>
      <c r="BV193" s="8" t="s">
        <v>123</v>
      </c>
      <c r="BW193" s="8" t="s">
        <v>110</v>
      </c>
    </row>
    <row r="194" spans="1:75" x14ac:dyDescent="0.35">
      <c r="A194" t="s">
        <v>781</v>
      </c>
      <c r="B194" s="1">
        <v>45989</v>
      </c>
      <c r="C194" s="2">
        <v>0.68239583333333342</v>
      </c>
      <c r="D194" t="s">
        <v>112</v>
      </c>
      <c r="E194" t="s">
        <v>113</v>
      </c>
      <c r="F194" t="s">
        <v>114</v>
      </c>
      <c r="G194">
        <f>COUNTIF($F$2:$F$350,F194)</f>
        <v>42</v>
      </c>
      <c r="H194" t="s">
        <v>115</v>
      </c>
      <c r="I194" t="s">
        <v>82</v>
      </c>
      <c r="J194" t="s">
        <v>83</v>
      </c>
      <c r="K194" t="s">
        <v>84</v>
      </c>
      <c r="M194" t="s">
        <v>85</v>
      </c>
      <c r="N194" t="s">
        <v>116</v>
      </c>
      <c r="O194" t="s">
        <v>87</v>
      </c>
      <c r="P194" t="s">
        <v>88</v>
      </c>
      <c r="Q194" t="s">
        <v>89</v>
      </c>
      <c r="R194" t="s">
        <v>90</v>
      </c>
      <c r="S194" t="s">
        <v>91</v>
      </c>
      <c r="T194" t="s">
        <v>92</v>
      </c>
      <c r="U194" t="s">
        <v>93</v>
      </c>
      <c r="V194" t="s">
        <v>22</v>
      </c>
      <c r="X194" t="s">
        <v>94</v>
      </c>
      <c r="Y194" t="s">
        <v>95</v>
      </c>
      <c r="Z194" t="s">
        <v>96</v>
      </c>
      <c r="AA194" t="b">
        <v>0</v>
      </c>
      <c r="AC194">
        <v>0</v>
      </c>
      <c r="AD194">
        <v>87</v>
      </c>
      <c r="AI194" t="s">
        <v>117</v>
      </c>
      <c r="AJ194" t="s">
        <v>88</v>
      </c>
      <c r="AK194" t="s">
        <v>782</v>
      </c>
      <c r="AL194" t="s">
        <v>88</v>
      </c>
      <c r="AM194" t="s">
        <v>88</v>
      </c>
      <c r="AN194" t="s">
        <v>88</v>
      </c>
      <c r="AO194">
        <v>1002</v>
      </c>
      <c r="AP194" t="s">
        <v>783</v>
      </c>
      <c r="AQ194" t="s">
        <v>100</v>
      </c>
      <c r="AR194" t="s">
        <v>101</v>
      </c>
      <c r="AS194" t="s">
        <v>120</v>
      </c>
      <c r="AT194" t="s">
        <v>103</v>
      </c>
      <c r="AU194" t="s">
        <v>103</v>
      </c>
      <c r="AX194" t="s">
        <v>104</v>
      </c>
      <c r="AY194" t="s">
        <v>121</v>
      </c>
      <c r="AZ194" t="s">
        <v>100</v>
      </c>
      <c r="BA194" t="s">
        <v>101</v>
      </c>
      <c r="BB194" t="s">
        <v>102</v>
      </c>
      <c r="BC194" t="s">
        <v>103</v>
      </c>
      <c r="BD194" t="s">
        <v>103</v>
      </c>
      <c r="BF194" t="s">
        <v>107</v>
      </c>
      <c r="BG194">
        <v>16700</v>
      </c>
      <c r="BH194" t="s">
        <v>122</v>
      </c>
      <c r="BO194">
        <v>12</v>
      </c>
      <c r="BR194" t="s">
        <v>100</v>
      </c>
      <c r="BS194" t="s">
        <v>109</v>
      </c>
      <c r="BT194" t="s">
        <v>102</v>
      </c>
      <c r="BU194" t="s">
        <v>106</v>
      </c>
      <c r="BV194" t="s">
        <v>123</v>
      </c>
      <c r="BW194" t="s">
        <v>110</v>
      </c>
    </row>
    <row r="195" spans="1:75" s="8" customFormat="1" x14ac:dyDescent="0.35">
      <c r="A195" s="8" t="s">
        <v>784</v>
      </c>
      <c r="B195" s="9">
        <v>45989</v>
      </c>
      <c r="C195" s="10">
        <v>0.68085648148148159</v>
      </c>
      <c r="D195" s="8" t="s">
        <v>78</v>
      </c>
      <c r="E195" s="8" t="s">
        <v>79</v>
      </c>
      <c r="F195" s="11" t="s">
        <v>80</v>
      </c>
      <c r="G195" s="8">
        <f>COUNTIF($F$2:$F$350,F195)</f>
        <v>38</v>
      </c>
      <c r="H195" s="8" t="s">
        <v>81</v>
      </c>
      <c r="I195" s="8" t="s">
        <v>82</v>
      </c>
      <c r="J195" s="8" t="s">
        <v>83</v>
      </c>
      <c r="K195" s="8" t="s">
        <v>84</v>
      </c>
      <c r="M195" s="8" t="s">
        <v>85</v>
      </c>
      <c r="N195" s="8" t="s">
        <v>86</v>
      </c>
      <c r="O195" s="8" t="s">
        <v>87</v>
      </c>
      <c r="P195" s="8" t="s">
        <v>88</v>
      </c>
      <c r="Q195" s="8" t="s">
        <v>89</v>
      </c>
      <c r="R195" s="8" t="s">
        <v>90</v>
      </c>
      <c r="S195" s="8" t="s">
        <v>91</v>
      </c>
      <c r="T195" s="8" t="s">
        <v>92</v>
      </c>
      <c r="U195" s="8" t="s">
        <v>93</v>
      </c>
      <c r="V195" s="8" t="s">
        <v>22</v>
      </c>
      <c r="X195" s="8" t="s">
        <v>94</v>
      </c>
      <c r="Y195" s="8" t="s">
        <v>95</v>
      </c>
      <c r="Z195" s="8" t="s">
        <v>96</v>
      </c>
      <c r="AA195" s="8" t="b">
        <v>0</v>
      </c>
      <c r="AC195" s="8">
        <v>0</v>
      </c>
      <c r="AD195" s="8">
        <v>102</v>
      </c>
      <c r="AI195" s="8" t="s">
        <v>97</v>
      </c>
      <c r="AJ195" s="8" t="s">
        <v>88</v>
      </c>
      <c r="AK195" s="8" t="s">
        <v>785</v>
      </c>
      <c r="AL195" s="8" t="s">
        <v>88</v>
      </c>
      <c r="AM195" s="8" t="s">
        <v>88</v>
      </c>
      <c r="AN195" s="8" t="s">
        <v>88</v>
      </c>
      <c r="AO195" s="8">
        <v>1002</v>
      </c>
      <c r="AP195" s="8" t="s">
        <v>786</v>
      </c>
      <c r="AQ195" s="8" t="s">
        <v>100</v>
      </c>
      <c r="AR195" s="8" t="s">
        <v>101</v>
      </c>
      <c r="AS195" s="8" t="s">
        <v>102</v>
      </c>
      <c r="AT195" s="8" t="s">
        <v>103</v>
      </c>
      <c r="AU195" s="8" t="s">
        <v>103</v>
      </c>
      <c r="AX195" s="8" t="s">
        <v>104</v>
      </c>
      <c r="AY195" s="8" t="s">
        <v>105</v>
      </c>
      <c r="AZ195" s="8" t="s">
        <v>100</v>
      </c>
      <c r="BA195" s="8" t="s">
        <v>101</v>
      </c>
      <c r="BB195" s="8" t="s">
        <v>102</v>
      </c>
      <c r="BC195" s="8" t="s">
        <v>103</v>
      </c>
      <c r="BD195" s="8" t="s">
        <v>106</v>
      </c>
      <c r="BF195" s="8" t="s">
        <v>107</v>
      </c>
      <c r="BG195" s="8">
        <v>16700</v>
      </c>
      <c r="BH195" s="8" t="s">
        <v>108</v>
      </c>
      <c r="BO195" s="8">
        <v>0</v>
      </c>
      <c r="BR195" s="8" t="s">
        <v>100</v>
      </c>
      <c r="BS195" s="8" t="s">
        <v>109</v>
      </c>
      <c r="BT195" s="8" t="s">
        <v>102</v>
      </c>
      <c r="BU195" s="8" t="s">
        <v>103</v>
      </c>
      <c r="BV195" s="8" t="s">
        <v>106</v>
      </c>
      <c r="BW195" s="8" t="s">
        <v>110</v>
      </c>
    </row>
    <row r="196" spans="1:75" s="8" customFormat="1" x14ac:dyDescent="0.35">
      <c r="A196" s="8" t="s">
        <v>787</v>
      </c>
      <c r="B196" s="9">
        <v>45989</v>
      </c>
      <c r="C196" s="10">
        <v>0.54987268518518517</v>
      </c>
      <c r="D196" s="8" t="s">
        <v>385</v>
      </c>
      <c r="E196" s="8" t="s">
        <v>386</v>
      </c>
      <c r="F196" s="11" t="s">
        <v>172</v>
      </c>
      <c r="G196" s="8">
        <f>COUNTIF($F$2:$F$350,F196)</f>
        <v>213</v>
      </c>
      <c r="H196" s="8" t="s">
        <v>115</v>
      </c>
      <c r="I196" s="8" t="s">
        <v>82</v>
      </c>
      <c r="J196" s="8" t="s">
        <v>83</v>
      </c>
      <c r="K196" s="8" t="s">
        <v>84</v>
      </c>
      <c r="M196" s="8" t="s">
        <v>85</v>
      </c>
      <c r="N196" s="8" t="s">
        <v>116</v>
      </c>
      <c r="O196" s="8" t="s">
        <v>87</v>
      </c>
      <c r="P196" s="8" t="s">
        <v>88</v>
      </c>
      <c r="Q196" s="8" t="s">
        <v>89</v>
      </c>
      <c r="R196" s="8" t="s">
        <v>90</v>
      </c>
      <c r="S196" s="8" t="s">
        <v>91</v>
      </c>
      <c r="T196" s="8" t="s">
        <v>92</v>
      </c>
      <c r="U196" s="8" t="s">
        <v>93</v>
      </c>
      <c r="V196" s="8" t="s">
        <v>22</v>
      </c>
      <c r="X196" s="8" t="s">
        <v>387</v>
      </c>
      <c r="Y196" s="8" t="s">
        <v>95</v>
      </c>
      <c r="Z196" s="8" t="s">
        <v>388</v>
      </c>
      <c r="AA196" s="8" t="b">
        <v>0</v>
      </c>
      <c r="AC196" s="8">
        <v>0</v>
      </c>
      <c r="AD196" s="8">
        <v>111</v>
      </c>
      <c r="AI196" s="12" t="s">
        <v>389</v>
      </c>
      <c r="AJ196" s="8" t="s">
        <v>88</v>
      </c>
      <c r="AK196" s="8" t="s">
        <v>788</v>
      </c>
      <c r="AL196" s="8" t="s">
        <v>88</v>
      </c>
      <c r="AM196" s="8" t="s">
        <v>88</v>
      </c>
      <c r="AN196" s="8" t="s">
        <v>88</v>
      </c>
      <c r="AO196" s="8">
        <v>1002</v>
      </c>
      <c r="AP196" s="8" t="s">
        <v>789</v>
      </c>
      <c r="AQ196" s="8" t="s">
        <v>100</v>
      </c>
      <c r="AR196" s="8" t="s">
        <v>101</v>
      </c>
      <c r="AS196" s="8" t="s">
        <v>120</v>
      </c>
      <c r="AT196" s="8" t="s">
        <v>103</v>
      </c>
      <c r="AU196" s="8" t="s">
        <v>103</v>
      </c>
      <c r="AX196" s="8" t="s">
        <v>104</v>
      </c>
      <c r="AY196" s="8" t="s">
        <v>121</v>
      </c>
      <c r="AZ196" s="8" t="s">
        <v>100</v>
      </c>
      <c r="BA196" s="8" t="s">
        <v>101</v>
      </c>
      <c r="BB196" s="8" t="s">
        <v>102</v>
      </c>
      <c r="BC196" s="8" t="s">
        <v>103</v>
      </c>
      <c r="BD196" s="8" t="s">
        <v>103</v>
      </c>
      <c r="BF196" s="8" t="s">
        <v>107</v>
      </c>
      <c r="BG196" s="8">
        <v>16700</v>
      </c>
      <c r="BH196" s="8" t="s">
        <v>122</v>
      </c>
      <c r="BO196" s="8">
        <v>12</v>
      </c>
      <c r="BR196" s="8" t="s">
        <v>100</v>
      </c>
      <c r="BS196" s="8" t="s">
        <v>182</v>
      </c>
      <c r="BT196" s="8" t="s">
        <v>183</v>
      </c>
      <c r="BU196" s="8" t="s">
        <v>106</v>
      </c>
      <c r="BV196" s="8" t="s">
        <v>123</v>
      </c>
      <c r="BW196" s="8" t="s">
        <v>110</v>
      </c>
    </row>
    <row r="197" spans="1:75" s="8" customFormat="1" x14ac:dyDescent="0.35">
      <c r="A197" s="8" t="s">
        <v>790</v>
      </c>
      <c r="B197" s="9">
        <v>45989</v>
      </c>
      <c r="C197" s="10">
        <v>0.54983796296296295</v>
      </c>
      <c r="D197" s="8" t="s">
        <v>385</v>
      </c>
      <c r="E197" s="8" t="s">
        <v>386</v>
      </c>
      <c r="F197" s="11" t="s">
        <v>172</v>
      </c>
      <c r="G197" s="8">
        <f>COUNTIF($F$2:$F$350,F197)</f>
        <v>213</v>
      </c>
      <c r="H197" s="8" t="s">
        <v>115</v>
      </c>
      <c r="I197" s="8" t="s">
        <v>82</v>
      </c>
      <c r="J197" s="8" t="s">
        <v>83</v>
      </c>
      <c r="K197" s="8" t="s">
        <v>84</v>
      </c>
      <c r="M197" s="8" t="s">
        <v>85</v>
      </c>
      <c r="N197" s="8" t="s">
        <v>116</v>
      </c>
      <c r="O197" s="8" t="s">
        <v>87</v>
      </c>
      <c r="P197" s="8" t="s">
        <v>88</v>
      </c>
      <c r="Q197" s="8" t="s">
        <v>672</v>
      </c>
      <c r="R197" s="8" t="s">
        <v>673</v>
      </c>
      <c r="S197" s="8" t="s">
        <v>132</v>
      </c>
      <c r="T197" s="8" t="s">
        <v>133</v>
      </c>
      <c r="U197" s="8" t="s">
        <v>93</v>
      </c>
      <c r="V197" s="8" t="s">
        <v>22</v>
      </c>
      <c r="X197" s="8" t="s">
        <v>387</v>
      </c>
      <c r="Y197" s="8" t="s">
        <v>95</v>
      </c>
      <c r="Z197" s="8" t="s">
        <v>388</v>
      </c>
      <c r="AA197" s="8" t="b">
        <v>0</v>
      </c>
      <c r="AC197" s="8">
        <v>0</v>
      </c>
      <c r="AD197" s="8">
        <v>65</v>
      </c>
      <c r="AI197" s="12" t="s">
        <v>389</v>
      </c>
      <c r="AJ197" s="8" t="s">
        <v>88</v>
      </c>
      <c r="AK197" s="8" t="s">
        <v>791</v>
      </c>
      <c r="AL197" s="8" t="s">
        <v>88</v>
      </c>
      <c r="AM197" s="8" t="s">
        <v>88</v>
      </c>
      <c r="AN197" s="8" t="s">
        <v>88</v>
      </c>
      <c r="AO197" s="8">
        <v>1002</v>
      </c>
      <c r="AP197" s="8" t="s">
        <v>792</v>
      </c>
      <c r="AQ197" s="8" t="s">
        <v>100</v>
      </c>
      <c r="AR197" s="8" t="s">
        <v>101</v>
      </c>
      <c r="AS197" s="8" t="s">
        <v>120</v>
      </c>
      <c r="AT197" s="8" t="s">
        <v>103</v>
      </c>
      <c r="AU197" s="8" t="s">
        <v>103</v>
      </c>
      <c r="AX197" s="8" t="s">
        <v>104</v>
      </c>
      <c r="AY197" s="8" t="s">
        <v>121</v>
      </c>
      <c r="AZ197" s="8" t="s">
        <v>100</v>
      </c>
      <c r="BA197" s="8" t="s">
        <v>101</v>
      </c>
      <c r="BB197" s="8" t="s">
        <v>102</v>
      </c>
      <c r="BC197" s="8" t="s">
        <v>103</v>
      </c>
      <c r="BD197" s="8" t="s">
        <v>103</v>
      </c>
      <c r="BF197" s="8" t="s">
        <v>107</v>
      </c>
      <c r="BG197" s="8">
        <v>16700</v>
      </c>
      <c r="BH197" s="8" t="s">
        <v>122</v>
      </c>
      <c r="BO197" s="8">
        <v>12</v>
      </c>
      <c r="BR197" s="8" t="s">
        <v>100</v>
      </c>
      <c r="BS197" s="8" t="s">
        <v>182</v>
      </c>
      <c r="BT197" s="8" t="s">
        <v>183</v>
      </c>
      <c r="BU197" s="8" t="s">
        <v>106</v>
      </c>
      <c r="BV197" s="8" t="s">
        <v>123</v>
      </c>
      <c r="BW197" s="8" t="s">
        <v>110</v>
      </c>
    </row>
    <row r="198" spans="1:75" s="8" customFormat="1" x14ac:dyDescent="0.35">
      <c r="A198" s="8" t="s">
        <v>793</v>
      </c>
      <c r="B198" s="9">
        <v>45989</v>
      </c>
      <c r="C198" s="10">
        <v>0.54925925925925922</v>
      </c>
      <c r="D198" s="8" t="s">
        <v>209</v>
      </c>
      <c r="E198" s="8" t="s">
        <v>210</v>
      </c>
      <c r="F198" s="11" t="s">
        <v>172</v>
      </c>
      <c r="G198" s="8">
        <f>COUNTIF($F$2:$F$350,F198)</f>
        <v>213</v>
      </c>
      <c r="H198" s="8" t="s">
        <v>115</v>
      </c>
      <c r="I198" s="8" t="s">
        <v>82</v>
      </c>
      <c r="J198" s="8" t="s">
        <v>83</v>
      </c>
      <c r="K198" s="8" t="s">
        <v>84</v>
      </c>
      <c r="M198" s="8" t="s">
        <v>85</v>
      </c>
      <c r="N198" s="8" t="s">
        <v>86</v>
      </c>
      <c r="O198" s="8" t="s">
        <v>87</v>
      </c>
      <c r="P198" s="8" t="s">
        <v>88</v>
      </c>
      <c r="Q198" s="8" t="s">
        <v>89</v>
      </c>
      <c r="R198" s="8" t="s">
        <v>90</v>
      </c>
      <c r="S198" s="8" t="s">
        <v>91</v>
      </c>
      <c r="T198" s="8" t="s">
        <v>92</v>
      </c>
      <c r="U198" s="8" t="s">
        <v>93</v>
      </c>
      <c r="V198" s="8" t="s">
        <v>22</v>
      </c>
      <c r="X198" s="8" t="s">
        <v>177</v>
      </c>
      <c r="Y198" s="8" t="s">
        <v>95</v>
      </c>
      <c r="Z198" s="8" t="s">
        <v>189</v>
      </c>
      <c r="AA198" s="8" t="b">
        <v>0</v>
      </c>
      <c r="AC198" s="8">
        <v>0</v>
      </c>
      <c r="AD198" s="8">
        <v>150</v>
      </c>
      <c r="AI198" s="8" t="s">
        <v>213</v>
      </c>
      <c r="AJ198" s="8" t="s">
        <v>88</v>
      </c>
      <c r="AK198" s="8" t="s">
        <v>794</v>
      </c>
      <c r="AL198" s="8" t="s">
        <v>88</v>
      </c>
      <c r="AM198" s="8" t="s">
        <v>88</v>
      </c>
      <c r="AN198" s="8" t="s">
        <v>88</v>
      </c>
      <c r="AO198" s="8">
        <v>1002</v>
      </c>
      <c r="AP198" s="8" t="s">
        <v>795</v>
      </c>
      <c r="AQ198" s="8" t="s">
        <v>100</v>
      </c>
      <c r="AR198" s="8" t="s">
        <v>101</v>
      </c>
      <c r="AS198" s="8" t="s">
        <v>120</v>
      </c>
      <c r="AT198" s="8" t="s">
        <v>103</v>
      </c>
      <c r="AU198" s="8" t="s">
        <v>103</v>
      </c>
      <c r="AX198" s="8" t="s">
        <v>104</v>
      </c>
      <c r="AY198" s="8" t="s">
        <v>121</v>
      </c>
      <c r="AZ198" s="8" t="s">
        <v>100</v>
      </c>
      <c r="BA198" s="8" t="s">
        <v>101</v>
      </c>
      <c r="BB198" s="8" t="s">
        <v>102</v>
      </c>
      <c r="BC198" s="8" t="s">
        <v>103</v>
      </c>
      <c r="BD198" s="8" t="s">
        <v>103</v>
      </c>
      <c r="BF198" s="8" t="s">
        <v>107</v>
      </c>
      <c r="BG198" s="8">
        <v>16700</v>
      </c>
      <c r="BH198" s="8" t="s">
        <v>122</v>
      </c>
      <c r="BO198" s="8">
        <v>12</v>
      </c>
      <c r="BR198" s="8" t="s">
        <v>100</v>
      </c>
      <c r="BS198" s="8" t="s">
        <v>182</v>
      </c>
      <c r="BT198" s="8" t="s">
        <v>183</v>
      </c>
      <c r="BU198" s="8" t="s">
        <v>106</v>
      </c>
      <c r="BV198" s="8" t="s">
        <v>123</v>
      </c>
      <c r="BW198" s="8" t="s">
        <v>110</v>
      </c>
    </row>
    <row r="199" spans="1:75" s="8" customFormat="1" x14ac:dyDescent="0.35">
      <c r="A199" s="8" t="s">
        <v>796</v>
      </c>
      <c r="B199" s="9">
        <v>45989</v>
      </c>
      <c r="C199" s="10">
        <v>0.54195601851851849</v>
      </c>
      <c r="D199" s="8" t="s">
        <v>460</v>
      </c>
      <c r="E199" s="8" t="s">
        <v>461</v>
      </c>
      <c r="F199" s="11" t="s">
        <v>172</v>
      </c>
      <c r="G199" s="8">
        <f>COUNTIF($F$2:$F$350,F199)</f>
        <v>213</v>
      </c>
      <c r="H199" s="8" t="s">
        <v>115</v>
      </c>
      <c r="I199" s="8" t="s">
        <v>82</v>
      </c>
      <c r="J199" s="8" t="s">
        <v>83</v>
      </c>
      <c r="K199" s="8" t="s">
        <v>84</v>
      </c>
      <c r="M199" s="8" t="s">
        <v>85</v>
      </c>
      <c r="N199" s="8" t="s">
        <v>116</v>
      </c>
      <c r="O199" s="8" t="s">
        <v>87</v>
      </c>
      <c r="P199" s="8" t="s">
        <v>88</v>
      </c>
      <c r="Q199" s="8" t="s">
        <v>89</v>
      </c>
      <c r="R199" s="8" t="s">
        <v>90</v>
      </c>
      <c r="S199" s="8" t="s">
        <v>91</v>
      </c>
      <c r="T199" s="8" t="s">
        <v>92</v>
      </c>
      <c r="U199" s="8" t="s">
        <v>93</v>
      </c>
      <c r="V199" s="8" t="s">
        <v>22</v>
      </c>
      <c r="X199" s="8" t="s">
        <v>94</v>
      </c>
      <c r="Y199" s="8" t="s">
        <v>95</v>
      </c>
      <c r="Z199" s="8" t="s">
        <v>96</v>
      </c>
      <c r="AA199" s="8" t="b">
        <v>0</v>
      </c>
      <c r="AC199" s="8">
        <v>0</v>
      </c>
      <c r="AD199" s="8">
        <v>117</v>
      </c>
      <c r="AI199" s="8" t="s">
        <v>464</v>
      </c>
      <c r="AJ199" s="8" t="s">
        <v>88</v>
      </c>
      <c r="AK199" s="8" t="s">
        <v>797</v>
      </c>
      <c r="AL199" s="8" t="s">
        <v>88</v>
      </c>
      <c r="AM199" s="8" t="s">
        <v>88</v>
      </c>
      <c r="AN199" s="8" t="s">
        <v>88</v>
      </c>
      <c r="AO199" s="8">
        <v>1002</v>
      </c>
      <c r="AP199" s="8" t="s">
        <v>798</v>
      </c>
      <c r="AQ199" s="8" t="s">
        <v>100</v>
      </c>
      <c r="AR199" s="8" t="s">
        <v>101</v>
      </c>
      <c r="AS199" s="8" t="s">
        <v>120</v>
      </c>
      <c r="AT199" s="8" t="s">
        <v>103</v>
      </c>
      <c r="AU199" s="8" t="s">
        <v>103</v>
      </c>
      <c r="AX199" s="8" t="s">
        <v>104</v>
      </c>
      <c r="AY199" s="8" t="s">
        <v>121</v>
      </c>
      <c r="AZ199" s="8" t="s">
        <v>100</v>
      </c>
      <c r="BA199" s="8" t="s">
        <v>101</v>
      </c>
      <c r="BB199" s="8" t="s">
        <v>102</v>
      </c>
      <c r="BC199" s="8" t="s">
        <v>103</v>
      </c>
      <c r="BD199" s="8" t="s">
        <v>103</v>
      </c>
      <c r="BF199" s="8" t="s">
        <v>107</v>
      </c>
      <c r="BG199" s="8">
        <v>16700</v>
      </c>
      <c r="BH199" s="8" t="s">
        <v>122</v>
      </c>
      <c r="BO199" s="8">
        <v>12</v>
      </c>
      <c r="BR199" s="8" t="s">
        <v>100</v>
      </c>
      <c r="BS199" s="8" t="s">
        <v>182</v>
      </c>
      <c r="BT199" s="8" t="s">
        <v>183</v>
      </c>
      <c r="BU199" s="8" t="s">
        <v>106</v>
      </c>
      <c r="BV199" s="8" t="s">
        <v>123</v>
      </c>
      <c r="BW199" s="8" t="s">
        <v>110</v>
      </c>
    </row>
    <row r="200" spans="1:75" s="8" customFormat="1" x14ac:dyDescent="0.35">
      <c r="A200" s="8" t="s">
        <v>799</v>
      </c>
      <c r="B200" s="9">
        <v>45989</v>
      </c>
      <c r="C200" s="10">
        <v>0.54188657407407403</v>
      </c>
      <c r="D200" s="8" t="s">
        <v>460</v>
      </c>
      <c r="E200" s="8" t="s">
        <v>461</v>
      </c>
      <c r="F200" s="11" t="s">
        <v>172</v>
      </c>
      <c r="G200" s="8">
        <f>COUNTIF($F$2:$F$350,F200)</f>
        <v>213</v>
      </c>
      <c r="H200" s="8" t="s">
        <v>115</v>
      </c>
      <c r="I200" s="8" t="s">
        <v>82</v>
      </c>
      <c r="J200" s="8" t="s">
        <v>83</v>
      </c>
      <c r="K200" s="8" t="s">
        <v>84</v>
      </c>
      <c r="M200" s="8" t="s">
        <v>85</v>
      </c>
      <c r="N200" s="8" t="s">
        <v>116</v>
      </c>
      <c r="O200" s="8" t="s">
        <v>87</v>
      </c>
      <c r="P200" s="8" t="s">
        <v>88</v>
      </c>
      <c r="Q200" s="8" t="s">
        <v>155</v>
      </c>
      <c r="R200" s="8" t="s">
        <v>156</v>
      </c>
      <c r="S200" s="8" t="s">
        <v>155</v>
      </c>
      <c r="T200" s="8" t="s">
        <v>156</v>
      </c>
      <c r="U200" s="8" t="s">
        <v>93</v>
      </c>
      <c r="V200" s="8" t="s">
        <v>22</v>
      </c>
      <c r="X200" s="8" t="s">
        <v>94</v>
      </c>
      <c r="Y200" s="8" t="s">
        <v>95</v>
      </c>
      <c r="Z200" s="8" t="s">
        <v>96</v>
      </c>
      <c r="AA200" s="8" t="b">
        <v>0</v>
      </c>
      <c r="AC200" s="8">
        <v>0</v>
      </c>
      <c r="AD200" s="8">
        <v>107</v>
      </c>
      <c r="AI200" s="8" t="s">
        <v>464</v>
      </c>
      <c r="AJ200" s="8" t="s">
        <v>88</v>
      </c>
      <c r="AK200" s="8" t="s">
        <v>800</v>
      </c>
      <c r="AL200" s="8" t="s">
        <v>88</v>
      </c>
      <c r="AM200" s="8" t="s">
        <v>88</v>
      </c>
      <c r="AN200" s="8" t="s">
        <v>88</v>
      </c>
      <c r="AO200" s="8">
        <v>1002</v>
      </c>
      <c r="AP200" s="8" t="s">
        <v>801</v>
      </c>
      <c r="AQ200" s="8" t="s">
        <v>100</v>
      </c>
      <c r="AR200" s="8" t="s">
        <v>101</v>
      </c>
      <c r="AS200" s="8" t="s">
        <v>120</v>
      </c>
      <c r="AT200" s="8" t="s">
        <v>103</v>
      </c>
      <c r="AU200" s="8" t="s">
        <v>103</v>
      </c>
      <c r="AX200" s="8" t="s">
        <v>104</v>
      </c>
      <c r="AY200" s="8" t="s">
        <v>121</v>
      </c>
      <c r="AZ200" s="8" t="s">
        <v>100</v>
      </c>
      <c r="BA200" s="8" t="s">
        <v>101</v>
      </c>
      <c r="BB200" s="8" t="s">
        <v>102</v>
      </c>
      <c r="BC200" s="8" t="s">
        <v>103</v>
      </c>
      <c r="BD200" s="8" t="s">
        <v>103</v>
      </c>
      <c r="BF200" s="8" t="s">
        <v>107</v>
      </c>
      <c r="BG200" s="8">
        <v>16700</v>
      </c>
      <c r="BH200" s="8" t="s">
        <v>122</v>
      </c>
      <c r="BO200" s="8">
        <v>12</v>
      </c>
      <c r="BR200" s="8" t="s">
        <v>100</v>
      </c>
      <c r="BS200" s="8" t="s">
        <v>182</v>
      </c>
      <c r="BT200" s="8" t="s">
        <v>183</v>
      </c>
      <c r="BU200" s="8" t="s">
        <v>106</v>
      </c>
      <c r="BV200" s="8" t="s">
        <v>123</v>
      </c>
      <c r="BW200" s="8" t="s">
        <v>110</v>
      </c>
    </row>
    <row r="201" spans="1:75" x14ac:dyDescent="0.35">
      <c r="A201" t="s">
        <v>802</v>
      </c>
      <c r="B201" s="1">
        <v>45989</v>
      </c>
      <c r="C201" s="2">
        <v>0.51364583333333336</v>
      </c>
      <c r="D201" t="s">
        <v>112</v>
      </c>
      <c r="E201" t="s">
        <v>113</v>
      </c>
      <c r="F201" t="s">
        <v>114</v>
      </c>
      <c r="G201">
        <f>COUNTIF($F$2:$F$350,F201)</f>
        <v>42</v>
      </c>
      <c r="H201" t="s">
        <v>115</v>
      </c>
      <c r="I201" t="s">
        <v>82</v>
      </c>
      <c r="J201" t="s">
        <v>83</v>
      </c>
      <c r="K201" t="s">
        <v>84</v>
      </c>
      <c r="M201" t="s">
        <v>85</v>
      </c>
      <c r="N201" t="s">
        <v>116</v>
      </c>
      <c r="O201" t="s">
        <v>87</v>
      </c>
      <c r="P201" t="s">
        <v>88</v>
      </c>
      <c r="Q201" t="s">
        <v>89</v>
      </c>
      <c r="R201" t="s">
        <v>90</v>
      </c>
      <c r="S201" t="s">
        <v>91</v>
      </c>
      <c r="T201" t="s">
        <v>92</v>
      </c>
      <c r="U201" t="s">
        <v>93</v>
      </c>
      <c r="V201" t="s">
        <v>22</v>
      </c>
      <c r="X201" t="s">
        <v>94</v>
      </c>
      <c r="Y201" t="s">
        <v>95</v>
      </c>
      <c r="Z201" t="s">
        <v>96</v>
      </c>
      <c r="AA201" t="b">
        <v>0</v>
      </c>
      <c r="AC201">
        <v>0</v>
      </c>
      <c r="AD201">
        <v>137</v>
      </c>
      <c r="AI201" t="s">
        <v>117</v>
      </c>
      <c r="AJ201" t="s">
        <v>88</v>
      </c>
      <c r="AK201" t="s">
        <v>803</v>
      </c>
      <c r="AL201" t="s">
        <v>88</v>
      </c>
      <c r="AM201" t="s">
        <v>88</v>
      </c>
      <c r="AN201" t="s">
        <v>88</v>
      </c>
      <c r="AO201">
        <v>1002</v>
      </c>
      <c r="AP201" t="s">
        <v>804</v>
      </c>
      <c r="AQ201" t="s">
        <v>100</v>
      </c>
      <c r="AR201" t="s">
        <v>101</v>
      </c>
      <c r="AS201" t="s">
        <v>120</v>
      </c>
      <c r="AT201" t="s">
        <v>103</v>
      </c>
      <c r="AU201" t="s">
        <v>103</v>
      </c>
      <c r="AX201" t="s">
        <v>104</v>
      </c>
      <c r="AY201" t="s">
        <v>121</v>
      </c>
      <c r="AZ201" t="s">
        <v>100</v>
      </c>
      <c r="BA201" t="s">
        <v>101</v>
      </c>
      <c r="BB201" t="s">
        <v>102</v>
      </c>
      <c r="BC201" t="s">
        <v>103</v>
      </c>
      <c r="BD201" t="s">
        <v>103</v>
      </c>
      <c r="BF201" t="s">
        <v>107</v>
      </c>
      <c r="BG201">
        <v>16700</v>
      </c>
      <c r="BH201" t="s">
        <v>122</v>
      </c>
      <c r="BO201">
        <v>12</v>
      </c>
      <c r="BR201" t="s">
        <v>100</v>
      </c>
      <c r="BS201" t="s">
        <v>109</v>
      </c>
      <c r="BT201" t="s">
        <v>102</v>
      </c>
      <c r="BU201" t="s">
        <v>106</v>
      </c>
      <c r="BV201" t="s">
        <v>123</v>
      </c>
      <c r="BW201" t="s">
        <v>110</v>
      </c>
    </row>
    <row r="202" spans="1:75" s="8" customFormat="1" x14ac:dyDescent="0.35">
      <c r="A202" s="8" t="s">
        <v>805</v>
      </c>
      <c r="B202" s="9">
        <v>45989</v>
      </c>
      <c r="C202" s="10">
        <v>0.51071759259259253</v>
      </c>
      <c r="D202" s="8" t="s">
        <v>78</v>
      </c>
      <c r="E202" s="8" t="s">
        <v>79</v>
      </c>
      <c r="F202" s="11" t="s">
        <v>80</v>
      </c>
      <c r="G202" s="8">
        <f>COUNTIF($F$2:$F$350,F202)</f>
        <v>38</v>
      </c>
      <c r="H202" s="8" t="s">
        <v>81</v>
      </c>
      <c r="I202" s="8" t="s">
        <v>82</v>
      </c>
      <c r="J202" s="8" t="s">
        <v>83</v>
      </c>
      <c r="K202" s="8" t="s">
        <v>84</v>
      </c>
      <c r="M202" s="8" t="s">
        <v>85</v>
      </c>
      <c r="N202" s="8" t="s">
        <v>86</v>
      </c>
      <c r="O202" s="8" t="s">
        <v>87</v>
      </c>
      <c r="P202" s="8" t="s">
        <v>88</v>
      </c>
      <c r="Q202" s="8" t="s">
        <v>89</v>
      </c>
      <c r="R202" s="8" t="s">
        <v>90</v>
      </c>
      <c r="S202" s="8" t="s">
        <v>91</v>
      </c>
      <c r="T202" s="8" t="s">
        <v>92</v>
      </c>
      <c r="U202" s="8" t="s">
        <v>93</v>
      </c>
      <c r="V202" s="8" t="s">
        <v>22</v>
      </c>
      <c r="X202" s="8" t="s">
        <v>94</v>
      </c>
      <c r="Y202" s="8" t="s">
        <v>95</v>
      </c>
      <c r="Z202" s="8" t="s">
        <v>96</v>
      </c>
      <c r="AA202" s="8" t="b">
        <v>0</v>
      </c>
      <c r="AC202" s="8">
        <v>0</v>
      </c>
      <c r="AD202" s="8">
        <v>93</v>
      </c>
      <c r="AI202" s="8" t="s">
        <v>97</v>
      </c>
      <c r="AJ202" s="8" t="s">
        <v>88</v>
      </c>
      <c r="AK202" s="8" t="s">
        <v>806</v>
      </c>
      <c r="AL202" s="8" t="s">
        <v>88</v>
      </c>
      <c r="AM202" s="8" t="s">
        <v>88</v>
      </c>
      <c r="AN202" s="8" t="s">
        <v>88</v>
      </c>
      <c r="AO202" s="8">
        <v>1002</v>
      </c>
      <c r="AP202" s="8" t="s">
        <v>807</v>
      </c>
      <c r="AQ202" s="8" t="s">
        <v>100</v>
      </c>
      <c r="AR202" s="8" t="s">
        <v>101</v>
      </c>
      <c r="AS202" s="8" t="s">
        <v>102</v>
      </c>
      <c r="AT202" s="8" t="s">
        <v>103</v>
      </c>
      <c r="AU202" s="8" t="s">
        <v>103</v>
      </c>
      <c r="AX202" s="8" t="s">
        <v>104</v>
      </c>
      <c r="AY202" s="8" t="s">
        <v>105</v>
      </c>
      <c r="AZ202" s="8" t="s">
        <v>100</v>
      </c>
      <c r="BA202" s="8" t="s">
        <v>101</v>
      </c>
      <c r="BB202" s="8" t="s">
        <v>102</v>
      </c>
      <c r="BC202" s="8" t="s">
        <v>103</v>
      </c>
      <c r="BD202" s="8" t="s">
        <v>106</v>
      </c>
      <c r="BF202" s="8" t="s">
        <v>107</v>
      </c>
      <c r="BG202" s="8">
        <v>16700</v>
      </c>
      <c r="BH202" s="8" t="s">
        <v>108</v>
      </c>
      <c r="BO202" s="8">
        <v>0</v>
      </c>
      <c r="BR202" s="8" t="s">
        <v>100</v>
      </c>
      <c r="BS202" s="8" t="s">
        <v>109</v>
      </c>
      <c r="BT202" s="8" t="s">
        <v>102</v>
      </c>
      <c r="BU202" s="8" t="s">
        <v>103</v>
      </c>
      <c r="BV202" s="8" t="s">
        <v>106</v>
      </c>
      <c r="BW202" s="8" t="s">
        <v>110</v>
      </c>
    </row>
    <row r="203" spans="1:75" s="8" customFormat="1" x14ac:dyDescent="0.35">
      <c r="A203" s="8" t="s">
        <v>808</v>
      </c>
      <c r="B203" s="9">
        <v>45989</v>
      </c>
      <c r="C203" s="10">
        <v>0.50938657407407406</v>
      </c>
      <c r="D203" s="8" t="s">
        <v>220</v>
      </c>
      <c r="E203" s="8" t="s">
        <v>221</v>
      </c>
      <c r="F203" s="11" t="s">
        <v>172</v>
      </c>
      <c r="G203" s="8">
        <f>COUNTIF($F$2:$F$350,F203)</f>
        <v>213</v>
      </c>
      <c r="H203" s="8" t="s">
        <v>115</v>
      </c>
      <c r="I203" s="8" t="s">
        <v>82</v>
      </c>
      <c r="J203" s="8" t="s">
        <v>83</v>
      </c>
      <c r="K203" s="8" t="s">
        <v>361</v>
      </c>
      <c r="L203" s="8">
        <v>50126</v>
      </c>
      <c r="M203" s="8" t="s">
        <v>85</v>
      </c>
      <c r="N203" s="8" t="s">
        <v>86</v>
      </c>
      <c r="O203" s="8" t="s">
        <v>87</v>
      </c>
      <c r="P203" s="8" t="s">
        <v>88</v>
      </c>
      <c r="Q203" s="8" t="s">
        <v>89</v>
      </c>
      <c r="R203" s="8" t="s">
        <v>90</v>
      </c>
      <c r="S203" s="8" t="s">
        <v>91</v>
      </c>
      <c r="T203" s="8" t="s">
        <v>92</v>
      </c>
      <c r="U203" s="8" t="s">
        <v>362</v>
      </c>
      <c r="V203" s="8" t="s">
        <v>22</v>
      </c>
      <c r="X203" s="8" t="s">
        <v>177</v>
      </c>
      <c r="Y203" s="8" t="s">
        <v>95</v>
      </c>
      <c r="Z203" s="8" t="s">
        <v>222</v>
      </c>
      <c r="AA203" s="8" t="b">
        <v>0</v>
      </c>
      <c r="AC203" s="8">
        <v>0</v>
      </c>
      <c r="AD203" s="8">
        <v>303</v>
      </c>
      <c r="AE203" s="8" t="s">
        <v>365</v>
      </c>
      <c r="AH203" s="8" t="s">
        <v>221</v>
      </c>
      <c r="AJ203" s="8" t="s">
        <v>88</v>
      </c>
      <c r="AK203" s="8" t="s">
        <v>809</v>
      </c>
      <c r="AL203" s="8" t="s">
        <v>88</v>
      </c>
      <c r="AM203" s="8" t="s">
        <v>88</v>
      </c>
      <c r="AN203" s="8" t="s">
        <v>88</v>
      </c>
      <c r="AP203" s="8" t="s">
        <v>810</v>
      </c>
      <c r="AQ203" s="8" t="s">
        <v>100</v>
      </c>
      <c r="AR203" s="8" t="s">
        <v>101</v>
      </c>
      <c r="AS203" s="8" t="s">
        <v>120</v>
      </c>
      <c r="AT203" s="8" t="s">
        <v>103</v>
      </c>
      <c r="AU203" s="8" t="s">
        <v>103</v>
      </c>
      <c r="AX203" s="8" t="s">
        <v>104</v>
      </c>
      <c r="AY203" s="8" t="s">
        <v>121</v>
      </c>
      <c r="AZ203" s="8" t="s">
        <v>100</v>
      </c>
      <c r="BA203" s="8" t="s">
        <v>101</v>
      </c>
      <c r="BB203" s="8" t="s">
        <v>102</v>
      </c>
      <c r="BC203" s="8" t="s">
        <v>103</v>
      </c>
      <c r="BD203" s="8" t="s">
        <v>103</v>
      </c>
      <c r="BF203" s="8" t="s">
        <v>107</v>
      </c>
      <c r="BG203" s="8">
        <v>16700</v>
      </c>
      <c r="BH203" s="8" t="s">
        <v>122</v>
      </c>
      <c r="BO203" s="8">
        <v>12</v>
      </c>
      <c r="BR203" s="8" t="s">
        <v>100</v>
      </c>
      <c r="BS203" s="8" t="s">
        <v>182</v>
      </c>
      <c r="BT203" s="8" t="s">
        <v>183</v>
      </c>
      <c r="BU203" s="8" t="s">
        <v>106</v>
      </c>
      <c r="BV203" s="8" t="s">
        <v>123</v>
      </c>
      <c r="BW203" s="8" t="s">
        <v>110</v>
      </c>
    </row>
    <row r="204" spans="1:75" s="8" customFormat="1" x14ac:dyDescent="0.35">
      <c r="A204" s="8" t="s">
        <v>811</v>
      </c>
      <c r="B204" s="9">
        <v>45989</v>
      </c>
      <c r="C204" s="10">
        <v>0.46458333333333335</v>
      </c>
      <c r="D204" s="8" t="s">
        <v>549</v>
      </c>
      <c r="E204" s="8" t="s">
        <v>550</v>
      </c>
      <c r="F204" s="11" t="s">
        <v>172</v>
      </c>
      <c r="G204" s="8">
        <f>COUNTIF($F$2:$F$350,F204)</f>
        <v>213</v>
      </c>
      <c r="H204" s="8" t="s">
        <v>115</v>
      </c>
      <c r="I204" s="8" t="s">
        <v>82</v>
      </c>
      <c r="J204" s="8" t="s">
        <v>83</v>
      </c>
      <c r="K204" s="8" t="s">
        <v>84</v>
      </c>
      <c r="M204" s="8" t="s">
        <v>85</v>
      </c>
      <c r="N204" s="8" t="s">
        <v>86</v>
      </c>
      <c r="O204" s="8" t="s">
        <v>87</v>
      </c>
      <c r="P204" s="8" t="s">
        <v>173</v>
      </c>
      <c r="Q204" s="8" t="s">
        <v>89</v>
      </c>
      <c r="R204" s="8" t="s">
        <v>90</v>
      </c>
      <c r="S204" s="8" t="s">
        <v>91</v>
      </c>
      <c r="T204" s="8" t="s">
        <v>92</v>
      </c>
      <c r="U204" s="8" t="s">
        <v>93</v>
      </c>
      <c r="V204" s="8" t="s">
        <v>22</v>
      </c>
      <c r="W204" s="8" t="s">
        <v>731</v>
      </c>
      <c r="X204" s="8" t="s">
        <v>177</v>
      </c>
      <c r="Y204" s="8" t="s">
        <v>95</v>
      </c>
      <c r="Z204" s="8" t="s">
        <v>189</v>
      </c>
      <c r="AA204" s="8" t="b">
        <v>0</v>
      </c>
      <c r="AC204" s="8">
        <v>0</v>
      </c>
      <c r="AD204" s="8">
        <v>96</v>
      </c>
      <c r="AI204" s="8" t="s">
        <v>732</v>
      </c>
      <c r="AJ204" s="8" t="s">
        <v>88</v>
      </c>
      <c r="AK204" s="8" t="s">
        <v>812</v>
      </c>
      <c r="AL204" s="8" t="s">
        <v>88</v>
      </c>
      <c r="AM204" s="8" t="s">
        <v>88</v>
      </c>
      <c r="AN204" s="8" t="s">
        <v>88</v>
      </c>
      <c r="AP204" s="8" t="s">
        <v>813</v>
      </c>
      <c r="AQ204" s="8" t="s">
        <v>100</v>
      </c>
      <c r="AR204" s="8" t="s">
        <v>101</v>
      </c>
      <c r="AS204" s="8" t="s">
        <v>120</v>
      </c>
      <c r="AT204" s="8" t="s">
        <v>103</v>
      </c>
      <c r="AU204" s="8" t="s">
        <v>103</v>
      </c>
      <c r="AX204" s="8" t="s">
        <v>104</v>
      </c>
      <c r="AY204" s="8" t="s">
        <v>121</v>
      </c>
      <c r="AZ204" s="8" t="s">
        <v>100</v>
      </c>
      <c r="BA204" s="8" t="s">
        <v>101</v>
      </c>
      <c r="BB204" s="8" t="s">
        <v>102</v>
      </c>
      <c r="BC204" s="8" t="s">
        <v>103</v>
      </c>
      <c r="BD204" s="8" t="s">
        <v>103</v>
      </c>
      <c r="BF204" s="8" t="s">
        <v>107</v>
      </c>
      <c r="BG204" s="8">
        <v>16700</v>
      </c>
      <c r="BH204" s="8" t="s">
        <v>122</v>
      </c>
      <c r="BO204" s="8">
        <v>12</v>
      </c>
      <c r="BR204" s="8" t="s">
        <v>100</v>
      </c>
      <c r="BS204" s="8" t="s">
        <v>182</v>
      </c>
      <c r="BT204" s="8" t="s">
        <v>183</v>
      </c>
      <c r="BU204" s="8" t="s">
        <v>106</v>
      </c>
      <c r="BV204" s="8" t="s">
        <v>123</v>
      </c>
      <c r="BW204" s="8" t="s">
        <v>110</v>
      </c>
    </row>
    <row r="205" spans="1:75" x14ac:dyDescent="0.35">
      <c r="A205" t="s">
        <v>814</v>
      </c>
      <c r="B205" s="1">
        <v>45989</v>
      </c>
      <c r="C205" s="2">
        <v>0.34488425925925931</v>
      </c>
      <c r="D205" t="s">
        <v>112</v>
      </c>
      <c r="E205" t="s">
        <v>113</v>
      </c>
      <c r="F205" t="s">
        <v>114</v>
      </c>
      <c r="G205">
        <f>COUNTIF($F$2:$F$350,F205)</f>
        <v>42</v>
      </c>
      <c r="H205" t="s">
        <v>115</v>
      </c>
      <c r="I205" t="s">
        <v>82</v>
      </c>
      <c r="J205" t="s">
        <v>83</v>
      </c>
      <c r="K205" t="s">
        <v>84</v>
      </c>
      <c r="M205" t="s">
        <v>85</v>
      </c>
      <c r="N205" t="s">
        <v>116</v>
      </c>
      <c r="O205" t="s">
        <v>87</v>
      </c>
      <c r="P205" t="s">
        <v>88</v>
      </c>
      <c r="Q205" t="s">
        <v>89</v>
      </c>
      <c r="R205" t="s">
        <v>90</v>
      </c>
      <c r="S205" t="s">
        <v>91</v>
      </c>
      <c r="T205" t="s">
        <v>92</v>
      </c>
      <c r="U205" t="s">
        <v>93</v>
      </c>
      <c r="V205" t="s">
        <v>22</v>
      </c>
      <c r="X205" t="s">
        <v>94</v>
      </c>
      <c r="Y205" t="s">
        <v>95</v>
      </c>
      <c r="Z205" t="s">
        <v>96</v>
      </c>
      <c r="AA205" t="b">
        <v>0</v>
      </c>
      <c r="AC205">
        <v>0</v>
      </c>
      <c r="AD205">
        <v>78</v>
      </c>
      <c r="AI205" t="s">
        <v>117</v>
      </c>
      <c r="AJ205" t="s">
        <v>88</v>
      </c>
      <c r="AK205" t="s">
        <v>815</v>
      </c>
      <c r="AL205" t="s">
        <v>88</v>
      </c>
      <c r="AM205" t="s">
        <v>88</v>
      </c>
      <c r="AN205" t="s">
        <v>88</v>
      </c>
      <c r="AO205">
        <v>1002</v>
      </c>
      <c r="AP205" t="s">
        <v>816</v>
      </c>
      <c r="AQ205" t="s">
        <v>100</v>
      </c>
      <c r="AR205" t="s">
        <v>101</v>
      </c>
      <c r="AS205" t="s">
        <v>120</v>
      </c>
      <c r="AT205" t="s">
        <v>103</v>
      </c>
      <c r="AU205" t="s">
        <v>103</v>
      </c>
      <c r="AX205" t="s">
        <v>104</v>
      </c>
      <c r="AY205" t="s">
        <v>121</v>
      </c>
      <c r="AZ205" t="s">
        <v>100</v>
      </c>
      <c r="BA205" t="s">
        <v>101</v>
      </c>
      <c r="BB205" t="s">
        <v>102</v>
      </c>
      <c r="BC205" t="s">
        <v>103</v>
      </c>
      <c r="BD205" t="s">
        <v>103</v>
      </c>
      <c r="BF205" t="s">
        <v>107</v>
      </c>
      <c r="BG205">
        <v>16700</v>
      </c>
      <c r="BH205" t="s">
        <v>122</v>
      </c>
      <c r="BO205">
        <v>12</v>
      </c>
      <c r="BR205" t="s">
        <v>100</v>
      </c>
      <c r="BS205" t="s">
        <v>109</v>
      </c>
      <c r="BT205" t="s">
        <v>102</v>
      </c>
      <c r="BU205" t="s">
        <v>106</v>
      </c>
      <c r="BV205" t="s">
        <v>123</v>
      </c>
      <c r="BW205" t="s">
        <v>110</v>
      </c>
    </row>
    <row r="206" spans="1:75" s="8" customFormat="1" x14ac:dyDescent="0.35">
      <c r="A206" s="8" t="s">
        <v>817</v>
      </c>
      <c r="B206" s="9">
        <v>45989</v>
      </c>
      <c r="C206" s="10">
        <v>0.34056712962962959</v>
      </c>
      <c r="D206" s="8" t="s">
        <v>78</v>
      </c>
      <c r="E206" s="8" t="s">
        <v>79</v>
      </c>
      <c r="F206" s="11" t="s">
        <v>80</v>
      </c>
      <c r="G206" s="8">
        <f>COUNTIF($F$2:$F$350,F206)</f>
        <v>38</v>
      </c>
      <c r="H206" s="8" t="s">
        <v>81</v>
      </c>
      <c r="I206" s="8" t="s">
        <v>82</v>
      </c>
      <c r="J206" s="8" t="s">
        <v>83</v>
      </c>
      <c r="K206" s="8" t="s">
        <v>84</v>
      </c>
      <c r="M206" s="8" t="s">
        <v>85</v>
      </c>
      <c r="N206" s="8" t="s">
        <v>86</v>
      </c>
      <c r="O206" s="8" t="s">
        <v>87</v>
      </c>
      <c r="P206" s="8" t="s">
        <v>88</v>
      </c>
      <c r="Q206" s="8" t="s">
        <v>89</v>
      </c>
      <c r="R206" s="8" t="s">
        <v>90</v>
      </c>
      <c r="S206" s="8" t="s">
        <v>91</v>
      </c>
      <c r="T206" s="8" t="s">
        <v>92</v>
      </c>
      <c r="U206" s="8" t="s">
        <v>93</v>
      </c>
      <c r="V206" s="8" t="s">
        <v>22</v>
      </c>
      <c r="X206" s="8" t="s">
        <v>94</v>
      </c>
      <c r="Y206" s="8" t="s">
        <v>95</v>
      </c>
      <c r="Z206" s="8" t="s">
        <v>96</v>
      </c>
      <c r="AA206" s="8" t="b">
        <v>0</v>
      </c>
      <c r="AC206" s="8">
        <v>0</v>
      </c>
      <c r="AD206" s="8">
        <v>117</v>
      </c>
      <c r="AI206" s="8" t="s">
        <v>97</v>
      </c>
      <c r="AJ206" s="8" t="s">
        <v>88</v>
      </c>
      <c r="AK206" s="8" t="s">
        <v>818</v>
      </c>
      <c r="AL206" s="8" t="s">
        <v>88</v>
      </c>
      <c r="AM206" s="8" t="s">
        <v>88</v>
      </c>
      <c r="AN206" s="8" t="s">
        <v>88</v>
      </c>
      <c r="AO206" s="8">
        <v>1002</v>
      </c>
      <c r="AP206" s="8" t="s">
        <v>819</v>
      </c>
      <c r="AQ206" s="8" t="s">
        <v>100</v>
      </c>
      <c r="AR206" s="8" t="s">
        <v>101</v>
      </c>
      <c r="AS206" s="8" t="s">
        <v>102</v>
      </c>
      <c r="AT206" s="8" t="s">
        <v>103</v>
      </c>
      <c r="AU206" s="8" t="s">
        <v>103</v>
      </c>
      <c r="AX206" s="8" t="s">
        <v>104</v>
      </c>
      <c r="AY206" s="8" t="s">
        <v>105</v>
      </c>
      <c r="AZ206" s="8" t="s">
        <v>100</v>
      </c>
      <c r="BA206" s="8" t="s">
        <v>101</v>
      </c>
      <c r="BB206" s="8" t="s">
        <v>102</v>
      </c>
      <c r="BC206" s="8" t="s">
        <v>103</v>
      </c>
      <c r="BD206" s="8" t="s">
        <v>106</v>
      </c>
      <c r="BF206" s="8" t="s">
        <v>107</v>
      </c>
      <c r="BG206" s="8">
        <v>16700</v>
      </c>
      <c r="BH206" s="8" t="s">
        <v>108</v>
      </c>
      <c r="BO206" s="8">
        <v>0</v>
      </c>
      <c r="BR206" s="8" t="s">
        <v>100</v>
      </c>
      <c r="BS206" s="8" t="s">
        <v>109</v>
      </c>
      <c r="BT206" s="8" t="s">
        <v>102</v>
      </c>
      <c r="BU206" s="8" t="s">
        <v>103</v>
      </c>
      <c r="BV206" s="8" t="s">
        <v>106</v>
      </c>
      <c r="BW206" s="8" t="s">
        <v>110</v>
      </c>
    </row>
    <row r="207" spans="1:75" x14ac:dyDescent="0.35">
      <c r="A207" t="s">
        <v>820</v>
      </c>
      <c r="B207" s="1">
        <v>45989</v>
      </c>
      <c r="C207" s="2">
        <v>0.32045138888888891</v>
      </c>
      <c r="D207" t="s">
        <v>125</v>
      </c>
      <c r="E207" t="s">
        <v>126</v>
      </c>
      <c r="F207" t="s">
        <v>821</v>
      </c>
      <c r="G207">
        <f>COUNTIF($F$2:$F$350,F207)</f>
        <v>1</v>
      </c>
      <c r="H207" t="s">
        <v>822</v>
      </c>
      <c r="I207" t="s">
        <v>823</v>
      </c>
      <c r="J207" t="s">
        <v>824</v>
      </c>
      <c r="K207" t="s">
        <v>361</v>
      </c>
      <c r="L207">
        <v>50053</v>
      </c>
      <c r="M207" t="s">
        <v>85</v>
      </c>
      <c r="N207" t="s">
        <v>86</v>
      </c>
      <c r="O207" t="s">
        <v>87</v>
      </c>
      <c r="P207" t="s">
        <v>88</v>
      </c>
      <c r="Q207" t="s">
        <v>155</v>
      </c>
      <c r="R207" t="s">
        <v>156</v>
      </c>
      <c r="S207" t="s">
        <v>155</v>
      </c>
      <c r="T207" t="s">
        <v>156</v>
      </c>
      <c r="U207" t="s">
        <v>825</v>
      </c>
      <c r="V207" t="s">
        <v>22</v>
      </c>
      <c r="X207" t="s">
        <v>826</v>
      </c>
      <c r="Y207" t="s">
        <v>95</v>
      </c>
      <c r="Z207" t="s">
        <v>827</v>
      </c>
      <c r="AA207" t="b">
        <v>0</v>
      </c>
      <c r="AC207">
        <v>0</v>
      </c>
      <c r="AD207">
        <v>282</v>
      </c>
      <c r="AE207" t="s">
        <v>828</v>
      </c>
      <c r="AH207" t="s">
        <v>126</v>
      </c>
      <c r="AJ207" t="s">
        <v>88</v>
      </c>
      <c r="AK207" t="s">
        <v>829</v>
      </c>
      <c r="AL207" t="s">
        <v>88</v>
      </c>
      <c r="AM207" t="s">
        <v>88</v>
      </c>
      <c r="AN207" t="s">
        <v>88</v>
      </c>
      <c r="AP207" t="s">
        <v>830</v>
      </c>
      <c r="AQ207" t="s">
        <v>831</v>
      </c>
      <c r="AR207" t="s">
        <v>832</v>
      </c>
      <c r="AS207" t="s">
        <v>833</v>
      </c>
      <c r="AT207" t="s">
        <v>834</v>
      </c>
      <c r="AU207" t="s">
        <v>834</v>
      </c>
      <c r="AX207" t="s">
        <v>835</v>
      </c>
      <c r="AY207" t="s">
        <v>836</v>
      </c>
      <c r="AZ207" t="s">
        <v>831</v>
      </c>
      <c r="BA207" t="s">
        <v>837</v>
      </c>
      <c r="BB207" t="s">
        <v>838</v>
      </c>
      <c r="BC207" t="s">
        <v>839</v>
      </c>
      <c r="BD207" t="s">
        <v>840</v>
      </c>
      <c r="BE207" t="s">
        <v>377</v>
      </c>
      <c r="BF207" t="s">
        <v>841</v>
      </c>
      <c r="BG207">
        <v>44486</v>
      </c>
      <c r="BH207" t="s">
        <v>842</v>
      </c>
      <c r="BO207">
        <v>0</v>
      </c>
      <c r="BR207" t="s">
        <v>831</v>
      </c>
      <c r="BS207" t="s">
        <v>843</v>
      </c>
      <c r="BT207" t="s">
        <v>844</v>
      </c>
      <c r="BU207" t="s">
        <v>845</v>
      </c>
      <c r="BV207" t="s">
        <v>840</v>
      </c>
      <c r="BW207" t="s">
        <v>380</v>
      </c>
    </row>
    <row r="208" spans="1:75" x14ac:dyDescent="0.35">
      <c r="A208" t="s">
        <v>846</v>
      </c>
      <c r="B208" s="1">
        <v>45989</v>
      </c>
      <c r="C208" s="2">
        <v>0.17612268518518517</v>
      </c>
      <c r="D208" t="s">
        <v>112</v>
      </c>
      <c r="E208" t="s">
        <v>113</v>
      </c>
      <c r="F208" t="s">
        <v>114</v>
      </c>
      <c r="G208">
        <f>COUNTIF($F$2:$F$350,F208)</f>
        <v>42</v>
      </c>
      <c r="H208" t="s">
        <v>115</v>
      </c>
      <c r="I208" t="s">
        <v>82</v>
      </c>
      <c r="J208" t="s">
        <v>83</v>
      </c>
      <c r="K208" t="s">
        <v>84</v>
      </c>
      <c r="M208" t="s">
        <v>85</v>
      </c>
      <c r="N208" t="s">
        <v>116</v>
      </c>
      <c r="O208" t="s">
        <v>87</v>
      </c>
      <c r="P208" t="s">
        <v>88</v>
      </c>
      <c r="Q208" t="s">
        <v>89</v>
      </c>
      <c r="R208" t="s">
        <v>90</v>
      </c>
      <c r="S208" t="s">
        <v>91</v>
      </c>
      <c r="T208" t="s">
        <v>92</v>
      </c>
      <c r="U208" t="s">
        <v>93</v>
      </c>
      <c r="V208" t="s">
        <v>22</v>
      </c>
      <c r="X208" t="s">
        <v>94</v>
      </c>
      <c r="Y208" t="s">
        <v>95</v>
      </c>
      <c r="Z208" t="s">
        <v>96</v>
      </c>
      <c r="AA208" t="b">
        <v>0</v>
      </c>
      <c r="AC208">
        <v>0</v>
      </c>
      <c r="AD208">
        <v>110</v>
      </c>
      <c r="AI208" t="s">
        <v>117</v>
      </c>
      <c r="AJ208" t="s">
        <v>88</v>
      </c>
      <c r="AK208" t="s">
        <v>847</v>
      </c>
      <c r="AL208" t="s">
        <v>88</v>
      </c>
      <c r="AM208" t="s">
        <v>88</v>
      </c>
      <c r="AN208" t="s">
        <v>88</v>
      </c>
      <c r="AO208">
        <v>1002</v>
      </c>
      <c r="AP208" t="s">
        <v>848</v>
      </c>
      <c r="AQ208" t="s">
        <v>100</v>
      </c>
      <c r="AR208" t="s">
        <v>101</v>
      </c>
      <c r="AS208" t="s">
        <v>120</v>
      </c>
      <c r="AT208" t="s">
        <v>103</v>
      </c>
      <c r="AU208" t="s">
        <v>103</v>
      </c>
      <c r="AX208" t="s">
        <v>104</v>
      </c>
      <c r="AY208" t="s">
        <v>121</v>
      </c>
      <c r="AZ208" t="s">
        <v>100</v>
      </c>
      <c r="BA208" t="s">
        <v>101</v>
      </c>
      <c r="BB208" t="s">
        <v>102</v>
      </c>
      <c r="BC208" t="s">
        <v>103</v>
      </c>
      <c r="BD208" t="s">
        <v>103</v>
      </c>
      <c r="BF208" t="s">
        <v>107</v>
      </c>
      <c r="BG208">
        <v>16700</v>
      </c>
      <c r="BH208" t="s">
        <v>122</v>
      </c>
      <c r="BO208">
        <v>12</v>
      </c>
      <c r="BR208" t="s">
        <v>100</v>
      </c>
      <c r="BS208" t="s">
        <v>109</v>
      </c>
      <c r="BT208" t="s">
        <v>102</v>
      </c>
      <c r="BU208" t="s">
        <v>106</v>
      </c>
      <c r="BV208" t="s">
        <v>123</v>
      </c>
      <c r="BW208" t="s">
        <v>110</v>
      </c>
    </row>
    <row r="209" spans="1:75" s="8" customFormat="1" x14ac:dyDescent="0.35">
      <c r="A209" s="8" t="s">
        <v>849</v>
      </c>
      <c r="B209" s="9">
        <v>45989</v>
      </c>
      <c r="C209" s="10">
        <v>0.16973379629629629</v>
      </c>
      <c r="D209" s="8" t="s">
        <v>78</v>
      </c>
      <c r="E209" s="8" t="s">
        <v>79</v>
      </c>
      <c r="F209" s="11" t="s">
        <v>80</v>
      </c>
      <c r="G209" s="8">
        <f>COUNTIF($F$2:$F$350,F209)</f>
        <v>38</v>
      </c>
      <c r="H209" s="8" t="s">
        <v>81</v>
      </c>
      <c r="I209" s="8" t="s">
        <v>82</v>
      </c>
      <c r="J209" s="8" t="s">
        <v>83</v>
      </c>
      <c r="K209" s="8" t="s">
        <v>84</v>
      </c>
      <c r="M209" s="8" t="s">
        <v>85</v>
      </c>
      <c r="N209" s="8" t="s">
        <v>86</v>
      </c>
      <c r="O209" s="8" t="s">
        <v>87</v>
      </c>
      <c r="P209" s="8" t="s">
        <v>88</v>
      </c>
      <c r="Q209" s="8" t="s">
        <v>89</v>
      </c>
      <c r="R209" s="8" t="s">
        <v>90</v>
      </c>
      <c r="S209" s="8" t="s">
        <v>91</v>
      </c>
      <c r="T209" s="8" t="s">
        <v>92</v>
      </c>
      <c r="U209" s="8" t="s">
        <v>93</v>
      </c>
      <c r="V209" s="8" t="s">
        <v>22</v>
      </c>
      <c r="X209" s="8" t="s">
        <v>94</v>
      </c>
      <c r="Y209" s="8" t="s">
        <v>95</v>
      </c>
      <c r="Z209" s="8" t="s">
        <v>96</v>
      </c>
      <c r="AA209" s="8" t="b">
        <v>0</v>
      </c>
      <c r="AC209" s="8">
        <v>0</v>
      </c>
      <c r="AD209" s="8">
        <v>87</v>
      </c>
      <c r="AI209" s="8" t="s">
        <v>97</v>
      </c>
      <c r="AJ209" s="8" t="s">
        <v>88</v>
      </c>
      <c r="AK209" s="8" t="s">
        <v>850</v>
      </c>
      <c r="AL209" s="8" t="s">
        <v>88</v>
      </c>
      <c r="AM209" s="8" t="s">
        <v>88</v>
      </c>
      <c r="AN209" s="8" t="s">
        <v>88</v>
      </c>
      <c r="AO209" s="8">
        <v>1002</v>
      </c>
      <c r="AP209" s="8" t="s">
        <v>851</v>
      </c>
      <c r="AQ209" s="8" t="s">
        <v>100</v>
      </c>
      <c r="AR209" s="8" t="s">
        <v>101</v>
      </c>
      <c r="AS209" s="8" t="s">
        <v>102</v>
      </c>
      <c r="AT209" s="8" t="s">
        <v>103</v>
      </c>
      <c r="AU209" s="8" t="s">
        <v>103</v>
      </c>
      <c r="AX209" s="8" t="s">
        <v>104</v>
      </c>
      <c r="AY209" s="8" t="s">
        <v>105</v>
      </c>
      <c r="AZ209" s="8" t="s">
        <v>100</v>
      </c>
      <c r="BA209" s="8" t="s">
        <v>101</v>
      </c>
      <c r="BB209" s="8" t="s">
        <v>102</v>
      </c>
      <c r="BC209" s="8" t="s">
        <v>103</v>
      </c>
      <c r="BD209" s="8" t="s">
        <v>106</v>
      </c>
      <c r="BF209" s="8" t="s">
        <v>107</v>
      </c>
      <c r="BG209" s="8">
        <v>16700</v>
      </c>
      <c r="BH209" s="8" t="s">
        <v>108</v>
      </c>
      <c r="BO209" s="8">
        <v>0</v>
      </c>
      <c r="BR209" s="8" t="s">
        <v>100</v>
      </c>
      <c r="BS209" s="8" t="s">
        <v>109</v>
      </c>
      <c r="BT209" s="8" t="s">
        <v>102</v>
      </c>
      <c r="BU209" s="8" t="s">
        <v>103</v>
      </c>
      <c r="BV209" s="8" t="s">
        <v>106</v>
      </c>
      <c r="BW209" s="8" t="s">
        <v>110</v>
      </c>
    </row>
    <row r="210" spans="1:75" x14ac:dyDescent="0.35">
      <c r="A210" t="s">
        <v>852</v>
      </c>
      <c r="B210" s="1">
        <v>45989</v>
      </c>
      <c r="C210" s="2">
        <v>7.3842592592592597E-3</v>
      </c>
      <c r="D210" t="s">
        <v>112</v>
      </c>
      <c r="E210" t="s">
        <v>113</v>
      </c>
      <c r="F210" t="s">
        <v>114</v>
      </c>
      <c r="G210">
        <f>COUNTIF($F$2:$F$350,F210)</f>
        <v>42</v>
      </c>
      <c r="H210" t="s">
        <v>115</v>
      </c>
      <c r="I210" t="s">
        <v>82</v>
      </c>
      <c r="J210" t="s">
        <v>83</v>
      </c>
      <c r="K210" t="s">
        <v>84</v>
      </c>
      <c r="M210" t="s">
        <v>85</v>
      </c>
      <c r="N210" t="s">
        <v>116</v>
      </c>
      <c r="O210" t="s">
        <v>87</v>
      </c>
      <c r="P210" t="s">
        <v>88</v>
      </c>
      <c r="Q210" t="s">
        <v>89</v>
      </c>
      <c r="R210" t="s">
        <v>90</v>
      </c>
      <c r="S210" t="s">
        <v>91</v>
      </c>
      <c r="T210" t="s">
        <v>92</v>
      </c>
      <c r="U210" t="s">
        <v>93</v>
      </c>
      <c r="V210" t="s">
        <v>22</v>
      </c>
      <c r="X210" t="s">
        <v>94</v>
      </c>
      <c r="Y210" t="s">
        <v>95</v>
      </c>
      <c r="Z210" t="s">
        <v>96</v>
      </c>
      <c r="AA210" t="b">
        <v>0</v>
      </c>
      <c r="AC210">
        <v>0</v>
      </c>
      <c r="AD210">
        <v>197</v>
      </c>
      <c r="AI210" t="s">
        <v>117</v>
      </c>
      <c r="AJ210" t="s">
        <v>88</v>
      </c>
      <c r="AK210" t="s">
        <v>853</v>
      </c>
      <c r="AL210" t="s">
        <v>88</v>
      </c>
      <c r="AM210" t="s">
        <v>88</v>
      </c>
      <c r="AN210" t="s">
        <v>88</v>
      </c>
      <c r="AO210">
        <v>1002</v>
      </c>
      <c r="AP210" t="s">
        <v>854</v>
      </c>
      <c r="AQ210" t="s">
        <v>100</v>
      </c>
      <c r="AR210" t="s">
        <v>101</v>
      </c>
      <c r="AS210" t="s">
        <v>120</v>
      </c>
      <c r="AT210" t="s">
        <v>103</v>
      </c>
      <c r="AU210" t="s">
        <v>103</v>
      </c>
      <c r="AX210" t="s">
        <v>104</v>
      </c>
      <c r="AY210" t="s">
        <v>121</v>
      </c>
      <c r="AZ210" t="s">
        <v>100</v>
      </c>
      <c r="BA210" t="s">
        <v>101</v>
      </c>
      <c r="BB210" t="s">
        <v>102</v>
      </c>
      <c r="BC210" t="s">
        <v>103</v>
      </c>
      <c r="BD210" t="s">
        <v>103</v>
      </c>
      <c r="BF210" t="s">
        <v>107</v>
      </c>
      <c r="BG210">
        <v>16700</v>
      </c>
      <c r="BH210" t="s">
        <v>122</v>
      </c>
      <c r="BO210">
        <v>12</v>
      </c>
      <c r="BR210" t="s">
        <v>100</v>
      </c>
      <c r="BS210" t="s">
        <v>109</v>
      </c>
      <c r="BT210" t="s">
        <v>102</v>
      </c>
      <c r="BU210" t="s">
        <v>106</v>
      </c>
      <c r="BV210" t="s">
        <v>123</v>
      </c>
      <c r="BW210" t="s">
        <v>110</v>
      </c>
    </row>
    <row r="211" spans="1:75" s="8" customFormat="1" x14ac:dyDescent="0.35">
      <c r="A211" s="8" t="s">
        <v>855</v>
      </c>
      <c r="B211" s="9">
        <v>45988</v>
      </c>
      <c r="C211" s="10">
        <v>0.99959490740740742</v>
      </c>
      <c r="D211" s="8" t="s">
        <v>78</v>
      </c>
      <c r="E211" s="8" t="s">
        <v>79</v>
      </c>
      <c r="F211" s="11" t="s">
        <v>80</v>
      </c>
      <c r="G211" s="8">
        <f>COUNTIF($F$2:$F$350,F211)</f>
        <v>38</v>
      </c>
      <c r="H211" s="8" t="s">
        <v>81</v>
      </c>
      <c r="I211" s="8" t="s">
        <v>82</v>
      </c>
      <c r="J211" s="8" t="s">
        <v>83</v>
      </c>
      <c r="K211" s="8" t="s">
        <v>84</v>
      </c>
      <c r="M211" s="8" t="s">
        <v>85</v>
      </c>
      <c r="N211" s="8" t="s">
        <v>86</v>
      </c>
      <c r="O211" s="8" t="s">
        <v>87</v>
      </c>
      <c r="P211" s="8" t="s">
        <v>88</v>
      </c>
      <c r="Q211" s="8" t="s">
        <v>89</v>
      </c>
      <c r="R211" s="8" t="s">
        <v>90</v>
      </c>
      <c r="S211" s="8" t="s">
        <v>91</v>
      </c>
      <c r="T211" s="8" t="s">
        <v>92</v>
      </c>
      <c r="U211" s="8" t="s">
        <v>93</v>
      </c>
      <c r="V211" s="8" t="s">
        <v>22</v>
      </c>
      <c r="X211" s="8" t="s">
        <v>94</v>
      </c>
      <c r="Y211" s="8" t="s">
        <v>95</v>
      </c>
      <c r="Z211" s="8" t="s">
        <v>96</v>
      </c>
      <c r="AA211" s="8" t="b">
        <v>0</v>
      </c>
      <c r="AC211" s="8">
        <v>0</v>
      </c>
      <c r="AD211" s="8">
        <v>95</v>
      </c>
      <c r="AI211" s="8" t="s">
        <v>97</v>
      </c>
      <c r="AJ211" s="8" t="s">
        <v>88</v>
      </c>
      <c r="AK211" s="8" t="s">
        <v>856</v>
      </c>
      <c r="AL211" s="8" t="s">
        <v>88</v>
      </c>
      <c r="AM211" s="8" t="s">
        <v>88</v>
      </c>
      <c r="AN211" s="8" t="s">
        <v>88</v>
      </c>
      <c r="AO211" s="8">
        <v>1002</v>
      </c>
      <c r="AP211" s="8" t="s">
        <v>857</v>
      </c>
      <c r="AQ211" s="8" t="s">
        <v>100</v>
      </c>
      <c r="AR211" s="8" t="s">
        <v>101</v>
      </c>
      <c r="AS211" s="8" t="s">
        <v>102</v>
      </c>
      <c r="AT211" s="8" t="s">
        <v>103</v>
      </c>
      <c r="AU211" s="8" t="s">
        <v>103</v>
      </c>
      <c r="AX211" s="8" t="s">
        <v>104</v>
      </c>
      <c r="AY211" s="8" t="s">
        <v>105</v>
      </c>
      <c r="AZ211" s="8" t="s">
        <v>100</v>
      </c>
      <c r="BA211" s="8" t="s">
        <v>101</v>
      </c>
      <c r="BB211" s="8" t="s">
        <v>102</v>
      </c>
      <c r="BC211" s="8" t="s">
        <v>103</v>
      </c>
      <c r="BD211" s="8" t="s">
        <v>106</v>
      </c>
      <c r="BF211" s="8" t="s">
        <v>107</v>
      </c>
      <c r="BG211" s="8">
        <v>16700</v>
      </c>
      <c r="BH211" s="8" t="s">
        <v>108</v>
      </c>
      <c r="BO211" s="8">
        <v>0</v>
      </c>
      <c r="BR211" s="8" t="s">
        <v>100</v>
      </c>
      <c r="BS211" s="8" t="s">
        <v>109</v>
      </c>
      <c r="BT211" s="8" t="s">
        <v>102</v>
      </c>
      <c r="BU211" s="8" t="s">
        <v>103</v>
      </c>
      <c r="BV211" s="8" t="s">
        <v>106</v>
      </c>
      <c r="BW211" s="8" t="s">
        <v>110</v>
      </c>
    </row>
    <row r="212" spans="1:75" s="8" customFormat="1" x14ac:dyDescent="0.35">
      <c r="A212" s="8" t="s">
        <v>858</v>
      </c>
      <c r="B212" s="9">
        <v>45988</v>
      </c>
      <c r="C212" s="10">
        <v>0.86564814814814817</v>
      </c>
      <c r="D212" s="8" t="s">
        <v>659</v>
      </c>
      <c r="E212" s="8" t="s">
        <v>660</v>
      </c>
      <c r="F212" s="11" t="s">
        <v>172</v>
      </c>
      <c r="G212" s="8">
        <f>COUNTIF($F$2:$F$350,F212)</f>
        <v>213</v>
      </c>
      <c r="H212" s="8" t="s">
        <v>115</v>
      </c>
      <c r="I212" s="8" t="s">
        <v>82</v>
      </c>
      <c r="J212" s="8" t="s">
        <v>83</v>
      </c>
      <c r="K212" s="8" t="s">
        <v>84</v>
      </c>
      <c r="M212" s="8" t="s">
        <v>85</v>
      </c>
      <c r="N212" s="8" t="s">
        <v>86</v>
      </c>
      <c r="O212" s="8" t="s">
        <v>87</v>
      </c>
      <c r="P212" s="8" t="s">
        <v>173</v>
      </c>
      <c r="Q212" s="8" t="s">
        <v>89</v>
      </c>
      <c r="R212" s="8" t="s">
        <v>90</v>
      </c>
      <c r="S212" s="8" t="s">
        <v>91</v>
      </c>
      <c r="T212" s="8" t="s">
        <v>92</v>
      </c>
      <c r="U212" s="8" t="s">
        <v>93</v>
      </c>
      <c r="V212" s="8" t="s">
        <v>22</v>
      </c>
      <c r="W212" s="8" t="s">
        <v>661</v>
      </c>
      <c r="X212" s="8" t="s">
        <v>177</v>
      </c>
      <c r="Y212" s="8" t="s">
        <v>95</v>
      </c>
      <c r="Z212" s="8" t="s">
        <v>189</v>
      </c>
      <c r="AA212" s="8" t="b">
        <v>0</v>
      </c>
      <c r="AC212" s="8">
        <v>0</v>
      </c>
      <c r="AD212" s="8">
        <v>104</v>
      </c>
      <c r="AI212" s="8" t="s">
        <v>662</v>
      </c>
      <c r="AJ212" s="8" t="s">
        <v>88</v>
      </c>
      <c r="AK212" s="8" t="s">
        <v>859</v>
      </c>
      <c r="AL212" s="8" t="s">
        <v>88</v>
      </c>
      <c r="AM212" s="8" t="s">
        <v>88</v>
      </c>
      <c r="AN212" s="8" t="s">
        <v>88</v>
      </c>
      <c r="AP212" s="8" t="s">
        <v>860</v>
      </c>
      <c r="AQ212" s="8" t="s">
        <v>100</v>
      </c>
      <c r="AR212" s="8" t="s">
        <v>101</v>
      </c>
      <c r="AS212" s="8" t="s">
        <v>120</v>
      </c>
      <c r="AT212" s="8" t="s">
        <v>103</v>
      </c>
      <c r="AU212" s="8" t="s">
        <v>103</v>
      </c>
      <c r="AX212" s="8" t="s">
        <v>104</v>
      </c>
      <c r="AY212" s="8" t="s">
        <v>121</v>
      </c>
      <c r="AZ212" s="8" t="s">
        <v>100</v>
      </c>
      <c r="BA212" s="8" t="s">
        <v>101</v>
      </c>
      <c r="BB212" s="8" t="s">
        <v>102</v>
      </c>
      <c r="BC212" s="8" t="s">
        <v>103</v>
      </c>
      <c r="BD212" s="8" t="s">
        <v>103</v>
      </c>
      <c r="BF212" s="8" t="s">
        <v>107</v>
      </c>
      <c r="BG212" s="8">
        <v>16700</v>
      </c>
      <c r="BH212" s="8" t="s">
        <v>122</v>
      </c>
      <c r="BO212" s="8">
        <v>12</v>
      </c>
      <c r="BR212" s="8" t="s">
        <v>100</v>
      </c>
      <c r="BS212" s="8" t="s">
        <v>182</v>
      </c>
      <c r="BT212" s="8" t="s">
        <v>183</v>
      </c>
      <c r="BU212" s="8" t="s">
        <v>106</v>
      </c>
      <c r="BV212" s="8" t="s">
        <v>123</v>
      </c>
      <c r="BW212" s="8" t="s">
        <v>110</v>
      </c>
    </row>
    <row r="213" spans="1:75" x14ac:dyDescent="0.35">
      <c r="A213" t="s">
        <v>861</v>
      </c>
      <c r="B213" s="1">
        <v>45988</v>
      </c>
      <c r="C213" s="2">
        <v>0.84140046296296289</v>
      </c>
      <c r="D213" t="s">
        <v>125</v>
      </c>
      <c r="E213" t="s">
        <v>126</v>
      </c>
      <c r="F213" t="s">
        <v>862</v>
      </c>
      <c r="G213">
        <f>COUNTIF($F$2:$F$350,F213)</f>
        <v>1</v>
      </c>
      <c r="H213" t="s">
        <v>863</v>
      </c>
      <c r="I213" t="s">
        <v>864</v>
      </c>
      <c r="J213" t="s">
        <v>83</v>
      </c>
      <c r="K213" t="s">
        <v>361</v>
      </c>
      <c r="L213">
        <v>50126</v>
      </c>
      <c r="M213" t="s">
        <v>85</v>
      </c>
      <c r="N213" t="s">
        <v>86</v>
      </c>
      <c r="O213" t="s">
        <v>87</v>
      </c>
      <c r="P213" t="s">
        <v>88</v>
      </c>
      <c r="Q213" t="s">
        <v>155</v>
      </c>
      <c r="R213" t="s">
        <v>156</v>
      </c>
      <c r="S213" t="s">
        <v>155</v>
      </c>
      <c r="T213" t="s">
        <v>156</v>
      </c>
      <c r="U213" t="s">
        <v>362</v>
      </c>
      <c r="V213" t="s">
        <v>22</v>
      </c>
      <c r="X213" t="s">
        <v>826</v>
      </c>
      <c r="Y213" t="s">
        <v>95</v>
      </c>
      <c r="Z213" t="s">
        <v>827</v>
      </c>
      <c r="AA213" t="b">
        <v>0</v>
      </c>
      <c r="AC213">
        <v>0</v>
      </c>
      <c r="AD213">
        <v>543</v>
      </c>
      <c r="AE213" t="s">
        <v>365</v>
      </c>
      <c r="AH213" t="s">
        <v>126</v>
      </c>
      <c r="AJ213" t="s">
        <v>88</v>
      </c>
      <c r="AK213" t="s">
        <v>865</v>
      </c>
      <c r="AL213" t="s">
        <v>88</v>
      </c>
      <c r="AM213" t="s">
        <v>88</v>
      </c>
      <c r="AN213" t="s">
        <v>88</v>
      </c>
      <c r="AP213" t="s">
        <v>866</v>
      </c>
      <c r="AQ213" t="s">
        <v>867</v>
      </c>
      <c r="AR213" t="s">
        <v>868</v>
      </c>
      <c r="AS213" t="s">
        <v>868</v>
      </c>
      <c r="AT213" t="s">
        <v>869</v>
      </c>
      <c r="AU213" t="s">
        <v>869</v>
      </c>
      <c r="AX213" t="s">
        <v>870</v>
      </c>
      <c r="AY213" t="s">
        <v>871</v>
      </c>
      <c r="AZ213" t="s">
        <v>867</v>
      </c>
      <c r="BA213" t="s">
        <v>868</v>
      </c>
      <c r="BB213" t="s">
        <v>868</v>
      </c>
      <c r="BC213" t="s">
        <v>872</v>
      </c>
      <c r="BD213" t="s">
        <v>873</v>
      </c>
      <c r="BE213" t="s">
        <v>377</v>
      </c>
      <c r="BF213" t="s">
        <v>874</v>
      </c>
      <c r="BG213">
        <v>45102</v>
      </c>
      <c r="BH213" t="s">
        <v>875</v>
      </c>
      <c r="BO213">
        <v>0</v>
      </c>
      <c r="BR213" t="s">
        <v>867</v>
      </c>
      <c r="BS213" t="s">
        <v>876</v>
      </c>
      <c r="BT213" t="s">
        <v>877</v>
      </c>
      <c r="BU213" t="s">
        <v>878</v>
      </c>
      <c r="BV213" t="s">
        <v>879</v>
      </c>
      <c r="BW213" t="s">
        <v>380</v>
      </c>
    </row>
    <row r="214" spans="1:75" x14ac:dyDescent="0.35">
      <c r="A214" t="s">
        <v>880</v>
      </c>
      <c r="B214" s="1">
        <v>45988</v>
      </c>
      <c r="C214" s="2">
        <v>0.83862268518518512</v>
      </c>
      <c r="D214" t="s">
        <v>112</v>
      </c>
      <c r="E214" t="s">
        <v>113</v>
      </c>
      <c r="F214" t="s">
        <v>114</v>
      </c>
      <c r="G214">
        <f>COUNTIF($F$2:$F$350,F214)</f>
        <v>42</v>
      </c>
      <c r="H214" t="s">
        <v>115</v>
      </c>
      <c r="I214" t="s">
        <v>82</v>
      </c>
      <c r="J214" t="s">
        <v>83</v>
      </c>
      <c r="K214" t="s">
        <v>84</v>
      </c>
      <c r="M214" t="s">
        <v>85</v>
      </c>
      <c r="N214" t="s">
        <v>116</v>
      </c>
      <c r="O214" t="s">
        <v>87</v>
      </c>
      <c r="P214" t="s">
        <v>88</v>
      </c>
      <c r="Q214" t="s">
        <v>89</v>
      </c>
      <c r="R214" t="s">
        <v>90</v>
      </c>
      <c r="S214" t="s">
        <v>91</v>
      </c>
      <c r="T214" t="s">
        <v>92</v>
      </c>
      <c r="U214" t="s">
        <v>93</v>
      </c>
      <c r="V214" t="s">
        <v>22</v>
      </c>
      <c r="X214" t="s">
        <v>94</v>
      </c>
      <c r="Y214" t="s">
        <v>95</v>
      </c>
      <c r="Z214" t="s">
        <v>96</v>
      </c>
      <c r="AA214" t="b">
        <v>0</v>
      </c>
      <c r="AC214">
        <v>0</v>
      </c>
      <c r="AD214">
        <v>150</v>
      </c>
      <c r="AI214" t="s">
        <v>117</v>
      </c>
      <c r="AJ214" t="s">
        <v>88</v>
      </c>
      <c r="AK214" t="s">
        <v>881</v>
      </c>
      <c r="AL214" t="s">
        <v>88</v>
      </c>
      <c r="AM214" t="s">
        <v>88</v>
      </c>
      <c r="AN214" t="s">
        <v>88</v>
      </c>
      <c r="AO214">
        <v>1002</v>
      </c>
      <c r="AP214" t="s">
        <v>882</v>
      </c>
      <c r="AQ214" t="s">
        <v>100</v>
      </c>
      <c r="AR214" t="s">
        <v>101</v>
      </c>
      <c r="AS214" t="s">
        <v>120</v>
      </c>
      <c r="AT214" t="s">
        <v>103</v>
      </c>
      <c r="AU214" t="s">
        <v>103</v>
      </c>
      <c r="AX214" t="s">
        <v>104</v>
      </c>
      <c r="AY214" t="s">
        <v>121</v>
      </c>
      <c r="AZ214" t="s">
        <v>100</v>
      </c>
      <c r="BA214" t="s">
        <v>101</v>
      </c>
      <c r="BB214" t="s">
        <v>102</v>
      </c>
      <c r="BC214" t="s">
        <v>103</v>
      </c>
      <c r="BD214" t="s">
        <v>103</v>
      </c>
      <c r="BF214" t="s">
        <v>107</v>
      </c>
      <c r="BG214">
        <v>16700</v>
      </c>
      <c r="BH214" t="s">
        <v>122</v>
      </c>
      <c r="BO214">
        <v>12</v>
      </c>
      <c r="BR214" t="s">
        <v>100</v>
      </c>
      <c r="BS214" t="s">
        <v>109</v>
      </c>
      <c r="BT214" t="s">
        <v>102</v>
      </c>
      <c r="BU214" t="s">
        <v>106</v>
      </c>
      <c r="BV214" t="s">
        <v>123</v>
      </c>
      <c r="BW214" t="s">
        <v>110</v>
      </c>
    </row>
    <row r="215" spans="1:75" s="8" customFormat="1" x14ac:dyDescent="0.35">
      <c r="A215" s="8" t="s">
        <v>883</v>
      </c>
      <c r="B215" s="9">
        <v>45988</v>
      </c>
      <c r="C215" s="10">
        <v>0.82945601851851858</v>
      </c>
      <c r="D215" s="8" t="s">
        <v>78</v>
      </c>
      <c r="E215" s="8" t="s">
        <v>79</v>
      </c>
      <c r="F215" s="11" t="s">
        <v>80</v>
      </c>
      <c r="G215" s="8">
        <f>COUNTIF($F$2:$F$350,F215)</f>
        <v>38</v>
      </c>
      <c r="H215" s="8" t="s">
        <v>81</v>
      </c>
      <c r="I215" s="8" t="s">
        <v>82</v>
      </c>
      <c r="J215" s="8" t="s">
        <v>83</v>
      </c>
      <c r="K215" s="8" t="s">
        <v>84</v>
      </c>
      <c r="M215" s="8" t="s">
        <v>85</v>
      </c>
      <c r="N215" s="8" t="s">
        <v>86</v>
      </c>
      <c r="O215" s="8" t="s">
        <v>87</v>
      </c>
      <c r="P215" s="8" t="s">
        <v>88</v>
      </c>
      <c r="Q215" s="8" t="s">
        <v>89</v>
      </c>
      <c r="R215" s="8" t="s">
        <v>90</v>
      </c>
      <c r="S215" s="8" t="s">
        <v>91</v>
      </c>
      <c r="T215" s="8" t="s">
        <v>92</v>
      </c>
      <c r="U215" s="8" t="s">
        <v>93</v>
      </c>
      <c r="V215" s="8" t="s">
        <v>22</v>
      </c>
      <c r="X215" s="8" t="s">
        <v>94</v>
      </c>
      <c r="Y215" s="8" t="s">
        <v>95</v>
      </c>
      <c r="Z215" s="8" t="s">
        <v>96</v>
      </c>
      <c r="AA215" s="8" t="b">
        <v>0</v>
      </c>
      <c r="AC215" s="8">
        <v>0</v>
      </c>
      <c r="AD215" s="8">
        <v>104</v>
      </c>
      <c r="AI215" s="8" t="s">
        <v>97</v>
      </c>
      <c r="AJ215" s="8" t="s">
        <v>88</v>
      </c>
      <c r="AK215" s="8" t="s">
        <v>884</v>
      </c>
      <c r="AL215" s="8" t="s">
        <v>88</v>
      </c>
      <c r="AM215" s="8" t="s">
        <v>88</v>
      </c>
      <c r="AN215" s="8" t="s">
        <v>88</v>
      </c>
      <c r="AO215" s="8">
        <v>1002</v>
      </c>
      <c r="AP215" s="8" t="s">
        <v>885</v>
      </c>
      <c r="AQ215" s="8" t="s">
        <v>100</v>
      </c>
      <c r="AR215" s="8" t="s">
        <v>101</v>
      </c>
      <c r="AS215" s="8" t="s">
        <v>102</v>
      </c>
      <c r="AT215" s="8" t="s">
        <v>103</v>
      </c>
      <c r="AU215" s="8" t="s">
        <v>103</v>
      </c>
      <c r="AX215" s="8" t="s">
        <v>104</v>
      </c>
      <c r="AY215" s="8" t="s">
        <v>105</v>
      </c>
      <c r="AZ215" s="8" t="s">
        <v>100</v>
      </c>
      <c r="BA215" s="8" t="s">
        <v>101</v>
      </c>
      <c r="BB215" s="8" t="s">
        <v>102</v>
      </c>
      <c r="BC215" s="8" t="s">
        <v>103</v>
      </c>
      <c r="BD215" s="8" t="s">
        <v>106</v>
      </c>
      <c r="BF215" s="8" t="s">
        <v>107</v>
      </c>
      <c r="BG215" s="8">
        <v>16700</v>
      </c>
      <c r="BH215" s="8" t="s">
        <v>108</v>
      </c>
      <c r="BO215" s="8">
        <v>0</v>
      </c>
      <c r="BR215" s="8" t="s">
        <v>100</v>
      </c>
      <c r="BS215" s="8" t="s">
        <v>109</v>
      </c>
      <c r="BT215" s="8" t="s">
        <v>102</v>
      </c>
      <c r="BU215" s="8" t="s">
        <v>103</v>
      </c>
      <c r="BV215" s="8" t="s">
        <v>106</v>
      </c>
      <c r="BW215" s="8" t="s">
        <v>110</v>
      </c>
    </row>
    <row r="216" spans="1:75" s="8" customFormat="1" x14ac:dyDescent="0.35">
      <c r="A216" s="8" t="s">
        <v>886</v>
      </c>
      <c r="B216" s="9">
        <v>45988</v>
      </c>
      <c r="C216" s="10">
        <v>0.78331018518518514</v>
      </c>
      <c r="D216" s="8" t="s">
        <v>385</v>
      </c>
      <c r="E216" s="8" t="s">
        <v>386</v>
      </c>
      <c r="F216" s="11" t="s">
        <v>172</v>
      </c>
      <c r="G216" s="8">
        <f>COUNTIF($F$2:$F$350,F216)</f>
        <v>213</v>
      </c>
      <c r="H216" s="8" t="s">
        <v>115</v>
      </c>
      <c r="I216" s="8" t="s">
        <v>82</v>
      </c>
      <c r="J216" s="8" t="s">
        <v>83</v>
      </c>
      <c r="K216" s="8" t="s">
        <v>84</v>
      </c>
      <c r="M216" s="8" t="s">
        <v>85</v>
      </c>
      <c r="N216" s="8" t="s">
        <v>116</v>
      </c>
      <c r="O216" s="8" t="s">
        <v>87</v>
      </c>
      <c r="P216" s="8" t="s">
        <v>88</v>
      </c>
      <c r="Q216" s="8" t="s">
        <v>89</v>
      </c>
      <c r="R216" s="8" t="s">
        <v>90</v>
      </c>
      <c r="S216" s="8" t="s">
        <v>91</v>
      </c>
      <c r="T216" s="8" t="s">
        <v>92</v>
      </c>
      <c r="U216" s="8" t="s">
        <v>93</v>
      </c>
      <c r="V216" s="8" t="s">
        <v>22</v>
      </c>
      <c r="X216" s="8" t="s">
        <v>387</v>
      </c>
      <c r="Y216" s="8" t="s">
        <v>95</v>
      </c>
      <c r="Z216" s="8" t="s">
        <v>388</v>
      </c>
      <c r="AA216" s="8" t="b">
        <v>0</v>
      </c>
      <c r="AC216" s="8">
        <v>0</v>
      </c>
      <c r="AD216" s="8">
        <v>138</v>
      </c>
      <c r="AI216" s="12" t="s">
        <v>389</v>
      </c>
      <c r="AJ216" s="8" t="s">
        <v>88</v>
      </c>
      <c r="AK216" s="8" t="s">
        <v>887</v>
      </c>
      <c r="AL216" s="8" t="s">
        <v>88</v>
      </c>
      <c r="AM216" s="8" t="s">
        <v>88</v>
      </c>
      <c r="AN216" s="8" t="s">
        <v>88</v>
      </c>
      <c r="AO216" s="8">
        <v>1002</v>
      </c>
      <c r="AP216" s="8" t="s">
        <v>888</v>
      </c>
      <c r="AQ216" s="8" t="s">
        <v>100</v>
      </c>
      <c r="AR216" s="8" t="s">
        <v>101</v>
      </c>
      <c r="AS216" s="8" t="s">
        <v>120</v>
      </c>
      <c r="AT216" s="8" t="s">
        <v>103</v>
      </c>
      <c r="AU216" s="8" t="s">
        <v>103</v>
      </c>
      <c r="AX216" s="8" t="s">
        <v>104</v>
      </c>
      <c r="AY216" s="8" t="s">
        <v>121</v>
      </c>
      <c r="AZ216" s="8" t="s">
        <v>100</v>
      </c>
      <c r="BA216" s="8" t="s">
        <v>101</v>
      </c>
      <c r="BB216" s="8" t="s">
        <v>102</v>
      </c>
      <c r="BC216" s="8" t="s">
        <v>103</v>
      </c>
      <c r="BD216" s="8" t="s">
        <v>103</v>
      </c>
      <c r="BF216" s="8" t="s">
        <v>107</v>
      </c>
      <c r="BG216" s="8">
        <v>16700</v>
      </c>
      <c r="BH216" s="8" t="s">
        <v>122</v>
      </c>
      <c r="BO216" s="8">
        <v>12</v>
      </c>
      <c r="BR216" s="8" t="s">
        <v>100</v>
      </c>
      <c r="BS216" s="8" t="s">
        <v>182</v>
      </c>
      <c r="BT216" s="8" t="s">
        <v>183</v>
      </c>
      <c r="BU216" s="8" t="s">
        <v>106</v>
      </c>
      <c r="BV216" s="8" t="s">
        <v>123</v>
      </c>
      <c r="BW216" s="8" t="s">
        <v>110</v>
      </c>
    </row>
    <row r="217" spans="1:75" s="8" customFormat="1" x14ac:dyDescent="0.35">
      <c r="A217" s="8" t="s">
        <v>889</v>
      </c>
      <c r="B217" s="9">
        <v>45988</v>
      </c>
      <c r="C217" s="10">
        <v>0.75993055555555555</v>
      </c>
      <c r="D217" s="8" t="s">
        <v>549</v>
      </c>
      <c r="E217" s="8" t="s">
        <v>550</v>
      </c>
      <c r="F217" s="11" t="s">
        <v>172</v>
      </c>
      <c r="G217" s="8">
        <f>COUNTIF($F$2:$F$350,F217)</f>
        <v>213</v>
      </c>
      <c r="H217" s="8" t="s">
        <v>115</v>
      </c>
      <c r="I217" s="8" t="s">
        <v>82</v>
      </c>
      <c r="J217" s="8" t="s">
        <v>83</v>
      </c>
      <c r="K217" s="8" t="s">
        <v>84</v>
      </c>
      <c r="M217" s="8" t="s">
        <v>85</v>
      </c>
      <c r="N217" s="8" t="s">
        <v>86</v>
      </c>
      <c r="O217" s="8" t="s">
        <v>87</v>
      </c>
      <c r="P217" s="8" t="s">
        <v>173</v>
      </c>
      <c r="Q217" s="8" t="s">
        <v>89</v>
      </c>
      <c r="R217" s="8" t="s">
        <v>90</v>
      </c>
      <c r="S217" s="8" t="s">
        <v>91</v>
      </c>
      <c r="T217" s="8" t="s">
        <v>92</v>
      </c>
      <c r="U217" s="8" t="s">
        <v>93</v>
      </c>
      <c r="V217" s="8" t="s">
        <v>22</v>
      </c>
      <c r="W217" s="8" t="s">
        <v>731</v>
      </c>
      <c r="X217" s="8" t="s">
        <v>177</v>
      </c>
      <c r="Y217" s="8" t="s">
        <v>95</v>
      </c>
      <c r="Z217" s="8" t="s">
        <v>189</v>
      </c>
      <c r="AA217" s="8" t="b">
        <v>0</v>
      </c>
      <c r="AC217" s="8">
        <v>0</v>
      </c>
      <c r="AD217" s="8">
        <v>103</v>
      </c>
      <c r="AI217" s="8" t="s">
        <v>732</v>
      </c>
      <c r="AJ217" s="8" t="s">
        <v>88</v>
      </c>
      <c r="AK217" s="8" t="s">
        <v>890</v>
      </c>
      <c r="AL217" s="8" t="s">
        <v>88</v>
      </c>
      <c r="AM217" s="8" t="s">
        <v>88</v>
      </c>
      <c r="AN217" s="8" t="s">
        <v>88</v>
      </c>
      <c r="AP217" s="8" t="s">
        <v>891</v>
      </c>
      <c r="AQ217" s="8" t="s">
        <v>100</v>
      </c>
      <c r="AR217" s="8" t="s">
        <v>101</v>
      </c>
      <c r="AS217" s="8" t="s">
        <v>120</v>
      </c>
      <c r="AT217" s="8" t="s">
        <v>103</v>
      </c>
      <c r="AU217" s="8" t="s">
        <v>103</v>
      </c>
      <c r="AX217" s="8" t="s">
        <v>104</v>
      </c>
      <c r="AY217" s="8" t="s">
        <v>121</v>
      </c>
      <c r="AZ217" s="8" t="s">
        <v>100</v>
      </c>
      <c r="BA217" s="8" t="s">
        <v>101</v>
      </c>
      <c r="BB217" s="8" t="s">
        <v>102</v>
      </c>
      <c r="BC217" s="8" t="s">
        <v>103</v>
      </c>
      <c r="BD217" s="8" t="s">
        <v>103</v>
      </c>
      <c r="BF217" s="8" t="s">
        <v>107</v>
      </c>
      <c r="BG217" s="8">
        <v>16700</v>
      </c>
      <c r="BH217" s="8" t="s">
        <v>122</v>
      </c>
      <c r="BO217" s="8">
        <v>12</v>
      </c>
      <c r="BR217" s="8" t="s">
        <v>100</v>
      </c>
      <c r="BS217" s="8" t="s">
        <v>182</v>
      </c>
      <c r="BT217" s="8" t="s">
        <v>183</v>
      </c>
      <c r="BU217" s="8" t="s">
        <v>106</v>
      </c>
      <c r="BV217" s="8" t="s">
        <v>123</v>
      </c>
      <c r="BW217" s="8" t="s">
        <v>110</v>
      </c>
    </row>
    <row r="218" spans="1:75" s="8" customFormat="1" x14ac:dyDescent="0.35">
      <c r="A218" s="8" t="s">
        <v>892</v>
      </c>
      <c r="B218" s="9">
        <v>45988</v>
      </c>
      <c r="C218" s="10">
        <v>0.74703703703703705</v>
      </c>
      <c r="D218" s="8" t="s">
        <v>209</v>
      </c>
      <c r="E218" s="8" t="s">
        <v>210</v>
      </c>
      <c r="F218" s="11" t="s">
        <v>172</v>
      </c>
      <c r="G218" s="8">
        <f>COUNTIF($F$2:$F$350,F218)</f>
        <v>213</v>
      </c>
      <c r="H218" s="8" t="s">
        <v>115</v>
      </c>
      <c r="I218" s="8" t="s">
        <v>82</v>
      </c>
      <c r="J218" s="8" t="s">
        <v>83</v>
      </c>
      <c r="K218" s="8" t="s">
        <v>84</v>
      </c>
      <c r="M218" s="8" t="s">
        <v>85</v>
      </c>
      <c r="N218" s="8" t="s">
        <v>86</v>
      </c>
      <c r="O218" s="8" t="s">
        <v>87</v>
      </c>
      <c r="P218" s="8" t="s">
        <v>88</v>
      </c>
      <c r="Q218" s="8" t="s">
        <v>89</v>
      </c>
      <c r="R218" s="8" t="s">
        <v>90</v>
      </c>
      <c r="S218" s="8" t="s">
        <v>91</v>
      </c>
      <c r="T218" s="8" t="s">
        <v>92</v>
      </c>
      <c r="U218" s="8" t="s">
        <v>93</v>
      </c>
      <c r="V218" s="8" t="s">
        <v>22</v>
      </c>
      <c r="X218" s="8" t="s">
        <v>177</v>
      </c>
      <c r="Y218" s="8" t="s">
        <v>95</v>
      </c>
      <c r="Z218" s="8" t="s">
        <v>189</v>
      </c>
      <c r="AA218" s="8" t="b">
        <v>0</v>
      </c>
      <c r="AC218" s="8">
        <v>0</v>
      </c>
      <c r="AD218" s="8">
        <v>91</v>
      </c>
      <c r="AI218" s="8" t="s">
        <v>213</v>
      </c>
      <c r="AJ218" s="8" t="s">
        <v>88</v>
      </c>
      <c r="AK218" s="8" t="s">
        <v>893</v>
      </c>
      <c r="AL218" s="8" t="s">
        <v>88</v>
      </c>
      <c r="AM218" s="8" t="s">
        <v>88</v>
      </c>
      <c r="AN218" s="8" t="s">
        <v>88</v>
      </c>
      <c r="AO218" s="8">
        <v>1002</v>
      </c>
      <c r="AP218" s="8" t="s">
        <v>894</v>
      </c>
      <c r="AQ218" s="8" t="s">
        <v>100</v>
      </c>
      <c r="AR218" s="8" t="s">
        <v>101</v>
      </c>
      <c r="AS218" s="8" t="s">
        <v>120</v>
      </c>
      <c r="AT218" s="8" t="s">
        <v>103</v>
      </c>
      <c r="AU218" s="8" t="s">
        <v>103</v>
      </c>
      <c r="AX218" s="8" t="s">
        <v>104</v>
      </c>
      <c r="AY218" s="8" t="s">
        <v>121</v>
      </c>
      <c r="AZ218" s="8" t="s">
        <v>100</v>
      </c>
      <c r="BA218" s="8" t="s">
        <v>101</v>
      </c>
      <c r="BB218" s="8" t="s">
        <v>102</v>
      </c>
      <c r="BC218" s="8" t="s">
        <v>103</v>
      </c>
      <c r="BD218" s="8" t="s">
        <v>103</v>
      </c>
      <c r="BF218" s="8" t="s">
        <v>107</v>
      </c>
      <c r="BG218" s="8">
        <v>16700</v>
      </c>
      <c r="BH218" s="8" t="s">
        <v>122</v>
      </c>
      <c r="BO218" s="8">
        <v>12</v>
      </c>
      <c r="BR218" s="8" t="s">
        <v>100</v>
      </c>
      <c r="BS218" s="8" t="s">
        <v>182</v>
      </c>
      <c r="BT218" s="8" t="s">
        <v>183</v>
      </c>
      <c r="BU218" s="8" t="s">
        <v>106</v>
      </c>
      <c r="BV218" s="8" t="s">
        <v>123</v>
      </c>
      <c r="BW218" s="8" t="s">
        <v>110</v>
      </c>
    </row>
    <row r="219" spans="1:75" x14ac:dyDescent="0.35">
      <c r="A219" t="s">
        <v>895</v>
      </c>
      <c r="B219" s="1">
        <v>45988</v>
      </c>
      <c r="C219" s="2">
        <v>0.66986111111111113</v>
      </c>
      <c r="D219" t="s">
        <v>112</v>
      </c>
      <c r="E219" t="s">
        <v>113</v>
      </c>
      <c r="F219" t="s">
        <v>114</v>
      </c>
      <c r="G219">
        <f>COUNTIF($F$2:$F$350,F219)</f>
        <v>42</v>
      </c>
      <c r="H219" t="s">
        <v>115</v>
      </c>
      <c r="I219" t="s">
        <v>82</v>
      </c>
      <c r="J219" t="s">
        <v>83</v>
      </c>
      <c r="K219" t="s">
        <v>84</v>
      </c>
      <c r="M219" t="s">
        <v>85</v>
      </c>
      <c r="N219" t="s">
        <v>116</v>
      </c>
      <c r="O219" t="s">
        <v>87</v>
      </c>
      <c r="P219" t="s">
        <v>88</v>
      </c>
      <c r="Q219" t="s">
        <v>89</v>
      </c>
      <c r="R219" t="s">
        <v>90</v>
      </c>
      <c r="S219" t="s">
        <v>91</v>
      </c>
      <c r="T219" t="s">
        <v>92</v>
      </c>
      <c r="U219" t="s">
        <v>93</v>
      </c>
      <c r="V219" t="s">
        <v>22</v>
      </c>
      <c r="X219" t="s">
        <v>94</v>
      </c>
      <c r="Y219" t="s">
        <v>95</v>
      </c>
      <c r="Z219" t="s">
        <v>96</v>
      </c>
      <c r="AA219" t="b">
        <v>0</v>
      </c>
      <c r="AC219">
        <v>0</v>
      </c>
      <c r="AD219">
        <v>129</v>
      </c>
      <c r="AI219" t="s">
        <v>117</v>
      </c>
      <c r="AJ219" t="s">
        <v>88</v>
      </c>
      <c r="AK219" t="s">
        <v>896</v>
      </c>
      <c r="AL219" t="s">
        <v>88</v>
      </c>
      <c r="AM219" t="s">
        <v>88</v>
      </c>
      <c r="AN219" t="s">
        <v>88</v>
      </c>
      <c r="AO219">
        <v>1002</v>
      </c>
      <c r="AP219" t="s">
        <v>897</v>
      </c>
      <c r="AQ219" t="s">
        <v>100</v>
      </c>
      <c r="AR219" t="s">
        <v>101</v>
      </c>
      <c r="AS219" t="s">
        <v>120</v>
      </c>
      <c r="AT219" t="s">
        <v>103</v>
      </c>
      <c r="AU219" t="s">
        <v>103</v>
      </c>
      <c r="AX219" t="s">
        <v>104</v>
      </c>
      <c r="AY219" t="s">
        <v>121</v>
      </c>
      <c r="AZ219" t="s">
        <v>100</v>
      </c>
      <c r="BA219" t="s">
        <v>101</v>
      </c>
      <c r="BB219" t="s">
        <v>102</v>
      </c>
      <c r="BC219" t="s">
        <v>103</v>
      </c>
      <c r="BD219" t="s">
        <v>103</v>
      </c>
      <c r="BF219" t="s">
        <v>107</v>
      </c>
      <c r="BG219">
        <v>16700</v>
      </c>
      <c r="BH219" t="s">
        <v>122</v>
      </c>
      <c r="BO219">
        <v>12</v>
      </c>
      <c r="BR219" t="s">
        <v>100</v>
      </c>
      <c r="BS219" t="s">
        <v>109</v>
      </c>
      <c r="BT219" t="s">
        <v>102</v>
      </c>
      <c r="BU219" t="s">
        <v>106</v>
      </c>
      <c r="BV219" t="s">
        <v>123</v>
      </c>
      <c r="BW219" t="s">
        <v>110</v>
      </c>
    </row>
    <row r="220" spans="1:75" s="8" customFormat="1" x14ac:dyDescent="0.35">
      <c r="A220" s="8" t="s">
        <v>898</v>
      </c>
      <c r="B220" s="9">
        <v>45988</v>
      </c>
      <c r="C220" s="10">
        <v>0.65931712962962963</v>
      </c>
      <c r="D220" s="8" t="s">
        <v>78</v>
      </c>
      <c r="E220" s="8" t="s">
        <v>79</v>
      </c>
      <c r="F220" s="11" t="s">
        <v>80</v>
      </c>
      <c r="G220" s="8">
        <f>COUNTIF($F$2:$F$350,F220)</f>
        <v>38</v>
      </c>
      <c r="H220" s="8" t="s">
        <v>81</v>
      </c>
      <c r="I220" s="8" t="s">
        <v>82</v>
      </c>
      <c r="J220" s="8" t="s">
        <v>83</v>
      </c>
      <c r="K220" s="8" t="s">
        <v>84</v>
      </c>
      <c r="M220" s="8" t="s">
        <v>85</v>
      </c>
      <c r="N220" s="8" t="s">
        <v>86</v>
      </c>
      <c r="O220" s="8" t="s">
        <v>87</v>
      </c>
      <c r="P220" s="8" t="s">
        <v>88</v>
      </c>
      <c r="Q220" s="8" t="s">
        <v>89</v>
      </c>
      <c r="R220" s="8" t="s">
        <v>90</v>
      </c>
      <c r="S220" s="8" t="s">
        <v>91</v>
      </c>
      <c r="T220" s="8" t="s">
        <v>92</v>
      </c>
      <c r="U220" s="8" t="s">
        <v>93</v>
      </c>
      <c r="V220" s="8" t="s">
        <v>22</v>
      </c>
      <c r="X220" s="8" t="s">
        <v>94</v>
      </c>
      <c r="Y220" s="8" t="s">
        <v>95</v>
      </c>
      <c r="Z220" s="8" t="s">
        <v>96</v>
      </c>
      <c r="AA220" s="8" t="b">
        <v>0</v>
      </c>
      <c r="AC220" s="8">
        <v>0</v>
      </c>
      <c r="AD220" s="8">
        <v>132</v>
      </c>
      <c r="AI220" s="8" t="s">
        <v>97</v>
      </c>
      <c r="AJ220" s="8" t="s">
        <v>88</v>
      </c>
      <c r="AK220" s="8" t="s">
        <v>899</v>
      </c>
      <c r="AL220" s="8" t="s">
        <v>88</v>
      </c>
      <c r="AM220" s="8" t="s">
        <v>88</v>
      </c>
      <c r="AN220" s="8" t="s">
        <v>88</v>
      </c>
      <c r="AO220" s="8">
        <v>1002</v>
      </c>
      <c r="AP220" s="8" t="s">
        <v>900</v>
      </c>
      <c r="AQ220" s="8" t="s">
        <v>100</v>
      </c>
      <c r="AR220" s="8" t="s">
        <v>101</v>
      </c>
      <c r="AS220" s="8" t="s">
        <v>102</v>
      </c>
      <c r="AT220" s="8" t="s">
        <v>103</v>
      </c>
      <c r="AU220" s="8" t="s">
        <v>103</v>
      </c>
      <c r="AX220" s="8" t="s">
        <v>104</v>
      </c>
      <c r="AY220" s="8" t="s">
        <v>105</v>
      </c>
      <c r="AZ220" s="8" t="s">
        <v>100</v>
      </c>
      <c r="BA220" s="8" t="s">
        <v>101</v>
      </c>
      <c r="BB220" s="8" t="s">
        <v>102</v>
      </c>
      <c r="BC220" s="8" t="s">
        <v>103</v>
      </c>
      <c r="BD220" s="8" t="s">
        <v>106</v>
      </c>
      <c r="BF220" s="8" t="s">
        <v>107</v>
      </c>
      <c r="BG220" s="8">
        <v>16700</v>
      </c>
      <c r="BH220" s="8" t="s">
        <v>108</v>
      </c>
      <c r="BO220" s="8">
        <v>0</v>
      </c>
      <c r="BR220" s="8" t="s">
        <v>100</v>
      </c>
      <c r="BS220" s="8" t="s">
        <v>109</v>
      </c>
      <c r="BT220" s="8" t="s">
        <v>102</v>
      </c>
      <c r="BU220" s="8" t="s">
        <v>103</v>
      </c>
      <c r="BV220" s="8" t="s">
        <v>106</v>
      </c>
      <c r="BW220" s="8" t="s">
        <v>110</v>
      </c>
    </row>
    <row r="221" spans="1:75" x14ac:dyDescent="0.35">
      <c r="A221" t="s">
        <v>901</v>
      </c>
      <c r="B221" s="1">
        <v>45988</v>
      </c>
      <c r="C221" s="2">
        <v>0.65721064814814811</v>
      </c>
      <c r="D221" t="s">
        <v>902</v>
      </c>
      <c r="E221" t="s">
        <v>903</v>
      </c>
      <c r="F221" t="s">
        <v>904</v>
      </c>
      <c r="G221">
        <f>COUNTIF($F$2:$F$350,F221)</f>
        <v>4</v>
      </c>
      <c r="H221" t="s">
        <v>905</v>
      </c>
      <c r="I221" t="s">
        <v>82</v>
      </c>
      <c r="J221" t="s">
        <v>83</v>
      </c>
      <c r="K221" t="s">
        <v>361</v>
      </c>
      <c r="L221">
        <v>50126</v>
      </c>
      <c r="M221" t="s">
        <v>85</v>
      </c>
      <c r="N221" t="s">
        <v>86</v>
      </c>
      <c r="O221" t="s">
        <v>87</v>
      </c>
      <c r="P221" t="s">
        <v>88</v>
      </c>
      <c r="Q221" t="s">
        <v>906</v>
      </c>
      <c r="R221" t="s">
        <v>907</v>
      </c>
      <c r="T221" t="s">
        <v>908</v>
      </c>
      <c r="U221" t="s">
        <v>362</v>
      </c>
      <c r="V221" t="s">
        <v>704</v>
      </c>
      <c r="X221" t="s">
        <v>909</v>
      </c>
      <c r="Y221" t="s">
        <v>910</v>
      </c>
      <c r="Z221" t="s">
        <v>911</v>
      </c>
      <c r="AA221" t="b">
        <v>0</v>
      </c>
      <c r="AC221">
        <v>0</v>
      </c>
      <c r="AD221">
        <v>213</v>
      </c>
      <c r="AE221" t="s">
        <v>365</v>
      </c>
      <c r="AH221" t="s">
        <v>903</v>
      </c>
      <c r="AJ221" t="s">
        <v>88</v>
      </c>
      <c r="AK221" t="s">
        <v>912</v>
      </c>
      <c r="AL221" t="s">
        <v>88</v>
      </c>
      <c r="AM221" t="s">
        <v>88</v>
      </c>
      <c r="AN221" t="s">
        <v>88</v>
      </c>
      <c r="AP221" t="s">
        <v>913</v>
      </c>
      <c r="AQ221" t="s">
        <v>100</v>
      </c>
      <c r="AR221" t="s">
        <v>101</v>
      </c>
      <c r="AS221" t="s">
        <v>914</v>
      </c>
      <c r="AT221" t="s">
        <v>426</v>
      </c>
      <c r="AU221" t="s">
        <v>426</v>
      </c>
      <c r="AX221" t="s">
        <v>427</v>
      </c>
      <c r="AY221" t="s">
        <v>915</v>
      </c>
      <c r="AZ221" t="s">
        <v>100</v>
      </c>
      <c r="BA221" t="s">
        <v>916</v>
      </c>
      <c r="BB221" t="s">
        <v>917</v>
      </c>
      <c r="BC221" t="s">
        <v>429</v>
      </c>
      <c r="BD221" t="s">
        <v>429</v>
      </c>
      <c r="BF221" t="s">
        <v>143</v>
      </c>
      <c r="BG221">
        <v>7018</v>
      </c>
      <c r="BH221" t="s">
        <v>918</v>
      </c>
      <c r="BO221">
        <v>0</v>
      </c>
      <c r="BR221" t="s">
        <v>100</v>
      </c>
      <c r="BS221" t="s">
        <v>919</v>
      </c>
      <c r="BT221" t="s">
        <v>920</v>
      </c>
      <c r="BU221" t="s">
        <v>429</v>
      </c>
      <c r="BV221" t="s">
        <v>921</v>
      </c>
      <c r="BW221" t="s">
        <v>110</v>
      </c>
    </row>
    <row r="222" spans="1:75" x14ac:dyDescent="0.35">
      <c r="A222" t="s">
        <v>922</v>
      </c>
      <c r="B222" s="1">
        <v>45988</v>
      </c>
      <c r="C222" s="2">
        <v>0.65696759259259252</v>
      </c>
      <c r="D222" t="s">
        <v>902</v>
      </c>
      <c r="E222" t="s">
        <v>903</v>
      </c>
      <c r="F222" t="s">
        <v>904</v>
      </c>
      <c r="G222">
        <f>COUNTIF($F$2:$F$350,F222)</f>
        <v>4</v>
      </c>
      <c r="H222" t="s">
        <v>905</v>
      </c>
      <c r="I222" t="s">
        <v>82</v>
      </c>
      <c r="J222" t="s">
        <v>83</v>
      </c>
      <c r="K222" t="s">
        <v>361</v>
      </c>
      <c r="L222">
        <v>50126</v>
      </c>
      <c r="M222" t="s">
        <v>85</v>
      </c>
      <c r="N222" t="s">
        <v>86</v>
      </c>
      <c r="O222" t="s">
        <v>87</v>
      </c>
      <c r="P222" t="s">
        <v>88</v>
      </c>
      <c r="Q222" t="s">
        <v>906</v>
      </c>
      <c r="R222" t="s">
        <v>907</v>
      </c>
      <c r="T222" t="s">
        <v>908</v>
      </c>
      <c r="U222" t="s">
        <v>362</v>
      </c>
      <c r="V222" t="s">
        <v>704</v>
      </c>
      <c r="X222" t="s">
        <v>909</v>
      </c>
      <c r="Y222" t="s">
        <v>910</v>
      </c>
      <c r="Z222" t="s">
        <v>911</v>
      </c>
      <c r="AA222" t="b">
        <v>0</v>
      </c>
      <c r="AC222">
        <v>0</v>
      </c>
      <c r="AD222">
        <v>241</v>
      </c>
      <c r="AE222" t="s">
        <v>365</v>
      </c>
      <c r="AH222" t="s">
        <v>903</v>
      </c>
      <c r="AJ222" t="s">
        <v>88</v>
      </c>
      <c r="AK222" t="s">
        <v>923</v>
      </c>
      <c r="AL222" t="s">
        <v>88</v>
      </c>
      <c r="AM222" t="s">
        <v>88</v>
      </c>
      <c r="AN222" t="s">
        <v>88</v>
      </c>
      <c r="AP222" t="s">
        <v>913</v>
      </c>
      <c r="AQ222" t="s">
        <v>100</v>
      </c>
      <c r="AR222" t="s">
        <v>101</v>
      </c>
      <c r="AS222" t="s">
        <v>914</v>
      </c>
      <c r="AT222" t="s">
        <v>426</v>
      </c>
      <c r="AU222" t="s">
        <v>426</v>
      </c>
      <c r="AX222" t="s">
        <v>427</v>
      </c>
      <c r="AY222" t="s">
        <v>915</v>
      </c>
      <c r="AZ222" t="s">
        <v>100</v>
      </c>
      <c r="BA222" t="s">
        <v>916</v>
      </c>
      <c r="BB222" t="s">
        <v>917</v>
      </c>
      <c r="BC222" t="s">
        <v>429</v>
      </c>
      <c r="BD222" t="s">
        <v>429</v>
      </c>
      <c r="BF222" t="s">
        <v>143</v>
      </c>
      <c r="BG222">
        <v>7018</v>
      </c>
      <c r="BH222" t="s">
        <v>918</v>
      </c>
      <c r="BO222">
        <v>0</v>
      </c>
      <c r="BR222" t="s">
        <v>100</v>
      </c>
      <c r="BS222" t="s">
        <v>919</v>
      </c>
      <c r="BT222" t="s">
        <v>920</v>
      </c>
      <c r="BU222" t="s">
        <v>429</v>
      </c>
      <c r="BV222" t="s">
        <v>921</v>
      </c>
      <c r="BW222" t="s">
        <v>110</v>
      </c>
    </row>
    <row r="223" spans="1:75" x14ac:dyDescent="0.35">
      <c r="A223" t="s">
        <v>924</v>
      </c>
      <c r="B223" s="1">
        <v>45988</v>
      </c>
      <c r="C223" s="2">
        <v>0.65674768518518511</v>
      </c>
      <c r="D223" t="s">
        <v>902</v>
      </c>
      <c r="E223" t="s">
        <v>903</v>
      </c>
      <c r="F223" t="s">
        <v>904</v>
      </c>
      <c r="G223">
        <f>COUNTIF($F$2:$F$350,F223)</f>
        <v>4</v>
      </c>
      <c r="H223" t="s">
        <v>905</v>
      </c>
      <c r="I223" t="s">
        <v>82</v>
      </c>
      <c r="J223" t="s">
        <v>83</v>
      </c>
      <c r="K223" t="s">
        <v>361</v>
      </c>
      <c r="L223">
        <v>50126</v>
      </c>
      <c r="M223" t="s">
        <v>85</v>
      </c>
      <c r="N223" t="s">
        <v>86</v>
      </c>
      <c r="O223" t="s">
        <v>87</v>
      </c>
      <c r="P223" t="s">
        <v>88</v>
      </c>
      <c r="Q223" t="s">
        <v>906</v>
      </c>
      <c r="R223" t="s">
        <v>907</v>
      </c>
      <c r="T223" t="s">
        <v>908</v>
      </c>
      <c r="U223" t="s">
        <v>362</v>
      </c>
      <c r="V223" t="s">
        <v>704</v>
      </c>
      <c r="X223" t="s">
        <v>909</v>
      </c>
      <c r="Y223" t="s">
        <v>910</v>
      </c>
      <c r="Z223" t="s">
        <v>911</v>
      </c>
      <c r="AA223" t="b">
        <v>0</v>
      </c>
      <c r="AC223">
        <v>0</v>
      </c>
      <c r="AD223">
        <v>250</v>
      </c>
      <c r="AE223" t="s">
        <v>365</v>
      </c>
      <c r="AH223" t="s">
        <v>903</v>
      </c>
      <c r="AJ223" t="s">
        <v>88</v>
      </c>
      <c r="AK223" t="s">
        <v>925</v>
      </c>
      <c r="AL223" t="s">
        <v>88</v>
      </c>
      <c r="AM223" t="s">
        <v>88</v>
      </c>
      <c r="AN223" t="s">
        <v>88</v>
      </c>
      <c r="AP223" t="s">
        <v>913</v>
      </c>
      <c r="AQ223" t="s">
        <v>100</v>
      </c>
      <c r="AR223" t="s">
        <v>101</v>
      </c>
      <c r="AS223" t="s">
        <v>914</v>
      </c>
      <c r="AT223" t="s">
        <v>426</v>
      </c>
      <c r="AU223" t="s">
        <v>426</v>
      </c>
      <c r="AX223" t="s">
        <v>427</v>
      </c>
      <c r="AY223" t="s">
        <v>915</v>
      </c>
      <c r="AZ223" t="s">
        <v>100</v>
      </c>
      <c r="BA223" t="s">
        <v>916</v>
      </c>
      <c r="BB223" t="s">
        <v>917</v>
      </c>
      <c r="BC223" t="s">
        <v>429</v>
      </c>
      <c r="BD223" t="s">
        <v>429</v>
      </c>
      <c r="BF223" t="s">
        <v>143</v>
      </c>
      <c r="BG223">
        <v>7018</v>
      </c>
      <c r="BH223" t="s">
        <v>918</v>
      </c>
      <c r="BO223">
        <v>0</v>
      </c>
      <c r="BR223" t="s">
        <v>100</v>
      </c>
      <c r="BS223" t="s">
        <v>919</v>
      </c>
      <c r="BT223" t="s">
        <v>920</v>
      </c>
      <c r="BU223" t="s">
        <v>429</v>
      </c>
      <c r="BV223" t="s">
        <v>921</v>
      </c>
      <c r="BW223" t="s">
        <v>110</v>
      </c>
    </row>
    <row r="224" spans="1:75" s="8" customFormat="1" x14ac:dyDescent="0.35">
      <c r="A224" s="8" t="s">
        <v>926</v>
      </c>
      <c r="B224" s="9">
        <v>45988</v>
      </c>
      <c r="C224" s="10">
        <v>0.65306712962962965</v>
      </c>
      <c r="D224" s="8" t="s">
        <v>659</v>
      </c>
      <c r="E224" s="8" t="s">
        <v>660</v>
      </c>
      <c r="F224" s="11" t="s">
        <v>172</v>
      </c>
      <c r="G224" s="8">
        <f>COUNTIF($F$2:$F$350,F224)</f>
        <v>213</v>
      </c>
      <c r="H224" s="8" t="s">
        <v>115</v>
      </c>
      <c r="I224" s="8" t="s">
        <v>82</v>
      </c>
      <c r="J224" s="8" t="s">
        <v>83</v>
      </c>
      <c r="K224" s="8" t="s">
        <v>84</v>
      </c>
      <c r="M224" s="8" t="s">
        <v>85</v>
      </c>
      <c r="N224" s="8" t="s">
        <v>86</v>
      </c>
      <c r="O224" s="8" t="s">
        <v>87</v>
      </c>
      <c r="P224" s="8" t="s">
        <v>173</v>
      </c>
      <c r="Q224" s="8" t="s">
        <v>89</v>
      </c>
      <c r="R224" s="8" t="s">
        <v>90</v>
      </c>
      <c r="S224" s="8" t="s">
        <v>91</v>
      </c>
      <c r="T224" s="8" t="s">
        <v>92</v>
      </c>
      <c r="U224" s="8" t="s">
        <v>93</v>
      </c>
      <c r="V224" s="8" t="s">
        <v>22</v>
      </c>
      <c r="W224" s="8" t="s">
        <v>661</v>
      </c>
      <c r="X224" s="8" t="s">
        <v>177</v>
      </c>
      <c r="Y224" s="8" t="s">
        <v>95</v>
      </c>
      <c r="Z224" s="8" t="s">
        <v>189</v>
      </c>
      <c r="AA224" s="8" t="b">
        <v>0</v>
      </c>
      <c r="AC224" s="8">
        <v>0</v>
      </c>
      <c r="AD224" s="8">
        <v>99</v>
      </c>
      <c r="AI224" s="8" t="s">
        <v>662</v>
      </c>
      <c r="AJ224" s="8" t="s">
        <v>88</v>
      </c>
      <c r="AK224" s="8" t="s">
        <v>927</v>
      </c>
      <c r="AL224" s="8" t="s">
        <v>88</v>
      </c>
      <c r="AM224" s="8" t="s">
        <v>88</v>
      </c>
      <c r="AN224" s="8" t="s">
        <v>88</v>
      </c>
      <c r="AP224" s="8" t="s">
        <v>928</v>
      </c>
      <c r="AQ224" s="8" t="s">
        <v>100</v>
      </c>
      <c r="AR224" s="8" t="s">
        <v>101</v>
      </c>
      <c r="AS224" s="8" t="s">
        <v>120</v>
      </c>
      <c r="AT224" s="8" t="s">
        <v>103</v>
      </c>
      <c r="AU224" s="8" t="s">
        <v>103</v>
      </c>
      <c r="AX224" s="8" t="s">
        <v>104</v>
      </c>
      <c r="AY224" s="8" t="s">
        <v>121</v>
      </c>
      <c r="AZ224" s="8" t="s">
        <v>100</v>
      </c>
      <c r="BA224" s="8" t="s">
        <v>101</v>
      </c>
      <c r="BB224" s="8" t="s">
        <v>102</v>
      </c>
      <c r="BC224" s="8" t="s">
        <v>103</v>
      </c>
      <c r="BD224" s="8" t="s">
        <v>103</v>
      </c>
      <c r="BF224" s="8" t="s">
        <v>107</v>
      </c>
      <c r="BG224" s="8">
        <v>16700</v>
      </c>
      <c r="BH224" s="8" t="s">
        <v>122</v>
      </c>
      <c r="BO224" s="8">
        <v>12</v>
      </c>
      <c r="BR224" s="8" t="s">
        <v>100</v>
      </c>
      <c r="BS224" s="8" t="s">
        <v>182</v>
      </c>
      <c r="BT224" s="8" t="s">
        <v>183</v>
      </c>
      <c r="BU224" s="8" t="s">
        <v>106</v>
      </c>
      <c r="BV224" s="8" t="s">
        <v>123</v>
      </c>
      <c r="BW224" s="8" t="s">
        <v>110</v>
      </c>
    </row>
    <row r="225" spans="1:75" s="8" customFormat="1" x14ac:dyDescent="0.35">
      <c r="A225" s="8" t="s">
        <v>929</v>
      </c>
      <c r="B225" s="9">
        <v>45988</v>
      </c>
      <c r="C225" s="10">
        <v>0.61111111111111105</v>
      </c>
      <c r="D225" s="8" t="s">
        <v>385</v>
      </c>
      <c r="E225" s="8" t="s">
        <v>386</v>
      </c>
      <c r="F225" s="11" t="s">
        <v>172</v>
      </c>
      <c r="G225" s="8">
        <f>COUNTIF($F$2:$F$350,F225)</f>
        <v>213</v>
      </c>
      <c r="H225" s="8" t="s">
        <v>115</v>
      </c>
      <c r="I225" s="8" t="s">
        <v>82</v>
      </c>
      <c r="J225" s="8" t="s">
        <v>83</v>
      </c>
      <c r="K225" s="8" t="s">
        <v>84</v>
      </c>
      <c r="M225" s="8" t="s">
        <v>85</v>
      </c>
      <c r="N225" s="8" t="s">
        <v>116</v>
      </c>
      <c r="O225" s="8" t="s">
        <v>87</v>
      </c>
      <c r="P225" s="8" t="s">
        <v>88</v>
      </c>
      <c r="Q225" s="8" t="s">
        <v>89</v>
      </c>
      <c r="R225" s="8" t="s">
        <v>90</v>
      </c>
      <c r="S225" s="8" t="s">
        <v>91</v>
      </c>
      <c r="T225" s="8" t="s">
        <v>92</v>
      </c>
      <c r="U225" s="8" t="s">
        <v>93</v>
      </c>
      <c r="V225" s="8" t="s">
        <v>22</v>
      </c>
      <c r="X225" s="8" t="s">
        <v>387</v>
      </c>
      <c r="Y225" s="8" t="s">
        <v>95</v>
      </c>
      <c r="Z225" s="8" t="s">
        <v>388</v>
      </c>
      <c r="AA225" s="8" t="b">
        <v>0</v>
      </c>
      <c r="AC225" s="8">
        <v>0</v>
      </c>
      <c r="AD225" s="8">
        <v>88</v>
      </c>
      <c r="AI225" s="12" t="s">
        <v>389</v>
      </c>
      <c r="AJ225" s="8" t="s">
        <v>88</v>
      </c>
      <c r="AK225" s="8" t="s">
        <v>930</v>
      </c>
      <c r="AL225" s="8" t="s">
        <v>88</v>
      </c>
      <c r="AM225" s="8" t="s">
        <v>88</v>
      </c>
      <c r="AN225" s="8" t="s">
        <v>88</v>
      </c>
      <c r="AO225" s="8">
        <v>1002</v>
      </c>
      <c r="AP225" s="8" t="s">
        <v>931</v>
      </c>
      <c r="AQ225" s="8" t="s">
        <v>100</v>
      </c>
      <c r="AR225" s="8" t="s">
        <v>101</v>
      </c>
      <c r="AS225" s="8" t="s">
        <v>120</v>
      </c>
      <c r="AT225" s="8" t="s">
        <v>103</v>
      </c>
      <c r="AU225" s="8" t="s">
        <v>103</v>
      </c>
      <c r="AX225" s="8" t="s">
        <v>104</v>
      </c>
      <c r="AY225" s="8" t="s">
        <v>121</v>
      </c>
      <c r="AZ225" s="8" t="s">
        <v>100</v>
      </c>
      <c r="BA225" s="8" t="s">
        <v>101</v>
      </c>
      <c r="BB225" s="8" t="s">
        <v>102</v>
      </c>
      <c r="BC225" s="8" t="s">
        <v>103</v>
      </c>
      <c r="BD225" s="8" t="s">
        <v>103</v>
      </c>
      <c r="BF225" s="8" t="s">
        <v>107</v>
      </c>
      <c r="BG225" s="8">
        <v>16700</v>
      </c>
      <c r="BH225" s="8" t="s">
        <v>122</v>
      </c>
      <c r="BO225" s="8">
        <v>12</v>
      </c>
      <c r="BR225" s="8" t="s">
        <v>100</v>
      </c>
      <c r="BS225" s="8" t="s">
        <v>182</v>
      </c>
      <c r="BT225" s="8" t="s">
        <v>183</v>
      </c>
      <c r="BU225" s="8" t="s">
        <v>106</v>
      </c>
      <c r="BV225" s="8" t="s">
        <v>123</v>
      </c>
      <c r="BW225" s="8" t="s">
        <v>110</v>
      </c>
    </row>
    <row r="226" spans="1:75" s="8" customFormat="1" x14ac:dyDescent="0.35">
      <c r="A226" s="8" t="s">
        <v>932</v>
      </c>
      <c r="B226" s="9">
        <v>45988</v>
      </c>
      <c r="C226" s="10">
        <v>0.61093750000000002</v>
      </c>
      <c r="D226" s="8" t="s">
        <v>385</v>
      </c>
      <c r="E226" s="8" t="s">
        <v>386</v>
      </c>
      <c r="F226" s="11" t="s">
        <v>172</v>
      </c>
      <c r="G226" s="8">
        <f>COUNTIF($F$2:$F$350,F226)</f>
        <v>213</v>
      </c>
      <c r="H226" s="8" t="s">
        <v>115</v>
      </c>
      <c r="I226" s="8" t="s">
        <v>82</v>
      </c>
      <c r="J226" s="8" t="s">
        <v>83</v>
      </c>
      <c r="K226" s="8" t="s">
        <v>84</v>
      </c>
      <c r="M226" s="8" t="s">
        <v>85</v>
      </c>
      <c r="N226" s="8" t="s">
        <v>116</v>
      </c>
      <c r="O226" s="8" t="s">
        <v>87</v>
      </c>
      <c r="P226" s="8" t="s">
        <v>88</v>
      </c>
      <c r="Q226" s="8" t="s">
        <v>89</v>
      </c>
      <c r="R226" s="8" t="s">
        <v>90</v>
      </c>
      <c r="S226" s="8" t="s">
        <v>91</v>
      </c>
      <c r="T226" s="8" t="s">
        <v>92</v>
      </c>
      <c r="U226" s="8" t="s">
        <v>93</v>
      </c>
      <c r="V226" s="8" t="s">
        <v>22</v>
      </c>
      <c r="X226" s="8" t="s">
        <v>387</v>
      </c>
      <c r="Y226" s="8" t="s">
        <v>95</v>
      </c>
      <c r="Z226" s="8" t="s">
        <v>388</v>
      </c>
      <c r="AA226" s="8" t="b">
        <v>0</v>
      </c>
      <c r="AC226" s="8">
        <v>0</v>
      </c>
      <c r="AD226" s="8">
        <v>89</v>
      </c>
      <c r="AI226" s="12" t="s">
        <v>389</v>
      </c>
      <c r="AJ226" s="8" t="s">
        <v>88</v>
      </c>
      <c r="AK226" s="8" t="s">
        <v>933</v>
      </c>
      <c r="AL226" s="8" t="s">
        <v>88</v>
      </c>
      <c r="AM226" s="8" t="s">
        <v>88</v>
      </c>
      <c r="AN226" s="8" t="s">
        <v>88</v>
      </c>
      <c r="AO226" s="8">
        <v>1002</v>
      </c>
      <c r="AP226" s="8" t="s">
        <v>931</v>
      </c>
      <c r="AQ226" s="8" t="s">
        <v>100</v>
      </c>
      <c r="AR226" s="8" t="s">
        <v>101</v>
      </c>
      <c r="AS226" s="8" t="s">
        <v>120</v>
      </c>
      <c r="AT226" s="8" t="s">
        <v>103</v>
      </c>
      <c r="AU226" s="8" t="s">
        <v>103</v>
      </c>
      <c r="AX226" s="8" t="s">
        <v>104</v>
      </c>
      <c r="AY226" s="8" t="s">
        <v>121</v>
      </c>
      <c r="AZ226" s="8" t="s">
        <v>100</v>
      </c>
      <c r="BA226" s="8" t="s">
        <v>101</v>
      </c>
      <c r="BB226" s="8" t="s">
        <v>102</v>
      </c>
      <c r="BC226" s="8" t="s">
        <v>103</v>
      </c>
      <c r="BD226" s="8" t="s">
        <v>103</v>
      </c>
      <c r="BF226" s="8" t="s">
        <v>107</v>
      </c>
      <c r="BG226" s="8">
        <v>16700</v>
      </c>
      <c r="BH226" s="8" t="s">
        <v>122</v>
      </c>
      <c r="BO226" s="8">
        <v>12</v>
      </c>
      <c r="BR226" s="8" t="s">
        <v>100</v>
      </c>
      <c r="BS226" s="8" t="s">
        <v>182</v>
      </c>
      <c r="BT226" s="8" t="s">
        <v>183</v>
      </c>
      <c r="BU226" s="8" t="s">
        <v>106</v>
      </c>
      <c r="BV226" s="8" t="s">
        <v>123</v>
      </c>
      <c r="BW226" s="8" t="s">
        <v>110</v>
      </c>
    </row>
    <row r="227" spans="1:75" s="8" customFormat="1" x14ac:dyDescent="0.35">
      <c r="A227" s="8" t="s">
        <v>934</v>
      </c>
      <c r="B227" s="9">
        <v>45988</v>
      </c>
      <c r="C227" s="10">
        <v>0.61091435185185183</v>
      </c>
      <c r="D227" s="8" t="s">
        <v>385</v>
      </c>
      <c r="E227" s="8" t="s">
        <v>386</v>
      </c>
      <c r="F227" s="11" t="s">
        <v>172</v>
      </c>
      <c r="G227" s="8">
        <f>COUNTIF($F$2:$F$350,F227)</f>
        <v>213</v>
      </c>
      <c r="H227" s="8" t="s">
        <v>115</v>
      </c>
      <c r="I227" s="8" t="s">
        <v>82</v>
      </c>
      <c r="J227" s="8" t="s">
        <v>83</v>
      </c>
      <c r="K227" s="8" t="s">
        <v>84</v>
      </c>
      <c r="M227" s="8" t="s">
        <v>85</v>
      </c>
      <c r="N227" s="8" t="s">
        <v>116</v>
      </c>
      <c r="O227" s="8" t="s">
        <v>87</v>
      </c>
      <c r="P227" s="8" t="s">
        <v>88</v>
      </c>
      <c r="Q227" s="8" t="s">
        <v>89</v>
      </c>
      <c r="R227" s="8" t="s">
        <v>90</v>
      </c>
      <c r="S227" s="8" t="s">
        <v>91</v>
      </c>
      <c r="T227" s="8" t="s">
        <v>92</v>
      </c>
      <c r="U227" s="8" t="s">
        <v>93</v>
      </c>
      <c r="V227" s="8" t="s">
        <v>22</v>
      </c>
      <c r="X227" s="8" t="s">
        <v>387</v>
      </c>
      <c r="Y227" s="8" t="s">
        <v>95</v>
      </c>
      <c r="Z227" s="8" t="s">
        <v>388</v>
      </c>
      <c r="AA227" s="8" t="b">
        <v>0</v>
      </c>
      <c r="AC227" s="8">
        <v>0</v>
      </c>
      <c r="AD227" s="8">
        <v>172</v>
      </c>
      <c r="AI227" s="12" t="s">
        <v>389</v>
      </c>
      <c r="AJ227" s="8" t="s">
        <v>88</v>
      </c>
      <c r="AK227" s="8" t="s">
        <v>935</v>
      </c>
      <c r="AL227" s="8" t="s">
        <v>88</v>
      </c>
      <c r="AM227" s="8" t="s">
        <v>88</v>
      </c>
      <c r="AN227" s="8" t="s">
        <v>88</v>
      </c>
      <c r="AO227" s="8">
        <v>1002</v>
      </c>
      <c r="AP227" s="8" t="s">
        <v>936</v>
      </c>
      <c r="AQ227" s="8" t="s">
        <v>100</v>
      </c>
      <c r="AR227" s="8" t="s">
        <v>101</v>
      </c>
      <c r="AS227" s="8" t="s">
        <v>120</v>
      </c>
      <c r="AT227" s="8" t="s">
        <v>103</v>
      </c>
      <c r="AU227" s="8" t="s">
        <v>103</v>
      </c>
      <c r="AX227" s="8" t="s">
        <v>104</v>
      </c>
      <c r="AY227" s="8" t="s">
        <v>121</v>
      </c>
      <c r="AZ227" s="8" t="s">
        <v>100</v>
      </c>
      <c r="BA227" s="8" t="s">
        <v>101</v>
      </c>
      <c r="BB227" s="8" t="s">
        <v>102</v>
      </c>
      <c r="BC227" s="8" t="s">
        <v>103</v>
      </c>
      <c r="BD227" s="8" t="s">
        <v>103</v>
      </c>
      <c r="BF227" s="8" t="s">
        <v>107</v>
      </c>
      <c r="BG227" s="8">
        <v>16700</v>
      </c>
      <c r="BH227" s="8" t="s">
        <v>122</v>
      </c>
      <c r="BO227" s="8">
        <v>12</v>
      </c>
      <c r="BR227" s="8" t="s">
        <v>100</v>
      </c>
      <c r="BS227" s="8" t="s">
        <v>182</v>
      </c>
      <c r="BT227" s="8" t="s">
        <v>183</v>
      </c>
      <c r="BU227" s="8" t="s">
        <v>106</v>
      </c>
      <c r="BV227" s="8" t="s">
        <v>123</v>
      </c>
      <c r="BW227" s="8" t="s">
        <v>110</v>
      </c>
    </row>
    <row r="228" spans="1:75" x14ac:dyDescent="0.35">
      <c r="A228" t="s">
        <v>937</v>
      </c>
      <c r="B228" s="1">
        <v>45988</v>
      </c>
      <c r="C228" s="2">
        <v>0.60793981481481485</v>
      </c>
      <c r="D228" t="s">
        <v>902</v>
      </c>
      <c r="E228" t="s">
        <v>903</v>
      </c>
      <c r="F228" t="s">
        <v>904</v>
      </c>
      <c r="G228">
        <f>COUNTIF($F$2:$F$350,F228)</f>
        <v>4</v>
      </c>
      <c r="H228" t="s">
        <v>905</v>
      </c>
      <c r="I228" t="s">
        <v>82</v>
      </c>
      <c r="J228" t="s">
        <v>83</v>
      </c>
      <c r="K228" t="s">
        <v>361</v>
      </c>
      <c r="L228">
        <v>50126</v>
      </c>
      <c r="M228" t="s">
        <v>85</v>
      </c>
      <c r="N228" t="s">
        <v>86</v>
      </c>
      <c r="O228" t="s">
        <v>87</v>
      </c>
      <c r="P228" t="s">
        <v>88</v>
      </c>
      <c r="Q228" t="s">
        <v>906</v>
      </c>
      <c r="R228" t="s">
        <v>907</v>
      </c>
      <c r="T228" t="s">
        <v>908</v>
      </c>
      <c r="U228" t="s">
        <v>362</v>
      </c>
      <c r="V228" t="s">
        <v>704</v>
      </c>
      <c r="X228" t="s">
        <v>909</v>
      </c>
      <c r="Y228" t="s">
        <v>910</v>
      </c>
      <c r="Z228" t="s">
        <v>911</v>
      </c>
      <c r="AA228" t="b">
        <v>0</v>
      </c>
      <c r="AC228">
        <v>0</v>
      </c>
      <c r="AD228">
        <v>367</v>
      </c>
      <c r="AE228" t="s">
        <v>365</v>
      </c>
      <c r="AH228" t="s">
        <v>903</v>
      </c>
      <c r="AJ228" t="s">
        <v>88</v>
      </c>
      <c r="AK228" t="s">
        <v>938</v>
      </c>
      <c r="AL228" t="s">
        <v>88</v>
      </c>
      <c r="AM228" t="s">
        <v>88</v>
      </c>
      <c r="AN228" t="s">
        <v>88</v>
      </c>
      <c r="AP228" t="s">
        <v>939</v>
      </c>
      <c r="AQ228" t="s">
        <v>100</v>
      </c>
      <c r="AR228" t="s">
        <v>101</v>
      </c>
      <c r="AS228" t="s">
        <v>914</v>
      </c>
      <c r="AT228" t="s">
        <v>426</v>
      </c>
      <c r="AU228" t="s">
        <v>426</v>
      </c>
      <c r="AX228" t="s">
        <v>427</v>
      </c>
      <c r="AY228" t="s">
        <v>915</v>
      </c>
      <c r="AZ228" t="s">
        <v>100</v>
      </c>
      <c r="BA228" t="s">
        <v>916</v>
      </c>
      <c r="BB228" t="s">
        <v>917</v>
      </c>
      <c r="BC228" t="s">
        <v>429</v>
      </c>
      <c r="BD228" t="s">
        <v>429</v>
      </c>
      <c r="BF228" t="s">
        <v>143</v>
      </c>
      <c r="BG228">
        <v>7018</v>
      </c>
      <c r="BH228" t="s">
        <v>918</v>
      </c>
      <c r="BO228">
        <v>0</v>
      </c>
      <c r="BR228" t="s">
        <v>100</v>
      </c>
      <c r="BS228" t="s">
        <v>919</v>
      </c>
      <c r="BT228" t="s">
        <v>920</v>
      </c>
      <c r="BU228" t="s">
        <v>429</v>
      </c>
      <c r="BV228" t="s">
        <v>921</v>
      </c>
      <c r="BW228" t="s">
        <v>110</v>
      </c>
    </row>
    <row r="229" spans="1:75" s="8" customFormat="1" x14ac:dyDescent="0.35">
      <c r="A229" s="8" t="s">
        <v>940</v>
      </c>
      <c r="B229" s="9">
        <v>45988</v>
      </c>
      <c r="C229" s="10">
        <v>0.54043981481481485</v>
      </c>
      <c r="D229" s="8" t="s">
        <v>170</v>
      </c>
      <c r="E229" s="8" t="s">
        <v>171</v>
      </c>
      <c r="F229" s="11" t="s">
        <v>172</v>
      </c>
      <c r="G229" s="8">
        <f>COUNTIF($F$2:$F$350,F229)</f>
        <v>213</v>
      </c>
      <c r="H229" s="8" t="s">
        <v>115</v>
      </c>
      <c r="I229" s="8" t="s">
        <v>82</v>
      </c>
      <c r="J229" s="8" t="s">
        <v>83</v>
      </c>
      <c r="K229" s="8" t="s">
        <v>361</v>
      </c>
      <c r="L229" s="8">
        <v>7000112</v>
      </c>
      <c r="M229" s="8" t="s">
        <v>85</v>
      </c>
      <c r="N229" s="8" t="s">
        <v>116</v>
      </c>
      <c r="O229" s="8" t="s">
        <v>87</v>
      </c>
      <c r="P229" s="8" t="s">
        <v>173</v>
      </c>
      <c r="Q229" s="8" t="s">
        <v>941</v>
      </c>
      <c r="R229" s="8" t="s">
        <v>942</v>
      </c>
      <c r="S229" s="8" t="s">
        <v>943</v>
      </c>
      <c r="T229" s="8" t="s">
        <v>944</v>
      </c>
      <c r="U229" s="8" t="s">
        <v>945</v>
      </c>
      <c r="V229" s="8" t="s">
        <v>22</v>
      </c>
      <c r="W229" s="8" t="s">
        <v>176</v>
      </c>
      <c r="X229" s="8" t="s">
        <v>177</v>
      </c>
      <c r="Y229" s="8" t="s">
        <v>95</v>
      </c>
      <c r="Z229" s="8" t="s">
        <v>189</v>
      </c>
      <c r="AA229" s="8" t="b">
        <v>0</v>
      </c>
      <c r="AC229" s="8">
        <v>0</v>
      </c>
      <c r="AD229" s="8">
        <v>341</v>
      </c>
      <c r="AE229" s="8" t="s">
        <v>946</v>
      </c>
      <c r="AI229" s="8" t="s">
        <v>179</v>
      </c>
      <c r="AJ229" s="8" t="s">
        <v>88</v>
      </c>
      <c r="AK229" s="8" t="s">
        <v>947</v>
      </c>
      <c r="AL229" s="8" t="s">
        <v>88</v>
      </c>
      <c r="AM229" s="8" t="s">
        <v>88</v>
      </c>
      <c r="AN229" s="8" t="s">
        <v>88</v>
      </c>
      <c r="AP229" s="8" t="s">
        <v>948</v>
      </c>
      <c r="AQ229" s="8" t="s">
        <v>100</v>
      </c>
      <c r="AR229" s="8" t="s">
        <v>101</v>
      </c>
      <c r="AS229" s="8" t="s">
        <v>120</v>
      </c>
      <c r="AT229" s="8" t="s">
        <v>103</v>
      </c>
      <c r="AU229" s="8" t="s">
        <v>103</v>
      </c>
      <c r="AX229" s="8" t="s">
        <v>104</v>
      </c>
      <c r="AY229" s="8" t="s">
        <v>121</v>
      </c>
      <c r="AZ229" s="8" t="s">
        <v>100</v>
      </c>
      <c r="BA229" s="8" t="s">
        <v>101</v>
      </c>
      <c r="BB229" s="8" t="s">
        <v>102</v>
      </c>
      <c r="BC229" s="8" t="s">
        <v>103</v>
      </c>
      <c r="BD229" s="8" t="s">
        <v>103</v>
      </c>
      <c r="BF229" s="8" t="s">
        <v>107</v>
      </c>
      <c r="BG229" s="8">
        <v>16700</v>
      </c>
      <c r="BH229" s="8" t="s">
        <v>122</v>
      </c>
      <c r="BO229" s="8">
        <v>12</v>
      </c>
      <c r="BR229" s="8" t="s">
        <v>100</v>
      </c>
      <c r="BS229" s="8" t="s">
        <v>182</v>
      </c>
      <c r="BT229" s="8" t="s">
        <v>183</v>
      </c>
      <c r="BU229" s="8" t="s">
        <v>106</v>
      </c>
      <c r="BV229" s="8" t="s">
        <v>123</v>
      </c>
      <c r="BW229" s="8" t="s">
        <v>110</v>
      </c>
    </row>
    <row r="230" spans="1:75" s="8" customFormat="1" x14ac:dyDescent="0.35">
      <c r="A230" s="8" t="s">
        <v>949</v>
      </c>
      <c r="B230" s="9">
        <v>45988</v>
      </c>
      <c r="C230" s="10">
        <v>0.53972222222222221</v>
      </c>
      <c r="D230" s="8" t="s">
        <v>170</v>
      </c>
      <c r="E230" s="8" t="s">
        <v>171</v>
      </c>
      <c r="F230" s="11" t="s">
        <v>172</v>
      </c>
      <c r="G230" s="8">
        <f>COUNTIF($F$2:$F$350,F230)</f>
        <v>213</v>
      </c>
      <c r="H230" s="8" t="s">
        <v>115</v>
      </c>
      <c r="I230" s="8" t="s">
        <v>82</v>
      </c>
      <c r="J230" s="8" t="s">
        <v>83</v>
      </c>
      <c r="K230" s="8" t="s">
        <v>361</v>
      </c>
      <c r="L230" s="8">
        <v>7000112</v>
      </c>
      <c r="M230" s="8" t="s">
        <v>85</v>
      </c>
      <c r="N230" s="8" t="s">
        <v>116</v>
      </c>
      <c r="O230" s="8" t="s">
        <v>87</v>
      </c>
      <c r="P230" s="8" t="s">
        <v>173</v>
      </c>
      <c r="Q230" s="8" t="s">
        <v>941</v>
      </c>
      <c r="R230" s="8" t="s">
        <v>942</v>
      </c>
      <c r="S230" s="8" t="s">
        <v>943</v>
      </c>
      <c r="T230" s="8" t="s">
        <v>944</v>
      </c>
      <c r="U230" s="8" t="s">
        <v>945</v>
      </c>
      <c r="V230" s="8" t="s">
        <v>22</v>
      </c>
      <c r="W230" s="8" t="s">
        <v>176</v>
      </c>
      <c r="X230" s="8" t="s">
        <v>177</v>
      </c>
      <c r="Y230" s="8" t="s">
        <v>95</v>
      </c>
      <c r="Z230" s="8" t="s">
        <v>189</v>
      </c>
      <c r="AA230" s="8" t="b">
        <v>0</v>
      </c>
      <c r="AC230" s="8">
        <v>0</v>
      </c>
      <c r="AD230" s="8">
        <v>142</v>
      </c>
      <c r="AE230" s="8" t="s">
        <v>946</v>
      </c>
      <c r="AI230" s="8" t="s">
        <v>179</v>
      </c>
      <c r="AJ230" s="8" t="s">
        <v>88</v>
      </c>
      <c r="AK230" s="8" t="s">
        <v>950</v>
      </c>
      <c r="AL230" s="8" t="s">
        <v>88</v>
      </c>
      <c r="AM230" s="8" t="s">
        <v>88</v>
      </c>
      <c r="AN230" s="8" t="s">
        <v>88</v>
      </c>
      <c r="AP230" s="8" t="s">
        <v>951</v>
      </c>
      <c r="AQ230" s="8" t="s">
        <v>100</v>
      </c>
      <c r="AR230" s="8" t="s">
        <v>101</v>
      </c>
      <c r="AS230" s="8" t="s">
        <v>120</v>
      </c>
      <c r="AT230" s="8" t="s">
        <v>103</v>
      </c>
      <c r="AU230" s="8" t="s">
        <v>103</v>
      </c>
      <c r="AX230" s="8" t="s">
        <v>104</v>
      </c>
      <c r="AY230" s="8" t="s">
        <v>121</v>
      </c>
      <c r="AZ230" s="8" t="s">
        <v>100</v>
      </c>
      <c r="BA230" s="8" t="s">
        <v>101</v>
      </c>
      <c r="BB230" s="8" t="s">
        <v>102</v>
      </c>
      <c r="BC230" s="8" t="s">
        <v>103</v>
      </c>
      <c r="BD230" s="8" t="s">
        <v>103</v>
      </c>
      <c r="BF230" s="8" t="s">
        <v>107</v>
      </c>
      <c r="BG230" s="8">
        <v>16700</v>
      </c>
      <c r="BH230" s="8" t="s">
        <v>122</v>
      </c>
      <c r="BO230" s="8">
        <v>12</v>
      </c>
      <c r="BR230" s="8" t="s">
        <v>100</v>
      </c>
      <c r="BS230" s="8" t="s">
        <v>182</v>
      </c>
      <c r="BT230" s="8" t="s">
        <v>183</v>
      </c>
      <c r="BU230" s="8" t="s">
        <v>106</v>
      </c>
      <c r="BV230" s="8" t="s">
        <v>123</v>
      </c>
      <c r="BW230" s="8" t="s">
        <v>110</v>
      </c>
    </row>
    <row r="231" spans="1:75" s="8" customFormat="1" x14ac:dyDescent="0.35">
      <c r="A231" s="8" t="s">
        <v>952</v>
      </c>
      <c r="B231" s="9">
        <v>45988</v>
      </c>
      <c r="C231" s="10">
        <v>0.53918981481481476</v>
      </c>
      <c r="D231" s="8" t="s">
        <v>170</v>
      </c>
      <c r="E231" s="8" t="s">
        <v>171</v>
      </c>
      <c r="F231" s="11" t="s">
        <v>172</v>
      </c>
      <c r="G231" s="8">
        <f>COUNTIF($F$2:$F$350,F231)</f>
        <v>213</v>
      </c>
      <c r="H231" s="8" t="s">
        <v>115</v>
      </c>
      <c r="I231" s="8" t="s">
        <v>82</v>
      </c>
      <c r="J231" s="8" t="s">
        <v>83</v>
      </c>
      <c r="K231" s="8" t="s">
        <v>361</v>
      </c>
      <c r="L231" s="8">
        <v>7000112</v>
      </c>
      <c r="M231" s="8" t="s">
        <v>85</v>
      </c>
      <c r="N231" s="8" t="s">
        <v>116</v>
      </c>
      <c r="O231" s="8" t="s">
        <v>87</v>
      </c>
      <c r="P231" s="8" t="s">
        <v>173</v>
      </c>
      <c r="Q231" s="8" t="s">
        <v>941</v>
      </c>
      <c r="R231" s="8" t="s">
        <v>942</v>
      </c>
      <c r="S231" s="8" t="s">
        <v>943</v>
      </c>
      <c r="T231" s="8" t="s">
        <v>944</v>
      </c>
      <c r="U231" s="8" t="s">
        <v>945</v>
      </c>
      <c r="V231" s="8" t="s">
        <v>22</v>
      </c>
      <c r="W231" s="8" t="s">
        <v>176</v>
      </c>
      <c r="X231" s="8" t="s">
        <v>177</v>
      </c>
      <c r="Y231" s="8" t="s">
        <v>95</v>
      </c>
      <c r="Z231" s="8" t="s">
        <v>189</v>
      </c>
      <c r="AA231" s="8" t="b">
        <v>0</v>
      </c>
      <c r="AC231" s="8">
        <v>0</v>
      </c>
      <c r="AD231" s="8">
        <v>195</v>
      </c>
      <c r="AE231" s="8" t="s">
        <v>946</v>
      </c>
      <c r="AI231" s="8" t="s">
        <v>179</v>
      </c>
      <c r="AJ231" s="8" t="s">
        <v>88</v>
      </c>
      <c r="AK231" s="8" t="s">
        <v>953</v>
      </c>
      <c r="AL231" s="8" t="s">
        <v>88</v>
      </c>
      <c r="AM231" s="8" t="s">
        <v>88</v>
      </c>
      <c r="AN231" s="8" t="s">
        <v>88</v>
      </c>
      <c r="AP231" s="8" t="s">
        <v>954</v>
      </c>
      <c r="AQ231" s="8" t="s">
        <v>100</v>
      </c>
      <c r="AR231" s="8" t="s">
        <v>101</v>
      </c>
      <c r="AS231" s="8" t="s">
        <v>120</v>
      </c>
      <c r="AT231" s="8" t="s">
        <v>103</v>
      </c>
      <c r="AU231" s="8" t="s">
        <v>103</v>
      </c>
      <c r="AX231" s="8" t="s">
        <v>104</v>
      </c>
      <c r="AY231" s="8" t="s">
        <v>121</v>
      </c>
      <c r="AZ231" s="8" t="s">
        <v>100</v>
      </c>
      <c r="BA231" s="8" t="s">
        <v>101</v>
      </c>
      <c r="BB231" s="8" t="s">
        <v>102</v>
      </c>
      <c r="BC231" s="8" t="s">
        <v>103</v>
      </c>
      <c r="BD231" s="8" t="s">
        <v>103</v>
      </c>
      <c r="BF231" s="8" t="s">
        <v>107</v>
      </c>
      <c r="BG231" s="8">
        <v>16700</v>
      </c>
      <c r="BH231" s="8" t="s">
        <v>122</v>
      </c>
      <c r="BO231" s="8">
        <v>12</v>
      </c>
      <c r="BR231" s="8" t="s">
        <v>100</v>
      </c>
      <c r="BS231" s="8" t="s">
        <v>182</v>
      </c>
      <c r="BT231" s="8" t="s">
        <v>183</v>
      </c>
      <c r="BU231" s="8" t="s">
        <v>106</v>
      </c>
      <c r="BV231" s="8" t="s">
        <v>123</v>
      </c>
      <c r="BW231" s="8" t="s">
        <v>110</v>
      </c>
    </row>
    <row r="232" spans="1:75" s="8" customFormat="1" x14ac:dyDescent="0.35">
      <c r="A232" s="8" t="s">
        <v>955</v>
      </c>
      <c r="B232" s="9">
        <v>45988</v>
      </c>
      <c r="C232" s="10">
        <v>0.53831018518518514</v>
      </c>
      <c r="D232" s="8" t="s">
        <v>170</v>
      </c>
      <c r="E232" s="8" t="s">
        <v>171</v>
      </c>
      <c r="F232" s="11" t="s">
        <v>172</v>
      </c>
      <c r="G232" s="8">
        <f>COUNTIF($F$2:$F$350,F232)</f>
        <v>213</v>
      </c>
      <c r="H232" s="8" t="s">
        <v>115</v>
      </c>
      <c r="I232" s="8" t="s">
        <v>82</v>
      </c>
      <c r="J232" s="8" t="s">
        <v>83</v>
      </c>
      <c r="K232" s="8" t="s">
        <v>361</v>
      </c>
      <c r="L232" s="8">
        <v>7000112</v>
      </c>
      <c r="M232" s="8" t="s">
        <v>85</v>
      </c>
      <c r="N232" s="8" t="s">
        <v>116</v>
      </c>
      <c r="O232" s="8" t="s">
        <v>87</v>
      </c>
      <c r="P232" s="8" t="s">
        <v>173</v>
      </c>
      <c r="Q232" s="8" t="s">
        <v>941</v>
      </c>
      <c r="R232" s="8" t="s">
        <v>942</v>
      </c>
      <c r="S232" s="8" t="s">
        <v>943</v>
      </c>
      <c r="T232" s="8" t="s">
        <v>944</v>
      </c>
      <c r="U232" s="8" t="s">
        <v>945</v>
      </c>
      <c r="V232" s="8" t="s">
        <v>22</v>
      </c>
      <c r="W232" s="8" t="s">
        <v>176</v>
      </c>
      <c r="X232" s="8" t="s">
        <v>177</v>
      </c>
      <c r="Y232" s="8" t="s">
        <v>95</v>
      </c>
      <c r="Z232" s="8" t="s">
        <v>189</v>
      </c>
      <c r="AA232" s="8" t="b">
        <v>0</v>
      </c>
      <c r="AC232" s="8">
        <v>0</v>
      </c>
      <c r="AD232" s="8">
        <v>229</v>
      </c>
      <c r="AE232" s="8" t="s">
        <v>946</v>
      </c>
      <c r="AI232" s="8" t="s">
        <v>179</v>
      </c>
      <c r="AJ232" s="8" t="s">
        <v>88</v>
      </c>
      <c r="AK232" s="8" t="s">
        <v>956</v>
      </c>
      <c r="AL232" s="8" t="s">
        <v>88</v>
      </c>
      <c r="AM232" s="8" t="s">
        <v>88</v>
      </c>
      <c r="AN232" s="8" t="s">
        <v>88</v>
      </c>
      <c r="AP232" s="8" t="s">
        <v>957</v>
      </c>
      <c r="AQ232" s="8" t="s">
        <v>100</v>
      </c>
      <c r="AR232" s="8" t="s">
        <v>101</v>
      </c>
      <c r="AS232" s="8" t="s">
        <v>120</v>
      </c>
      <c r="AT232" s="8" t="s">
        <v>103</v>
      </c>
      <c r="AU232" s="8" t="s">
        <v>103</v>
      </c>
      <c r="AX232" s="8" t="s">
        <v>104</v>
      </c>
      <c r="AY232" s="8" t="s">
        <v>121</v>
      </c>
      <c r="AZ232" s="8" t="s">
        <v>100</v>
      </c>
      <c r="BA232" s="8" t="s">
        <v>101</v>
      </c>
      <c r="BB232" s="8" t="s">
        <v>102</v>
      </c>
      <c r="BC232" s="8" t="s">
        <v>103</v>
      </c>
      <c r="BD232" s="8" t="s">
        <v>103</v>
      </c>
      <c r="BF232" s="8" t="s">
        <v>107</v>
      </c>
      <c r="BG232" s="8">
        <v>16700</v>
      </c>
      <c r="BH232" s="8" t="s">
        <v>122</v>
      </c>
      <c r="BO232" s="8">
        <v>12</v>
      </c>
      <c r="BR232" s="8" t="s">
        <v>100</v>
      </c>
      <c r="BS232" s="8" t="s">
        <v>182</v>
      </c>
      <c r="BT232" s="8" t="s">
        <v>183</v>
      </c>
      <c r="BU232" s="8" t="s">
        <v>106</v>
      </c>
      <c r="BV232" s="8" t="s">
        <v>123</v>
      </c>
      <c r="BW232" s="8" t="s">
        <v>110</v>
      </c>
    </row>
    <row r="233" spans="1:75" x14ac:dyDescent="0.35">
      <c r="A233" t="s">
        <v>958</v>
      </c>
      <c r="B233" s="1">
        <v>45988</v>
      </c>
      <c r="C233" s="2">
        <v>0.52973379629629636</v>
      </c>
      <c r="D233" t="s">
        <v>393</v>
      </c>
      <c r="E233" t="s">
        <v>394</v>
      </c>
      <c r="F233" t="s">
        <v>959</v>
      </c>
      <c r="G233">
        <f>COUNTIF($F$2:$F$350,F233)</f>
        <v>1</v>
      </c>
      <c r="H233" t="s">
        <v>81</v>
      </c>
      <c r="I233" t="s">
        <v>82</v>
      </c>
      <c r="J233" t="s">
        <v>83</v>
      </c>
      <c r="K233" t="s">
        <v>84</v>
      </c>
      <c r="M233" t="s">
        <v>85</v>
      </c>
      <c r="N233" t="s">
        <v>86</v>
      </c>
      <c r="O233" t="s">
        <v>87</v>
      </c>
      <c r="P233" t="s">
        <v>173</v>
      </c>
      <c r="Q233" t="s">
        <v>89</v>
      </c>
      <c r="R233" t="s">
        <v>90</v>
      </c>
      <c r="S233" t="s">
        <v>91</v>
      </c>
      <c r="T233" t="s">
        <v>92</v>
      </c>
      <c r="U233" t="s">
        <v>93</v>
      </c>
      <c r="V233" t="s">
        <v>22</v>
      </c>
      <c r="W233" t="s">
        <v>420</v>
      </c>
      <c r="X233" t="s">
        <v>421</v>
      </c>
      <c r="Y233" t="s">
        <v>95</v>
      </c>
      <c r="Z233" t="s">
        <v>422</v>
      </c>
      <c r="AA233" t="b">
        <v>0</v>
      </c>
      <c r="AC233">
        <v>0</v>
      </c>
      <c r="AD233">
        <v>117</v>
      </c>
      <c r="AI233" t="s">
        <v>423</v>
      </c>
      <c r="AJ233" t="s">
        <v>88</v>
      </c>
      <c r="AK233" t="s">
        <v>960</v>
      </c>
      <c r="AL233" t="s">
        <v>88</v>
      </c>
      <c r="AM233" t="s">
        <v>88</v>
      </c>
      <c r="AN233" t="s">
        <v>88</v>
      </c>
      <c r="AP233" t="s">
        <v>961</v>
      </c>
      <c r="AQ233" t="s">
        <v>100</v>
      </c>
      <c r="AR233" t="s">
        <v>101</v>
      </c>
      <c r="AS233" t="s">
        <v>102</v>
      </c>
      <c r="AT233" t="s">
        <v>426</v>
      </c>
      <c r="AU233" t="s">
        <v>426</v>
      </c>
      <c r="AX233" t="s">
        <v>427</v>
      </c>
      <c r="AY233" t="s">
        <v>428</v>
      </c>
      <c r="AZ233" t="s">
        <v>100</v>
      </c>
      <c r="BA233" t="s">
        <v>101</v>
      </c>
      <c r="BB233" t="s">
        <v>102</v>
      </c>
      <c r="BC233" t="s">
        <v>429</v>
      </c>
      <c r="BD233" t="s">
        <v>429</v>
      </c>
      <c r="BF233" t="s">
        <v>143</v>
      </c>
      <c r="BG233">
        <v>7018</v>
      </c>
      <c r="BH233" t="s">
        <v>430</v>
      </c>
      <c r="BO233">
        <v>5</v>
      </c>
      <c r="BR233" t="s">
        <v>100</v>
      </c>
      <c r="BS233" t="s">
        <v>109</v>
      </c>
      <c r="BT233" t="s">
        <v>102</v>
      </c>
      <c r="BU233" t="s">
        <v>429</v>
      </c>
      <c r="BV233" t="s">
        <v>431</v>
      </c>
      <c r="BW233" t="s">
        <v>110</v>
      </c>
    </row>
    <row r="234" spans="1:75" s="8" customFormat="1" x14ac:dyDescent="0.35">
      <c r="A234" s="8" t="s">
        <v>962</v>
      </c>
      <c r="B234" s="9">
        <v>45988</v>
      </c>
      <c r="C234" s="10">
        <v>0.52736111111111106</v>
      </c>
      <c r="D234" s="8" t="s">
        <v>209</v>
      </c>
      <c r="E234" s="8" t="s">
        <v>210</v>
      </c>
      <c r="F234" s="11" t="s">
        <v>172</v>
      </c>
      <c r="G234" s="8">
        <f>COUNTIF($F$2:$F$350,F234)</f>
        <v>213</v>
      </c>
      <c r="H234" s="8" t="s">
        <v>115</v>
      </c>
      <c r="I234" s="8" t="s">
        <v>82</v>
      </c>
      <c r="J234" s="8" t="s">
        <v>83</v>
      </c>
      <c r="K234" s="8" t="s">
        <v>84</v>
      </c>
      <c r="M234" s="8" t="s">
        <v>85</v>
      </c>
      <c r="N234" s="8" t="s">
        <v>86</v>
      </c>
      <c r="O234" s="8" t="s">
        <v>87</v>
      </c>
      <c r="P234" s="8" t="s">
        <v>88</v>
      </c>
      <c r="Q234" s="8" t="s">
        <v>89</v>
      </c>
      <c r="R234" s="8" t="s">
        <v>90</v>
      </c>
      <c r="S234" s="8" t="s">
        <v>963</v>
      </c>
      <c r="T234" s="8" t="s">
        <v>964</v>
      </c>
      <c r="U234" s="8" t="s">
        <v>93</v>
      </c>
      <c r="V234" s="8" t="s">
        <v>22</v>
      </c>
      <c r="X234" s="8" t="s">
        <v>177</v>
      </c>
      <c r="Y234" s="8" t="s">
        <v>95</v>
      </c>
      <c r="Z234" s="8" t="s">
        <v>189</v>
      </c>
      <c r="AA234" s="8" t="b">
        <v>0</v>
      </c>
      <c r="AC234" s="8">
        <v>0</v>
      </c>
      <c r="AD234" s="8">
        <v>85</v>
      </c>
      <c r="AI234" s="8" t="s">
        <v>213</v>
      </c>
      <c r="AJ234" s="8" t="s">
        <v>88</v>
      </c>
      <c r="AK234" s="8" t="s">
        <v>965</v>
      </c>
      <c r="AL234" s="8" t="s">
        <v>88</v>
      </c>
      <c r="AM234" s="8" t="s">
        <v>88</v>
      </c>
      <c r="AN234" s="8" t="s">
        <v>88</v>
      </c>
      <c r="AO234" s="8">
        <v>1002</v>
      </c>
      <c r="AP234" s="8" t="s">
        <v>966</v>
      </c>
      <c r="AQ234" s="8" t="s">
        <v>100</v>
      </c>
      <c r="AR234" s="8" t="s">
        <v>101</v>
      </c>
      <c r="AS234" s="8" t="s">
        <v>120</v>
      </c>
      <c r="AT234" s="8" t="s">
        <v>103</v>
      </c>
      <c r="AU234" s="8" t="s">
        <v>103</v>
      </c>
      <c r="AX234" s="8" t="s">
        <v>104</v>
      </c>
      <c r="AY234" s="8" t="s">
        <v>121</v>
      </c>
      <c r="AZ234" s="8" t="s">
        <v>100</v>
      </c>
      <c r="BA234" s="8" t="s">
        <v>101</v>
      </c>
      <c r="BB234" s="8" t="s">
        <v>102</v>
      </c>
      <c r="BC234" s="8" t="s">
        <v>103</v>
      </c>
      <c r="BD234" s="8" t="s">
        <v>103</v>
      </c>
      <c r="BF234" s="8" t="s">
        <v>107</v>
      </c>
      <c r="BG234" s="8">
        <v>16700</v>
      </c>
      <c r="BH234" s="8" t="s">
        <v>122</v>
      </c>
      <c r="BO234" s="8">
        <v>12</v>
      </c>
      <c r="BR234" s="8" t="s">
        <v>100</v>
      </c>
      <c r="BS234" s="8" t="s">
        <v>182</v>
      </c>
      <c r="BT234" s="8" t="s">
        <v>183</v>
      </c>
      <c r="BU234" s="8" t="s">
        <v>106</v>
      </c>
      <c r="BV234" s="8" t="s">
        <v>123</v>
      </c>
      <c r="BW234" s="8" t="s">
        <v>110</v>
      </c>
    </row>
    <row r="235" spans="1:75" x14ac:dyDescent="0.35">
      <c r="A235" t="s">
        <v>967</v>
      </c>
      <c r="B235" s="1">
        <v>45988</v>
      </c>
      <c r="C235" s="2">
        <v>0.50111111111111117</v>
      </c>
      <c r="D235" t="s">
        <v>112</v>
      </c>
      <c r="E235" t="s">
        <v>113</v>
      </c>
      <c r="F235" t="s">
        <v>114</v>
      </c>
      <c r="G235">
        <f>COUNTIF($F$2:$F$350,F235)</f>
        <v>42</v>
      </c>
      <c r="H235" t="s">
        <v>115</v>
      </c>
      <c r="I235" t="s">
        <v>82</v>
      </c>
      <c r="J235" t="s">
        <v>83</v>
      </c>
      <c r="K235" t="s">
        <v>84</v>
      </c>
      <c r="M235" t="s">
        <v>85</v>
      </c>
      <c r="N235" t="s">
        <v>116</v>
      </c>
      <c r="O235" t="s">
        <v>87</v>
      </c>
      <c r="P235" t="s">
        <v>88</v>
      </c>
      <c r="Q235" t="s">
        <v>89</v>
      </c>
      <c r="R235" t="s">
        <v>90</v>
      </c>
      <c r="S235" t="s">
        <v>91</v>
      </c>
      <c r="T235" t="s">
        <v>92</v>
      </c>
      <c r="U235" t="s">
        <v>93</v>
      </c>
      <c r="V235" t="s">
        <v>22</v>
      </c>
      <c r="X235" t="s">
        <v>94</v>
      </c>
      <c r="Y235" t="s">
        <v>95</v>
      </c>
      <c r="Z235" t="s">
        <v>96</v>
      </c>
      <c r="AA235" t="b">
        <v>0</v>
      </c>
      <c r="AC235">
        <v>0</v>
      </c>
      <c r="AD235">
        <v>81</v>
      </c>
      <c r="AI235" t="s">
        <v>117</v>
      </c>
      <c r="AJ235" t="s">
        <v>88</v>
      </c>
      <c r="AK235" t="s">
        <v>968</v>
      </c>
      <c r="AL235" t="s">
        <v>88</v>
      </c>
      <c r="AM235" t="s">
        <v>88</v>
      </c>
      <c r="AN235" t="s">
        <v>88</v>
      </c>
      <c r="AO235">
        <v>1002</v>
      </c>
      <c r="AP235" t="s">
        <v>969</v>
      </c>
      <c r="AQ235" t="s">
        <v>100</v>
      </c>
      <c r="AR235" t="s">
        <v>101</v>
      </c>
      <c r="AS235" t="s">
        <v>120</v>
      </c>
      <c r="AT235" t="s">
        <v>103</v>
      </c>
      <c r="AU235" t="s">
        <v>103</v>
      </c>
      <c r="AX235" t="s">
        <v>104</v>
      </c>
      <c r="AY235" t="s">
        <v>121</v>
      </c>
      <c r="AZ235" t="s">
        <v>100</v>
      </c>
      <c r="BA235" t="s">
        <v>101</v>
      </c>
      <c r="BB235" t="s">
        <v>102</v>
      </c>
      <c r="BC235" t="s">
        <v>103</v>
      </c>
      <c r="BD235" t="s">
        <v>103</v>
      </c>
      <c r="BF235" t="s">
        <v>107</v>
      </c>
      <c r="BG235">
        <v>16700</v>
      </c>
      <c r="BH235" t="s">
        <v>122</v>
      </c>
      <c r="BO235">
        <v>12</v>
      </c>
      <c r="BR235" t="s">
        <v>100</v>
      </c>
      <c r="BS235" t="s">
        <v>109</v>
      </c>
      <c r="BT235" t="s">
        <v>102</v>
      </c>
      <c r="BU235" t="s">
        <v>106</v>
      </c>
      <c r="BV235" t="s">
        <v>123</v>
      </c>
      <c r="BW235" t="s">
        <v>110</v>
      </c>
    </row>
    <row r="236" spans="1:75" s="8" customFormat="1" x14ac:dyDescent="0.35">
      <c r="A236" s="8" t="s">
        <v>970</v>
      </c>
      <c r="B236" s="9">
        <v>45988</v>
      </c>
      <c r="C236" s="10">
        <v>0.48917824074074073</v>
      </c>
      <c r="D236" s="8" t="s">
        <v>78</v>
      </c>
      <c r="E236" s="8" t="s">
        <v>79</v>
      </c>
      <c r="F236" s="11" t="s">
        <v>80</v>
      </c>
      <c r="G236" s="8">
        <f>COUNTIF($F$2:$F$350,F236)</f>
        <v>38</v>
      </c>
      <c r="H236" s="8" t="s">
        <v>81</v>
      </c>
      <c r="I236" s="8" t="s">
        <v>82</v>
      </c>
      <c r="J236" s="8" t="s">
        <v>83</v>
      </c>
      <c r="K236" s="8" t="s">
        <v>84</v>
      </c>
      <c r="M236" s="8" t="s">
        <v>85</v>
      </c>
      <c r="N236" s="8" t="s">
        <v>86</v>
      </c>
      <c r="O236" s="8" t="s">
        <v>87</v>
      </c>
      <c r="P236" s="8" t="s">
        <v>88</v>
      </c>
      <c r="Q236" s="8" t="s">
        <v>89</v>
      </c>
      <c r="R236" s="8" t="s">
        <v>90</v>
      </c>
      <c r="S236" s="8" t="s">
        <v>91</v>
      </c>
      <c r="T236" s="8" t="s">
        <v>92</v>
      </c>
      <c r="U236" s="8" t="s">
        <v>93</v>
      </c>
      <c r="V236" s="8" t="s">
        <v>22</v>
      </c>
      <c r="X236" s="8" t="s">
        <v>94</v>
      </c>
      <c r="Y236" s="8" t="s">
        <v>95</v>
      </c>
      <c r="Z236" s="8" t="s">
        <v>96</v>
      </c>
      <c r="AA236" s="8" t="b">
        <v>0</v>
      </c>
      <c r="AC236" s="8">
        <v>0</v>
      </c>
      <c r="AD236" s="8">
        <v>75</v>
      </c>
      <c r="AI236" s="8" t="s">
        <v>97</v>
      </c>
      <c r="AJ236" s="8" t="s">
        <v>88</v>
      </c>
      <c r="AK236" s="8" t="s">
        <v>971</v>
      </c>
      <c r="AL236" s="8" t="s">
        <v>88</v>
      </c>
      <c r="AM236" s="8" t="s">
        <v>88</v>
      </c>
      <c r="AN236" s="8" t="s">
        <v>88</v>
      </c>
      <c r="AO236" s="8">
        <v>1002</v>
      </c>
      <c r="AP236" s="8" t="s">
        <v>972</v>
      </c>
      <c r="AQ236" s="8" t="s">
        <v>100</v>
      </c>
      <c r="AR236" s="8" t="s">
        <v>101</v>
      </c>
      <c r="AS236" s="8" t="s">
        <v>102</v>
      </c>
      <c r="AT236" s="8" t="s">
        <v>103</v>
      </c>
      <c r="AU236" s="8" t="s">
        <v>103</v>
      </c>
      <c r="AX236" s="8" t="s">
        <v>104</v>
      </c>
      <c r="AY236" s="8" t="s">
        <v>105</v>
      </c>
      <c r="AZ236" s="8" t="s">
        <v>100</v>
      </c>
      <c r="BA236" s="8" t="s">
        <v>101</v>
      </c>
      <c r="BB236" s="8" t="s">
        <v>102</v>
      </c>
      <c r="BC236" s="8" t="s">
        <v>103</v>
      </c>
      <c r="BD236" s="8" t="s">
        <v>106</v>
      </c>
      <c r="BF236" s="8" t="s">
        <v>107</v>
      </c>
      <c r="BG236" s="8">
        <v>16700</v>
      </c>
      <c r="BH236" s="8" t="s">
        <v>108</v>
      </c>
      <c r="BO236" s="8">
        <v>0</v>
      </c>
      <c r="BR236" s="8" t="s">
        <v>100</v>
      </c>
      <c r="BS236" s="8" t="s">
        <v>109</v>
      </c>
      <c r="BT236" s="8" t="s">
        <v>102</v>
      </c>
      <c r="BU236" s="8" t="s">
        <v>103</v>
      </c>
      <c r="BV236" s="8" t="s">
        <v>106</v>
      </c>
      <c r="BW236" s="8" t="s">
        <v>110</v>
      </c>
    </row>
    <row r="237" spans="1:75" s="8" customFormat="1" x14ac:dyDescent="0.35">
      <c r="A237" s="8" t="s">
        <v>973</v>
      </c>
      <c r="B237" s="9">
        <v>45988</v>
      </c>
      <c r="C237" s="10">
        <v>0.47292824074074075</v>
      </c>
      <c r="D237" s="8" t="s">
        <v>549</v>
      </c>
      <c r="E237" s="8" t="s">
        <v>550</v>
      </c>
      <c r="F237" s="11" t="s">
        <v>172</v>
      </c>
      <c r="G237" s="8">
        <f>COUNTIF($F$2:$F$350,F237)</f>
        <v>213</v>
      </c>
      <c r="H237" s="8" t="s">
        <v>115</v>
      </c>
      <c r="I237" s="8" t="s">
        <v>82</v>
      </c>
      <c r="J237" s="8" t="s">
        <v>83</v>
      </c>
      <c r="K237" s="8" t="s">
        <v>84</v>
      </c>
      <c r="M237" s="8" t="s">
        <v>85</v>
      </c>
      <c r="N237" s="8" t="s">
        <v>86</v>
      </c>
      <c r="O237" s="8" t="s">
        <v>87</v>
      </c>
      <c r="P237" s="8" t="s">
        <v>173</v>
      </c>
      <c r="Q237" s="8" t="s">
        <v>89</v>
      </c>
      <c r="R237" s="8" t="s">
        <v>90</v>
      </c>
      <c r="S237" s="8" t="s">
        <v>91</v>
      </c>
      <c r="T237" s="8" t="s">
        <v>92</v>
      </c>
      <c r="U237" s="8" t="s">
        <v>93</v>
      </c>
      <c r="V237" s="8" t="s">
        <v>22</v>
      </c>
      <c r="W237" s="8" t="s">
        <v>731</v>
      </c>
      <c r="X237" s="8" t="s">
        <v>177</v>
      </c>
      <c r="Y237" s="8" t="s">
        <v>95</v>
      </c>
      <c r="Z237" s="8" t="s">
        <v>189</v>
      </c>
      <c r="AA237" s="8" t="b">
        <v>0</v>
      </c>
      <c r="AC237" s="8">
        <v>0</v>
      </c>
      <c r="AD237" s="8">
        <v>112</v>
      </c>
      <c r="AI237" s="8" t="s">
        <v>732</v>
      </c>
      <c r="AJ237" s="8" t="s">
        <v>88</v>
      </c>
      <c r="AK237" s="8" t="s">
        <v>974</v>
      </c>
      <c r="AL237" s="8" t="s">
        <v>88</v>
      </c>
      <c r="AM237" s="8" t="s">
        <v>88</v>
      </c>
      <c r="AN237" s="8" t="s">
        <v>88</v>
      </c>
      <c r="AP237" s="8" t="s">
        <v>975</v>
      </c>
      <c r="AQ237" s="8" t="s">
        <v>100</v>
      </c>
      <c r="AR237" s="8" t="s">
        <v>101</v>
      </c>
      <c r="AS237" s="8" t="s">
        <v>120</v>
      </c>
      <c r="AT237" s="8" t="s">
        <v>103</v>
      </c>
      <c r="AU237" s="8" t="s">
        <v>103</v>
      </c>
      <c r="AX237" s="8" t="s">
        <v>104</v>
      </c>
      <c r="AY237" s="8" t="s">
        <v>121</v>
      </c>
      <c r="AZ237" s="8" t="s">
        <v>100</v>
      </c>
      <c r="BA237" s="8" t="s">
        <v>101</v>
      </c>
      <c r="BB237" s="8" t="s">
        <v>102</v>
      </c>
      <c r="BC237" s="8" t="s">
        <v>103</v>
      </c>
      <c r="BD237" s="8" t="s">
        <v>103</v>
      </c>
      <c r="BF237" s="8" t="s">
        <v>107</v>
      </c>
      <c r="BG237" s="8">
        <v>16700</v>
      </c>
      <c r="BH237" s="8" t="s">
        <v>122</v>
      </c>
      <c r="BO237" s="8">
        <v>12</v>
      </c>
      <c r="BR237" s="8" t="s">
        <v>100</v>
      </c>
      <c r="BS237" s="8" t="s">
        <v>182</v>
      </c>
      <c r="BT237" s="8" t="s">
        <v>183</v>
      </c>
      <c r="BU237" s="8" t="s">
        <v>106</v>
      </c>
      <c r="BV237" s="8" t="s">
        <v>123</v>
      </c>
      <c r="BW237" s="8" t="s">
        <v>110</v>
      </c>
    </row>
    <row r="238" spans="1:75" x14ac:dyDescent="0.35">
      <c r="A238" t="s">
        <v>976</v>
      </c>
      <c r="B238" s="1">
        <v>45988</v>
      </c>
      <c r="C238" s="2">
        <v>0.33236111111111111</v>
      </c>
      <c r="D238" t="s">
        <v>112</v>
      </c>
      <c r="E238" t="s">
        <v>113</v>
      </c>
      <c r="F238" t="s">
        <v>114</v>
      </c>
      <c r="G238">
        <f>COUNTIF($F$2:$F$350,F238)</f>
        <v>42</v>
      </c>
      <c r="H238" t="s">
        <v>115</v>
      </c>
      <c r="I238" t="s">
        <v>82</v>
      </c>
      <c r="J238" t="s">
        <v>83</v>
      </c>
      <c r="K238" t="s">
        <v>84</v>
      </c>
      <c r="M238" t="s">
        <v>85</v>
      </c>
      <c r="N238" t="s">
        <v>116</v>
      </c>
      <c r="O238" t="s">
        <v>87</v>
      </c>
      <c r="P238" t="s">
        <v>88</v>
      </c>
      <c r="Q238" t="s">
        <v>89</v>
      </c>
      <c r="R238" t="s">
        <v>90</v>
      </c>
      <c r="S238" t="s">
        <v>91</v>
      </c>
      <c r="T238" t="s">
        <v>92</v>
      </c>
      <c r="U238" t="s">
        <v>93</v>
      </c>
      <c r="V238" t="s">
        <v>22</v>
      </c>
      <c r="X238" t="s">
        <v>94</v>
      </c>
      <c r="Y238" t="s">
        <v>95</v>
      </c>
      <c r="Z238" t="s">
        <v>96</v>
      </c>
      <c r="AA238" t="b">
        <v>0</v>
      </c>
      <c r="AC238">
        <v>0</v>
      </c>
      <c r="AD238">
        <v>71</v>
      </c>
      <c r="AI238" t="s">
        <v>117</v>
      </c>
      <c r="AJ238" t="s">
        <v>88</v>
      </c>
      <c r="AK238" t="s">
        <v>977</v>
      </c>
      <c r="AL238" t="s">
        <v>88</v>
      </c>
      <c r="AM238" t="s">
        <v>88</v>
      </c>
      <c r="AN238" t="s">
        <v>88</v>
      </c>
      <c r="AO238">
        <v>1002</v>
      </c>
      <c r="AP238" t="s">
        <v>978</v>
      </c>
      <c r="AQ238" t="s">
        <v>100</v>
      </c>
      <c r="AR238" t="s">
        <v>101</v>
      </c>
      <c r="AS238" t="s">
        <v>120</v>
      </c>
      <c r="AT238" t="s">
        <v>103</v>
      </c>
      <c r="AU238" t="s">
        <v>103</v>
      </c>
      <c r="AX238" t="s">
        <v>104</v>
      </c>
      <c r="AY238" t="s">
        <v>121</v>
      </c>
      <c r="AZ238" t="s">
        <v>100</v>
      </c>
      <c r="BA238" t="s">
        <v>101</v>
      </c>
      <c r="BB238" t="s">
        <v>102</v>
      </c>
      <c r="BC238" t="s">
        <v>103</v>
      </c>
      <c r="BD238" t="s">
        <v>103</v>
      </c>
      <c r="BF238" t="s">
        <v>107</v>
      </c>
      <c r="BG238">
        <v>16700</v>
      </c>
      <c r="BH238" t="s">
        <v>122</v>
      </c>
      <c r="BO238">
        <v>12</v>
      </c>
      <c r="BR238" t="s">
        <v>100</v>
      </c>
      <c r="BS238" t="s">
        <v>109</v>
      </c>
      <c r="BT238" t="s">
        <v>102</v>
      </c>
      <c r="BU238" t="s">
        <v>106</v>
      </c>
      <c r="BV238" t="s">
        <v>123</v>
      </c>
      <c r="BW238" t="s">
        <v>110</v>
      </c>
    </row>
    <row r="239" spans="1:75" s="8" customFormat="1" x14ac:dyDescent="0.35">
      <c r="A239" s="8" t="s">
        <v>979</v>
      </c>
      <c r="B239" s="9">
        <v>45988</v>
      </c>
      <c r="C239" s="10">
        <v>0.3183449074074074</v>
      </c>
      <c r="D239" s="8" t="s">
        <v>78</v>
      </c>
      <c r="E239" s="8" t="s">
        <v>79</v>
      </c>
      <c r="F239" s="11" t="s">
        <v>80</v>
      </c>
      <c r="G239" s="8">
        <f>COUNTIF($F$2:$F$350,F239)</f>
        <v>38</v>
      </c>
      <c r="H239" s="8" t="s">
        <v>81</v>
      </c>
      <c r="I239" s="8" t="s">
        <v>82</v>
      </c>
      <c r="J239" s="8" t="s">
        <v>83</v>
      </c>
      <c r="K239" s="8" t="s">
        <v>84</v>
      </c>
      <c r="M239" s="8" t="s">
        <v>85</v>
      </c>
      <c r="N239" s="8" t="s">
        <v>86</v>
      </c>
      <c r="O239" s="8" t="s">
        <v>87</v>
      </c>
      <c r="P239" s="8" t="s">
        <v>88</v>
      </c>
      <c r="Q239" s="8" t="s">
        <v>89</v>
      </c>
      <c r="R239" s="8" t="s">
        <v>90</v>
      </c>
      <c r="S239" s="8" t="s">
        <v>91</v>
      </c>
      <c r="T239" s="8" t="s">
        <v>92</v>
      </c>
      <c r="U239" s="8" t="s">
        <v>93</v>
      </c>
      <c r="V239" s="8" t="s">
        <v>22</v>
      </c>
      <c r="X239" s="8" t="s">
        <v>94</v>
      </c>
      <c r="Y239" s="8" t="s">
        <v>95</v>
      </c>
      <c r="Z239" s="8" t="s">
        <v>96</v>
      </c>
      <c r="AA239" s="8" t="b">
        <v>0</v>
      </c>
      <c r="AC239" s="8">
        <v>0</v>
      </c>
      <c r="AD239" s="8">
        <v>87</v>
      </c>
      <c r="AI239" s="8" t="s">
        <v>97</v>
      </c>
      <c r="AJ239" s="8" t="s">
        <v>88</v>
      </c>
      <c r="AK239" s="8" t="s">
        <v>980</v>
      </c>
      <c r="AL239" s="8" t="s">
        <v>88</v>
      </c>
      <c r="AM239" s="8" t="s">
        <v>88</v>
      </c>
      <c r="AN239" s="8" t="s">
        <v>88</v>
      </c>
      <c r="AO239" s="8">
        <v>1002</v>
      </c>
      <c r="AP239" s="8" t="s">
        <v>981</v>
      </c>
      <c r="AQ239" s="8" t="s">
        <v>100</v>
      </c>
      <c r="AR239" s="8" t="s">
        <v>101</v>
      </c>
      <c r="AS239" s="8" t="s">
        <v>102</v>
      </c>
      <c r="AT239" s="8" t="s">
        <v>103</v>
      </c>
      <c r="AU239" s="8" t="s">
        <v>103</v>
      </c>
      <c r="AX239" s="8" t="s">
        <v>104</v>
      </c>
      <c r="AY239" s="8" t="s">
        <v>105</v>
      </c>
      <c r="AZ239" s="8" t="s">
        <v>100</v>
      </c>
      <c r="BA239" s="8" t="s">
        <v>101</v>
      </c>
      <c r="BB239" s="8" t="s">
        <v>102</v>
      </c>
      <c r="BC239" s="8" t="s">
        <v>103</v>
      </c>
      <c r="BD239" s="8" t="s">
        <v>106</v>
      </c>
      <c r="BF239" s="8" t="s">
        <v>107</v>
      </c>
      <c r="BG239" s="8">
        <v>16700</v>
      </c>
      <c r="BH239" s="8" t="s">
        <v>108</v>
      </c>
      <c r="BO239" s="8">
        <v>0</v>
      </c>
      <c r="BR239" s="8" t="s">
        <v>100</v>
      </c>
      <c r="BS239" s="8" t="s">
        <v>109</v>
      </c>
      <c r="BT239" s="8" t="s">
        <v>102</v>
      </c>
      <c r="BU239" s="8" t="s">
        <v>103</v>
      </c>
      <c r="BV239" s="8" t="s">
        <v>106</v>
      </c>
      <c r="BW239" s="8" t="s">
        <v>110</v>
      </c>
    </row>
    <row r="240" spans="1:75" x14ac:dyDescent="0.35">
      <c r="A240" t="s">
        <v>982</v>
      </c>
      <c r="B240" s="1">
        <v>45988</v>
      </c>
      <c r="C240" s="2">
        <v>0.16359953703703703</v>
      </c>
      <c r="D240" t="s">
        <v>112</v>
      </c>
      <c r="E240" t="s">
        <v>113</v>
      </c>
      <c r="F240" t="s">
        <v>114</v>
      </c>
      <c r="G240">
        <f>COUNTIF($F$2:$F$350,F240)</f>
        <v>42</v>
      </c>
      <c r="H240" t="s">
        <v>115</v>
      </c>
      <c r="I240" t="s">
        <v>82</v>
      </c>
      <c r="J240" t="s">
        <v>83</v>
      </c>
      <c r="K240" t="s">
        <v>84</v>
      </c>
      <c r="M240" t="s">
        <v>85</v>
      </c>
      <c r="N240" t="s">
        <v>116</v>
      </c>
      <c r="O240" t="s">
        <v>87</v>
      </c>
      <c r="P240" t="s">
        <v>88</v>
      </c>
      <c r="Q240" t="s">
        <v>89</v>
      </c>
      <c r="R240" t="s">
        <v>90</v>
      </c>
      <c r="S240" t="s">
        <v>91</v>
      </c>
      <c r="T240" t="s">
        <v>92</v>
      </c>
      <c r="U240" t="s">
        <v>93</v>
      </c>
      <c r="V240" t="s">
        <v>22</v>
      </c>
      <c r="X240" t="s">
        <v>94</v>
      </c>
      <c r="Y240" t="s">
        <v>95</v>
      </c>
      <c r="Z240" t="s">
        <v>96</v>
      </c>
      <c r="AA240" t="b">
        <v>0</v>
      </c>
      <c r="AC240">
        <v>0</v>
      </c>
      <c r="AD240">
        <v>88</v>
      </c>
      <c r="AI240" t="s">
        <v>117</v>
      </c>
      <c r="AJ240" t="s">
        <v>88</v>
      </c>
      <c r="AK240" t="s">
        <v>983</v>
      </c>
      <c r="AL240" t="s">
        <v>88</v>
      </c>
      <c r="AM240" t="s">
        <v>88</v>
      </c>
      <c r="AN240" t="s">
        <v>88</v>
      </c>
      <c r="AO240">
        <v>1002</v>
      </c>
      <c r="AP240" t="s">
        <v>984</v>
      </c>
      <c r="AQ240" t="s">
        <v>100</v>
      </c>
      <c r="AR240" t="s">
        <v>101</v>
      </c>
      <c r="AS240" t="s">
        <v>120</v>
      </c>
      <c r="AT240" t="s">
        <v>103</v>
      </c>
      <c r="AU240" t="s">
        <v>103</v>
      </c>
      <c r="AX240" t="s">
        <v>104</v>
      </c>
      <c r="AY240" t="s">
        <v>121</v>
      </c>
      <c r="AZ240" t="s">
        <v>100</v>
      </c>
      <c r="BA240" t="s">
        <v>101</v>
      </c>
      <c r="BB240" t="s">
        <v>102</v>
      </c>
      <c r="BC240" t="s">
        <v>103</v>
      </c>
      <c r="BD240" t="s">
        <v>103</v>
      </c>
      <c r="BF240" t="s">
        <v>107</v>
      </c>
      <c r="BG240">
        <v>16700</v>
      </c>
      <c r="BH240" t="s">
        <v>122</v>
      </c>
      <c r="BO240">
        <v>12</v>
      </c>
      <c r="BR240" t="s">
        <v>100</v>
      </c>
      <c r="BS240" t="s">
        <v>109</v>
      </c>
      <c r="BT240" t="s">
        <v>102</v>
      </c>
      <c r="BU240" t="s">
        <v>106</v>
      </c>
      <c r="BV240" t="s">
        <v>123</v>
      </c>
      <c r="BW240" t="s">
        <v>110</v>
      </c>
    </row>
    <row r="241" spans="1:75" s="8" customFormat="1" x14ac:dyDescent="0.35">
      <c r="A241" s="8" t="s">
        <v>985</v>
      </c>
      <c r="B241" s="9">
        <v>45988</v>
      </c>
      <c r="C241" s="10">
        <v>0.14820601851851853</v>
      </c>
      <c r="D241" s="8" t="s">
        <v>78</v>
      </c>
      <c r="E241" s="8" t="s">
        <v>79</v>
      </c>
      <c r="F241" s="11" t="s">
        <v>80</v>
      </c>
      <c r="G241" s="8">
        <f>COUNTIF($F$2:$F$350,F241)</f>
        <v>38</v>
      </c>
      <c r="H241" s="8" t="s">
        <v>81</v>
      </c>
      <c r="I241" s="8" t="s">
        <v>82</v>
      </c>
      <c r="J241" s="8" t="s">
        <v>83</v>
      </c>
      <c r="K241" s="8" t="s">
        <v>84</v>
      </c>
      <c r="M241" s="8" t="s">
        <v>85</v>
      </c>
      <c r="N241" s="8" t="s">
        <v>86</v>
      </c>
      <c r="O241" s="8" t="s">
        <v>87</v>
      </c>
      <c r="P241" s="8" t="s">
        <v>88</v>
      </c>
      <c r="Q241" s="8" t="s">
        <v>89</v>
      </c>
      <c r="R241" s="8" t="s">
        <v>90</v>
      </c>
      <c r="S241" s="8" t="s">
        <v>91</v>
      </c>
      <c r="T241" s="8" t="s">
        <v>92</v>
      </c>
      <c r="U241" s="8" t="s">
        <v>93</v>
      </c>
      <c r="V241" s="8" t="s">
        <v>22</v>
      </c>
      <c r="X241" s="8" t="s">
        <v>94</v>
      </c>
      <c r="Y241" s="8" t="s">
        <v>95</v>
      </c>
      <c r="Z241" s="8" t="s">
        <v>96</v>
      </c>
      <c r="AA241" s="8" t="b">
        <v>0</v>
      </c>
      <c r="AC241" s="8">
        <v>0</v>
      </c>
      <c r="AD241" s="8">
        <v>111</v>
      </c>
      <c r="AI241" s="8" t="s">
        <v>97</v>
      </c>
      <c r="AJ241" s="8" t="s">
        <v>88</v>
      </c>
      <c r="AK241" s="8" t="s">
        <v>986</v>
      </c>
      <c r="AL241" s="8" t="s">
        <v>88</v>
      </c>
      <c r="AM241" s="8" t="s">
        <v>88</v>
      </c>
      <c r="AN241" s="8" t="s">
        <v>88</v>
      </c>
      <c r="AO241" s="8">
        <v>1002</v>
      </c>
      <c r="AP241" s="8" t="s">
        <v>987</v>
      </c>
      <c r="AQ241" s="8" t="s">
        <v>100</v>
      </c>
      <c r="AR241" s="8" t="s">
        <v>101</v>
      </c>
      <c r="AS241" s="8" t="s">
        <v>102</v>
      </c>
      <c r="AT241" s="8" t="s">
        <v>103</v>
      </c>
      <c r="AU241" s="8" t="s">
        <v>103</v>
      </c>
      <c r="AX241" s="8" t="s">
        <v>104</v>
      </c>
      <c r="AY241" s="8" t="s">
        <v>105</v>
      </c>
      <c r="AZ241" s="8" t="s">
        <v>100</v>
      </c>
      <c r="BA241" s="8" t="s">
        <v>101</v>
      </c>
      <c r="BB241" s="8" t="s">
        <v>102</v>
      </c>
      <c r="BC241" s="8" t="s">
        <v>103</v>
      </c>
      <c r="BD241" s="8" t="s">
        <v>106</v>
      </c>
      <c r="BF241" s="8" t="s">
        <v>107</v>
      </c>
      <c r="BG241" s="8">
        <v>16700</v>
      </c>
      <c r="BH241" s="8" t="s">
        <v>108</v>
      </c>
      <c r="BO241" s="8">
        <v>0</v>
      </c>
      <c r="BR241" s="8" t="s">
        <v>100</v>
      </c>
      <c r="BS241" s="8" t="s">
        <v>109</v>
      </c>
      <c r="BT241" s="8" t="s">
        <v>102</v>
      </c>
      <c r="BU241" s="8" t="s">
        <v>103</v>
      </c>
      <c r="BV241" s="8" t="s">
        <v>106</v>
      </c>
      <c r="BW241" s="8" t="s">
        <v>110</v>
      </c>
    </row>
    <row r="242" spans="1:75" x14ac:dyDescent="0.35">
      <c r="A242" t="s">
        <v>988</v>
      </c>
      <c r="B242" s="1">
        <v>45988</v>
      </c>
      <c r="C242" s="2">
        <v>4.8043981481481479E-2</v>
      </c>
      <c r="D242" t="s">
        <v>170</v>
      </c>
      <c r="E242" t="s">
        <v>171</v>
      </c>
      <c r="F242" t="s">
        <v>989</v>
      </c>
      <c r="G242">
        <f>COUNTIF($F$2:$F$350,F242)</f>
        <v>2</v>
      </c>
      <c r="H242" t="s">
        <v>115</v>
      </c>
      <c r="I242" t="s">
        <v>82</v>
      </c>
      <c r="J242" t="s">
        <v>83</v>
      </c>
      <c r="K242" t="s">
        <v>84</v>
      </c>
      <c r="M242" t="s">
        <v>85</v>
      </c>
      <c r="N242" t="s">
        <v>116</v>
      </c>
      <c r="O242" t="s">
        <v>87</v>
      </c>
      <c r="P242" t="s">
        <v>88</v>
      </c>
      <c r="Q242" t="s">
        <v>990</v>
      </c>
      <c r="R242" t="s">
        <v>991</v>
      </c>
      <c r="S242" t="s">
        <v>132</v>
      </c>
      <c r="T242" t="s">
        <v>133</v>
      </c>
      <c r="U242" t="s">
        <v>93</v>
      </c>
      <c r="V242" t="s">
        <v>22</v>
      </c>
      <c r="X242" t="s">
        <v>177</v>
      </c>
      <c r="Y242" t="s">
        <v>95</v>
      </c>
      <c r="Z242" t="s">
        <v>189</v>
      </c>
      <c r="AA242" t="b">
        <v>0</v>
      </c>
      <c r="AC242">
        <v>0</v>
      </c>
      <c r="AD242">
        <v>62</v>
      </c>
      <c r="AI242" t="s">
        <v>992</v>
      </c>
      <c r="AJ242" t="s">
        <v>88</v>
      </c>
      <c r="AK242" t="s">
        <v>993</v>
      </c>
      <c r="AL242" t="s">
        <v>88</v>
      </c>
      <c r="AM242" t="s">
        <v>88</v>
      </c>
      <c r="AN242" t="s">
        <v>88</v>
      </c>
      <c r="AO242">
        <v>1002</v>
      </c>
      <c r="AP242" t="s">
        <v>994</v>
      </c>
      <c r="AQ242" t="s">
        <v>100</v>
      </c>
      <c r="AR242" t="s">
        <v>101</v>
      </c>
      <c r="AS242" t="s">
        <v>120</v>
      </c>
      <c r="AT242" t="s">
        <v>103</v>
      </c>
      <c r="AU242" t="s">
        <v>103</v>
      </c>
      <c r="AX242" t="s">
        <v>104</v>
      </c>
      <c r="AY242" t="s">
        <v>121</v>
      </c>
      <c r="AZ242" t="s">
        <v>100</v>
      </c>
      <c r="BA242" t="s">
        <v>101</v>
      </c>
      <c r="BB242" t="s">
        <v>102</v>
      </c>
      <c r="BC242" t="s">
        <v>103</v>
      </c>
      <c r="BD242" t="s">
        <v>103</v>
      </c>
      <c r="BF242" t="s">
        <v>107</v>
      </c>
      <c r="BG242">
        <v>16700</v>
      </c>
      <c r="BH242" t="s">
        <v>122</v>
      </c>
      <c r="BO242">
        <v>12</v>
      </c>
      <c r="BR242" t="s">
        <v>100</v>
      </c>
      <c r="BS242" t="s">
        <v>109</v>
      </c>
      <c r="BT242" t="s">
        <v>102</v>
      </c>
      <c r="BU242" t="s">
        <v>106</v>
      </c>
      <c r="BV242" t="s">
        <v>123</v>
      </c>
      <c r="BW242" t="s">
        <v>110</v>
      </c>
    </row>
    <row r="243" spans="1:75" x14ac:dyDescent="0.35">
      <c r="A243" t="s">
        <v>995</v>
      </c>
      <c r="B243" s="1">
        <v>45988</v>
      </c>
      <c r="C243" s="2">
        <v>4.8020833333333339E-2</v>
      </c>
      <c r="D243" t="s">
        <v>170</v>
      </c>
      <c r="E243" t="s">
        <v>171</v>
      </c>
      <c r="F243" t="s">
        <v>989</v>
      </c>
      <c r="G243">
        <f>COUNTIF($F$2:$F$350,F243)</f>
        <v>2</v>
      </c>
      <c r="H243" t="s">
        <v>115</v>
      </c>
      <c r="I243" t="s">
        <v>82</v>
      </c>
      <c r="J243" t="s">
        <v>83</v>
      </c>
      <c r="K243" t="s">
        <v>84</v>
      </c>
      <c r="M243" t="s">
        <v>85</v>
      </c>
      <c r="N243" t="s">
        <v>116</v>
      </c>
      <c r="O243" t="s">
        <v>87</v>
      </c>
      <c r="P243" t="s">
        <v>88</v>
      </c>
      <c r="Q243" t="s">
        <v>996</v>
      </c>
      <c r="R243" t="s">
        <v>997</v>
      </c>
      <c r="S243" t="s">
        <v>132</v>
      </c>
      <c r="T243" t="s">
        <v>133</v>
      </c>
      <c r="U243" t="s">
        <v>93</v>
      </c>
      <c r="V243" t="s">
        <v>22</v>
      </c>
      <c r="X243" t="s">
        <v>177</v>
      </c>
      <c r="Y243" t="s">
        <v>95</v>
      </c>
      <c r="Z243" t="s">
        <v>189</v>
      </c>
      <c r="AA243" t="b">
        <v>0</v>
      </c>
      <c r="AC243">
        <v>0</v>
      </c>
      <c r="AD243">
        <v>68</v>
      </c>
      <c r="AI243" t="s">
        <v>992</v>
      </c>
      <c r="AJ243" t="s">
        <v>88</v>
      </c>
      <c r="AK243" t="s">
        <v>998</v>
      </c>
      <c r="AL243" t="s">
        <v>88</v>
      </c>
      <c r="AM243" t="s">
        <v>88</v>
      </c>
      <c r="AN243" t="s">
        <v>88</v>
      </c>
      <c r="AO243">
        <v>1002</v>
      </c>
      <c r="AP243" t="s">
        <v>999</v>
      </c>
      <c r="AQ243" t="s">
        <v>100</v>
      </c>
      <c r="AR243" t="s">
        <v>101</v>
      </c>
      <c r="AS243" t="s">
        <v>120</v>
      </c>
      <c r="AT243" t="s">
        <v>103</v>
      </c>
      <c r="AU243" t="s">
        <v>103</v>
      </c>
      <c r="AX243" t="s">
        <v>104</v>
      </c>
      <c r="AY243" t="s">
        <v>121</v>
      </c>
      <c r="AZ243" t="s">
        <v>100</v>
      </c>
      <c r="BA243" t="s">
        <v>101</v>
      </c>
      <c r="BB243" t="s">
        <v>102</v>
      </c>
      <c r="BC243" t="s">
        <v>103</v>
      </c>
      <c r="BD243" t="s">
        <v>103</v>
      </c>
      <c r="BF243" t="s">
        <v>107</v>
      </c>
      <c r="BG243">
        <v>16700</v>
      </c>
      <c r="BH243" t="s">
        <v>122</v>
      </c>
      <c r="BO243">
        <v>12</v>
      </c>
      <c r="BR243" t="s">
        <v>100</v>
      </c>
      <c r="BS243" t="s">
        <v>109</v>
      </c>
      <c r="BT243" t="s">
        <v>102</v>
      </c>
      <c r="BU243" t="s">
        <v>106</v>
      </c>
      <c r="BV243" t="s">
        <v>123</v>
      </c>
      <c r="BW243" t="s">
        <v>110</v>
      </c>
    </row>
    <row r="244" spans="1:75" x14ac:dyDescent="0.35">
      <c r="A244" t="s">
        <v>1000</v>
      </c>
      <c r="B244" s="1">
        <v>45987</v>
      </c>
      <c r="C244" s="2">
        <v>0.99415509259259249</v>
      </c>
      <c r="D244" t="s">
        <v>112</v>
      </c>
      <c r="E244" t="s">
        <v>113</v>
      </c>
      <c r="F244" t="s">
        <v>114</v>
      </c>
      <c r="G244">
        <f>COUNTIF($F$2:$F$350,F244)</f>
        <v>42</v>
      </c>
      <c r="H244" t="s">
        <v>115</v>
      </c>
      <c r="I244" t="s">
        <v>82</v>
      </c>
      <c r="J244" t="s">
        <v>83</v>
      </c>
      <c r="K244" t="s">
        <v>84</v>
      </c>
      <c r="M244" t="s">
        <v>85</v>
      </c>
      <c r="N244" t="s">
        <v>116</v>
      </c>
      <c r="O244" t="s">
        <v>87</v>
      </c>
      <c r="P244" t="s">
        <v>88</v>
      </c>
      <c r="Q244" t="s">
        <v>89</v>
      </c>
      <c r="R244" t="s">
        <v>90</v>
      </c>
      <c r="S244" t="s">
        <v>91</v>
      </c>
      <c r="T244" t="s">
        <v>92</v>
      </c>
      <c r="U244" t="s">
        <v>93</v>
      </c>
      <c r="V244" t="s">
        <v>22</v>
      </c>
      <c r="X244" t="s">
        <v>94</v>
      </c>
      <c r="Y244" t="s">
        <v>95</v>
      </c>
      <c r="Z244" t="s">
        <v>96</v>
      </c>
      <c r="AA244" t="b">
        <v>0</v>
      </c>
      <c r="AC244">
        <v>0</v>
      </c>
      <c r="AD244">
        <v>79</v>
      </c>
      <c r="AI244" t="s">
        <v>117</v>
      </c>
      <c r="AJ244" t="s">
        <v>88</v>
      </c>
      <c r="AK244" t="s">
        <v>1001</v>
      </c>
      <c r="AL244" t="s">
        <v>88</v>
      </c>
      <c r="AM244" t="s">
        <v>88</v>
      </c>
      <c r="AN244" t="s">
        <v>88</v>
      </c>
      <c r="AO244">
        <v>1002</v>
      </c>
      <c r="AP244" t="s">
        <v>1002</v>
      </c>
      <c r="AQ244" t="s">
        <v>100</v>
      </c>
      <c r="AR244" t="s">
        <v>101</v>
      </c>
      <c r="AS244" t="s">
        <v>120</v>
      </c>
      <c r="AT244" t="s">
        <v>103</v>
      </c>
      <c r="AU244" t="s">
        <v>103</v>
      </c>
      <c r="AX244" t="s">
        <v>104</v>
      </c>
      <c r="AY244" t="s">
        <v>121</v>
      </c>
      <c r="AZ244" t="s">
        <v>100</v>
      </c>
      <c r="BA244" t="s">
        <v>101</v>
      </c>
      <c r="BB244" t="s">
        <v>102</v>
      </c>
      <c r="BC244" t="s">
        <v>103</v>
      </c>
      <c r="BD244" t="s">
        <v>103</v>
      </c>
      <c r="BF244" t="s">
        <v>107</v>
      </c>
      <c r="BG244">
        <v>16700</v>
      </c>
      <c r="BH244" t="s">
        <v>122</v>
      </c>
      <c r="BO244">
        <v>12</v>
      </c>
      <c r="BR244" t="s">
        <v>100</v>
      </c>
      <c r="BS244" t="s">
        <v>109</v>
      </c>
      <c r="BT244" t="s">
        <v>102</v>
      </c>
      <c r="BU244" t="s">
        <v>106</v>
      </c>
      <c r="BV244" t="s">
        <v>123</v>
      </c>
      <c r="BW244" t="s">
        <v>110</v>
      </c>
    </row>
    <row r="245" spans="1:75" s="8" customFormat="1" x14ac:dyDescent="0.35">
      <c r="A245" s="8" t="s">
        <v>1003</v>
      </c>
      <c r="B245" s="9">
        <v>45987</v>
      </c>
      <c r="C245" s="10">
        <v>0.97806712962962961</v>
      </c>
      <c r="D245" s="8" t="s">
        <v>78</v>
      </c>
      <c r="E245" s="8" t="s">
        <v>79</v>
      </c>
      <c r="F245" s="11" t="s">
        <v>80</v>
      </c>
      <c r="G245" s="8">
        <f>COUNTIF($F$2:$F$350,F245)</f>
        <v>38</v>
      </c>
      <c r="H245" s="8" t="s">
        <v>81</v>
      </c>
      <c r="I245" s="8" t="s">
        <v>82</v>
      </c>
      <c r="J245" s="8" t="s">
        <v>83</v>
      </c>
      <c r="K245" s="8" t="s">
        <v>84</v>
      </c>
      <c r="M245" s="8" t="s">
        <v>85</v>
      </c>
      <c r="N245" s="8" t="s">
        <v>86</v>
      </c>
      <c r="O245" s="8" t="s">
        <v>87</v>
      </c>
      <c r="P245" s="8" t="s">
        <v>88</v>
      </c>
      <c r="Q245" s="8" t="s">
        <v>89</v>
      </c>
      <c r="R245" s="8" t="s">
        <v>90</v>
      </c>
      <c r="S245" s="8" t="s">
        <v>91</v>
      </c>
      <c r="T245" s="8" t="s">
        <v>92</v>
      </c>
      <c r="U245" s="8" t="s">
        <v>93</v>
      </c>
      <c r="V245" s="8" t="s">
        <v>22</v>
      </c>
      <c r="X245" s="8" t="s">
        <v>94</v>
      </c>
      <c r="Y245" s="8" t="s">
        <v>95</v>
      </c>
      <c r="Z245" s="8" t="s">
        <v>96</v>
      </c>
      <c r="AA245" s="8" t="b">
        <v>0</v>
      </c>
      <c r="AC245" s="8">
        <v>0</v>
      </c>
      <c r="AD245" s="8">
        <v>118</v>
      </c>
      <c r="AI245" s="8" t="s">
        <v>97</v>
      </c>
      <c r="AJ245" s="8" t="s">
        <v>88</v>
      </c>
      <c r="AK245" s="8" t="s">
        <v>1004</v>
      </c>
      <c r="AL245" s="8" t="s">
        <v>88</v>
      </c>
      <c r="AM245" s="8" t="s">
        <v>88</v>
      </c>
      <c r="AN245" s="8" t="s">
        <v>88</v>
      </c>
      <c r="AO245" s="8">
        <v>1002</v>
      </c>
      <c r="AP245" s="8" t="s">
        <v>1005</v>
      </c>
      <c r="AQ245" s="8" t="s">
        <v>100</v>
      </c>
      <c r="AR245" s="8" t="s">
        <v>101</v>
      </c>
      <c r="AS245" s="8" t="s">
        <v>102</v>
      </c>
      <c r="AT245" s="8" t="s">
        <v>103</v>
      </c>
      <c r="AU245" s="8" t="s">
        <v>103</v>
      </c>
      <c r="AX245" s="8" t="s">
        <v>104</v>
      </c>
      <c r="AY245" s="8" t="s">
        <v>105</v>
      </c>
      <c r="AZ245" s="8" t="s">
        <v>100</v>
      </c>
      <c r="BA245" s="8" t="s">
        <v>101</v>
      </c>
      <c r="BB245" s="8" t="s">
        <v>102</v>
      </c>
      <c r="BC245" s="8" t="s">
        <v>103</v>
      </c>
      <c r="BD245" s="8" t="s">
        <v>106</v>
      </c>
      <c r="BF245" s="8" t="s">
        <v>107</v>
      </c>
      <c r="BG245" s="8">
        <v>16700</v>
      </c>
      <c r="BH245" s="8" t="s">
        <v>108</v>
      </c>
      <c r="BO245" s="8">
        <v>0</v>
      </c>
      <c r="BR245" s="8" t="s">
        <v>100</v>
      </c>
      <c r="BS245" s="8" t="s">
        <v>109</v>
      </c>
      <c r="BT245" s="8" t="s">
        <v>102</v>
      </c>
      <c r="BU245" s="8" t="s">
        <v>103</v>
      </c>
      <c r="BV245" s="8" t="s">
        <v>106</v>
      </c>
      <c r="BW245" s="8" t="s">
        <v>110</v>
      </c>
    </row>
    <row r="246" spans="1:75" x14ac:dyDescent="0.35">
      <c r="A246" t="s">
        <v>1006</v>
      </c>
      <c r="B246" s="1">
        <v>45987</v>
      </c>
      <c r="C246" s="2">
        <v>0.82540509259259265</v>
      </c>
      <c r="D246" t="s">
        <v>112</v>
      </c>
      <c r="E246" t="s">
        <v>113</v>
      </c>
      <c r="F246" t="s">
        <v>114</v>
      </c>
      <c r="G246">
        <f>COUNTIF($F$2:$F$350,F246)</f>
        <v>42</v>
      </c>
      <c r="H246" t="s">
        <v>115</v>
      </c>
      <c r="I246" t="s">
        <v>82</v>
      </c>
      <c r="J246" t="s">
        <v>83</v>
      </c>
      <c r="K246" t="s">
        <v>84</v>
      </c>
      <c r="M246" t="s">
        <v>85</v>
      </c>
      <c r="N246" t="s">
        <v>116</v>
      </c>
      <c r="O246" t="s">
        <v>87</v>
      </c>
      <c r="P246" t="s">
        <v>88</v>
      </c>
      <c r="Q246" t="s">
        <v>89</v>
      </c>
      <c r="R246" t="s">
        <v>90</v>
      </c>
      <c r="S246" t="s">
        <v>91</v>
      </c>
      <c r="T246" t="s">
        <v>92</v>
      </c>
      <c r="U246" t="s">
        <v>93</v>
      </c>
      <c r="V246" t="s">
        <v>22</v>
      </c>
      <c r="X246" t="s">
        <v>94</v>
      </c>
      <c r="Y246" t="s">
        <v>95</v>
      </c>
      <c r="Z246" t="s">
        <v>96</v>
      </c>
      <c r="AA246" t="b">
        <v>0</v>
      </c>
      <c r="AC246">
        <v>0</v>
      </c>
      <c r="AD246">
        <v>151</v>
      </c>
      <c r="AI246" t="s">
        <v>117</v>
      </c>
      <c r="AJ246" t="s">
        <v>88</v>
      </c>
      <c r="AK246" t="s">
        <v>1007</v>
      </c>
      <c r="AL246" t="s">
        <v>88</v>
      </c>
      <c r="AM246" t="s">
        <v>88</v>
      </c>
      <c r="AN246" t="s">
        <v>88</v>
      </c>
      <c r="AO246">
        <v>1002</v>
      </c>
      <c r="AP246" t="s">
        <v>1008</v>
      </c>
      <c r="AQ246" t="s">
        <v>100</v>
      </c>
      <c r="AR246" t="s">
        <v>101</v>
      </c>
      <c r="AS246" t="s">
        <v>120</v>
      </c>
      <c r="AT246" t="s">
        <v>103</v>
      </c>
      <c r="AU246" t="s">
        <v>103</v>
      </c>
      <c r="AX246" t="s">
        <v>104</v>
      </c>
      <c r="AY246" t="s">
        <v>121</v>
      </c>
      <c r="AZ246" t="s">
        <v>100</v>
      </c>
      <c r="BA246" t="s">
        <v>101</v>
      </c>
      <c r="BB246" t="s">
        <v>102</v>
      </c>
      <c r="BC246" t="s">
        <v>103</v>
      </c>
      <c r="BD246" t="s">
        <v>103</v>
      </c>
      <c r="BF246" t="s">
        <v>107</v>
      </c>
      <c r="BG246">
        <v>16700</v>
      </c>
      <c r="BH246" t="s">
        <v>122</v>
      </c>
      <c r="BO246">
        <v>12</v>
      </c>
      <c r="BR246" t="s">
        <v>100</v>
      </c>
      <c r="BS246" t="s">
        <v>109</v>
      </c>
      <c r="BT246" t="s">
        <v>102</v>
      </c>
      <c r="BU246" t="s">
        <v>106</v>
      </c>
      <c r="BV246" t="s">
        <v>123</v>
      </c>
      <c r="BW246" t="s">
        <v>110</v>
      </c>
    </row>
    <row r="247" spans="1:75" s="8" customFormat="1" x14ac:dyDescent="0.35">
      <c r="A247" s="8" t="s">
        <v>1009</v>
      </c>
      <c r="B247" s="9">
        <v>45987</v>
      </c>
      <c r="C247" s="10">
        <v>0.80792824074074077</v>
      </c>
      <c r="D247" s="8" t="s">
        <v>78</v>
      </c>
      <c r="E247" s="8" t="s">
        <v>79</v>
      </c>
      <c r="F247" s="11" t="s">
        <v>80</v>
      </c>
      <c r="G247" s="8">
        <f>COUNTIF($F$2:$F$350,F247)</f>
        <v>38</v>
      </c>
      <c r="H247" s="8" t="s">
        <v>81</v>
      </c>
      <c r="I247" s="8" t="s">
        <v>82</v>
      </c>
      <c r="J247" s="8" t="s">
        <v>83</v>
      </c>
      <c r="K247" s="8" t="s">
        <v>84</v>
      </c>
      <c r="M247" s="8" t="s">
        <v>85</v>
      </c>
      <c r="N247" s="8" t="s">
        <v>86</v>
      </c>
      <c r="O247" s="8" t="s">
        <v>87</v>
      </c>
      <c r="P247" s="8" t="s">
        <v>88</v>
      </c>
      <c r="Q247" s="8" t="s">
        <v>89</v>
      </c>
      <c r="R247" s="8" t="s">
        <v>90</v>
      </c>
      <c r="S247" s="8" t="s">
        <v>91</v>
      </c>
      <c r="T247" s="8" t="s">
        <v>92</v>
      </c>
      <c r="U247" s="8" t="s">
        <v>93</v>
      </c>
      <c r="V247" s="8" t="s">
        <v>22</v>
      </c>
      <c r="X247" s="8" t="s">
        <v>94</v>
      </c>
      <c r="Y247" s="8" t="s">
        <v>95</v>
      </c>
      <c r="Z247" s="8" t="s">
        <v>96</v>
      </c>
      <c r="AA247" s="8" t="b">
        <v>0</v>
      </c>
      <c r="AC247" s="8">
        <v>0</v>
      </c>
      <c r="AD247" s="8">
        <v>115</v>
      </c>
      <c r="AI247" s="8" t="s">
        <v>97</v>
      </c>
      <c r="AJ247" s="8" t="s">
        <v>88</v>
      </c>
      <c r="AK247" s="8" t="s">
        <v>1010</v>
      </c>
      <c r="AL247" s="8" t="s">
        <v>88</v>
      </c>
      <c r="AM247" s="8" t="s">
        <v>88</v>
      </c>
      <c r="AN247" s="8" t="s">
        <v>88</v>
      </c>
      <c r="AO247" s="8">
        <v>1002</v>
      </c>
      <c r="AP247" s="8" t="s">
        <v>1011</v>
      </c>
      <c r="AQ247" s="8" t="s">
        <v>100</v>
      </c>
      <c r="AR247" s="8" t="s">
        <v>101</v>
      </c>
      <c r="AS247" s="8" t="s">
        <v>102</v>
      </c>
      <c r="AT247" s="8" t="s">
        <v>103</v>
      </c>
      <c r="AU247" s="8" t="s">
        <v>103</v>
      </c>
      <c r="AX247" s="8" t="s">
        <v>104</v>
      </c>
      <c r="AY247" s="8" t="s">
        <v>105</v>
      </c>
      <c r="AZ247" s="8" t="s">
        <v>100</v>
      </c>
      <c r="BA247" s="8" t="s">
        <v>101</v>
      </c>
      <c r="BB247" s="8" t="s">
        <v>102</v>
      </c>
      <c r="BC247" s="8" t="s">
        <v>103</v>
      </c>
      <c r="BD247" s="8" t="s">
        <v>106</v>
      </c>
      <c r="BF247" s="8" t="s">
        <v>107</v>
      </c>
      <c r="BG247" s="8">
        <v>16700</v>
      </c>
      <c r="BH247" s="8" t="s">
        <v>108</v>
      </c>
      <c r="BO247" s="8">
        <v>0</v>
      </c>
      <c r="BR247" s="8" t="s">
        <v>100</v>
      </c>
      <c r="BS247" s="8" t="s">
        <v>109</v>
      </c>
      <c r="BT247" s="8" t="s">
        <v>102</v>
      </c>
      <c r="BU247" s="8" t="s">
        <v>103</v>
      </c>
      <c r="BV247" s="8" t="s">
        <v>106</v>
      </c>
      <c r="BW247" s="8" t="s">
        <v>110</v>
      </c>
    </row>
    <row r="248" spans="1:75" x14ac:dyDescent="0.35">
      <c r="A248" t="s">
        <v>1012</v>
      </c>
      <c r="B248" s="1">
        <v>45987</v>
      </c>
      <c r="C248" s="2">
        <v>0.65664351851851854</v>
      </c>
      <c r="D248" t="s">
        <v>112</v>
      </c>
      <c r="E248" t="s">
        <v>113</v>
      </c>
      <c r="F248" t="s">
        <v>114</v>
      </c>
      <c r="G248">
        <f>COUNTIF($F$2:$F$350,F248)</f>
        <v>42</v>
      </c>
      <c r="H248" t="s">
        <v>115</v>
      </c>
      <c r="I248" t="s">
        <v>82</v>
      </c>
      <c r="J248" t="s">
        <v>83</v>
      </c>
      <c r="K248" t="s">
        <v>84</v>
      </c>
      <c r="M248" t="s">
        <v>85</v>
      </c>
      <c r="N248" t="s">
        <v>116</v>
      </c>
      <c r="O248" t="s">
        <v>87</v>
      </c>
      <c r="P248" t="s">
        <v>88</v>
      </c>
      <c r="Q248" t="s">
        <v>89</v>
      </c>
      <c r="R248" t="s">
        <v>90</v>
      </c>
      <c r="S248" t="s">
        <v>91</v>
      </c>
      <c r="T248" t="s">
        <v>92</v>
      </c>
      <c r="U248" t="s">
        <v>93</v>
      </c>
      <c r="V248" t="s">
        <v>22</v>
      </c>
      <c r="X248" t="s">
        <v>94</v>
      </c>
      <c r="Y248" t="s">
        <v>95</v>
      </c>
      <c r="Z248" t="s">
        <v>96</v>
      </c>
      <c r="AA248" t="b">
        <v>0</v>
      </c>
      <c r="AC248">
        <v>0</v>
      </c>
      <c r="AD248">
        <v>90</v>
      </c>
      <c r="AI248" t="s">
        <v>117</v>
      </c>
      <c r="AJ248" t="s">
        <v>88</v>
      </c>
      <c r="AK248" t="s">
        <v>1013</v>
      </c>
      <c r="AL248" t="s">
        <v>88</v>
      </c>
      <c r="AM248" t="s">
        <v>88</v>
      </c>
      <c r="AN248" t="s">
        <v>88</v>
      </c>
      <c r="AO248">
        <v>1002</v>
      </c>
      <c r="AP248" t="s">
        <v>1014</v>
      </c>
      <c r="AQ248" t="s">
        <v>100</v>
      </c>
      <c r="AR248" t="s">
        <v>101</v>
      </c>
      <c r="AS248" t="s">
        <v>120</v>
      </c>
      <c r="AT248" t="s">
        <v>103</v>
      </c>
      <c r="AU248" t="s">
        <v>103</v>
      </c>
      <c r="AX248" t="s">
        <v>104</v>
      </c>
      <c r="AY248" t="s">
        <v>121</v>
      </c>
      <c r="AZ248" t="s">
        <v>100</v>
      </c>
      <c r="BA248" t="s">
        <v>101</v>
      </c>
      <c r="BB248" t="s">
        <v>102</v>
      </c>
      <c r="BC248" t="s">
        <v>103</v>
      </c>
      <c r="BD248" t="s">
        <v>103</v>
      </c>
      <c r="BF248" t="s">
        <v>107</v>
      </c>
      <c r="BG248">
        <v>16700</v>
      </c>
      <c r="BH248" t="s">
        <v>122</v>
      </c>
      <c r="BO248">
        <v>12</v>
      </c>
      <c r="BR248" t="s">
        <v>100</v>
      </c>
      <c r="BS248" t="s">
        <v>109</v>
      </c>
      <c r="BT248" t="s">
        <v>102</v>
      </c>
      <c r="BU248" t="s">
        <v>106</v>
      </c>
      <c r="BV248" t="s">
        <v>123</v>
      </c>
      <c r="BW248" t="s">
        <v>110</v>
      </c>
    </row>
    <row r="249" spans="1:75" s="8" customFormat="1" x14ac:dyDescent="0.35">
      <c r="A249" s="8" t="s">
        <v>1015</v>
      </c>
      <c r="B249" s="9">
        <v>45987</v>
      </c>
      <c r="C249" s="10">
        <v>0.63777777777777778</v>
      </c>
      <c r="D249" s="8" t="s">
        <v>78</v>
      </c>
      <c r="E249" s="8" t="s">
        <v>79</v>
      </c>
      <c r="F249" s="11" t="s">
        <v>80</v>
      </c>
      <c r="G249" s="8">
        <f>COUNTIF($F$2:$F$350,F249)</f>
        <v>38</v>
      </c>
      <c r="H249" s="8" t="s">
        <v>81</v>
      </c>
      <c r="I249" s="8" t="s">
        <v>82</v>
      </c>
      <c r="J249" s="8" t="s">
        <v>83</v>
      </c>
      <c r="K249" s="8" t="s">
        <v>84</v>
      </c>
      <c r="M249" s="8" t="s">
        <v>85</v>
      </c>
      <c r="N249" s="8" t="s">
        <v>86</v>
      </c>
      <c r="O249" s="8" t="s">
        <v>87</v>
      </c>
      <c r="P249" s="8" t="s">
        <v>88</v>
      </c>
      <c r="Q249" s="8" t="s">
        <v>89</v>
      </c>
      <c r="R249" s="8" t="s">
        <v>90</v>
      </c>
      <c r="S249" s="8" t="s">
        <v>91</v>
      </c>
      <c r="T249" s="8" t="s">
        <v>92</v>
      </c>
      <c r="U249" s="8" t="s">
        <v>93</v>
      </c>
      <c r="V249" s="8" t="s">
        <v>22</v>
      </c>
      <c r="X249" s="8" t="s">
        <v>94</v>
      </c>
      <c r="Y249" s="8" t="s">
        <v>95</v>
      </c>
      <c r="Z249" s="8" t="s">
        <v>96</v>
      </c>
      <c r="AA249" s="8" t="b">
        <v>0</v>
      </c>
      <c r="AC249" s="8">
        <v>0</v>
      </c>
      <c r="AD249" s="8">
        <v>84</v>
      </c>
      <c r="AI249" s="8" t="s">
        <v>97</v>
      </c>
      <c r="AJ249" s="8" t="s">
        <v>88</v>
      </c>
      <c r="AK249" s="8" t="s">
        <v>1016</v>
      </c>
      <c r="AL249" s="8" t="s">
        <v>88</v>
      </c>
      <c r="AM249" s="8" t="s">
        <v>88</v>
      </c>
      <c r="AN249" s="8" t="s">
        <v>88</v>
      </c>
      <c r="AO249" s="8">
        <v>1002</v>
      </c>
      <c r="AP249" s="8" t="s">
        <v>1017</v>
      </c>
      <c r="AQ249" s="8" t="s">
        <v>100</v>
      </c>
      <c r="AR249" s="8" t="s">
        <v>101</v>
      </c>
      <c r="AS249" s="8" t="s">
        <v>102</v>
      </c>
      <c r="AT249" s="8" t="s">
        <v>103</v>
      </c>
      <c r="AU249" s="8" t="s">
        <v>103</v>
      </c>
      <c r="AX249" s="8" t="s">
        <v>104</v>
      </c>
      <c r="AY249" s="8" t="s">
        <v>105</v>
      </c>
      <c r="AZ249" s="8" t="s">
        <v>100</v>
      </c>
      <c r="BA249" s="8" t="s">
        <v>101</v>
      </c>
      <c r="BB249" s="8" t="s">
        <v>102</v>
      </c>
      <c r="BC249" s="8" t="s">
        <v>103</v>
      </c>
      <c r="BD249" s="8" t="s">
        <v>106</v>
      </c>
      <c r="BF249" s="8" t="s">
        <v>107</v>
      </c>
      <c r="BG249" s="8">
        <v>16700</v>
      </c>
      <c r="BH249" s="8" t="s">
        <v>108</v>
      </c>
      <c r="BO249" s="8">
        <v>0</v>
      </c>
      <c r="BR249" s="8" t="s">
        <v>100</v>
      </c>
      <c r="BS249" s="8" t="s">
        <v>109</v>
      </c>
      <c r="BT249" s="8" t="s">
        <v>102</v>
      </c>
      <c r="BU249" s="8" t="s">
        <v>103</v>
      </c>
      <c r="BV249" s="8" t="s">
        <v>106</v>
      </c>
      <c r="BW249" s="8" t="s">
        <v>110</v>
      </c>
    </row>
    <row r="250" spans="1:75" x14ac:dyDescent="0.35">
      <c r="A250" t="s">
        <v>1018</v>
      </c>
      <c r="B250" s="1">
        <v>45987</v>
      </c>
      <c r="C250" s="2">
        <v>0.48789351851851853</v>
      </c>
      <c r="D250" t="s">
        <v>112</v>
      </c>
      <c r="E250" t="s">
        <v>113</v>
      </c>
      <c r="F250" t="s">
        <v>114</v>
      </c>
      <c r="G250">
        <f>COUNTIF($F$2:$F$350,F250)</f>
        <v>42</v>
      </c>
      <c r="H250" t="s">
        <v>115</v>
      </c>
      <c r="I250" t="s">
        <v>82</v>
      </c>
      <c r="J250" t="s">
        <v>83</v>
      </c>
      <c r="K250" t="s">
        <v>84</v>
      </c>
      <c r="M250" t="s">
        <v>85</v>
      </c>
      <c r="N250" t="s">
        <v>116</v>
      </c>
      <c r="O250" t="s">
        <v>87</v>
      </c>
      <c r="P250" t="s">
        <v>88</v>
      </c>
      <c r="Q250" t="s">
        <v>89</v>
      </c>
      <c r="R250" t="s">
        <v>90</v>
      </c>
      <c r="S250" t="s">
        <v>91</v>
      </c>
      <c r="T250" t="s">
        <v>92</v>
      </c>
      <c r="U250" t="s">
        <v>93</v>
      </c>
      <c r="V250" t="s">
        <v>22</v>
      </c>
      <c r="X250" t="s">
        <v>94</v>
      </c>
      <c r="Y250" t="s">
        <v>95</v>
      </c>
      <c r="Z250" t="s">
        <v>96</v>
      </c>
      <c r="AA250" t="b">
        <v>0</v>
      </c>
      <c r="AC250">
        <v>0</v>
      </c>
      <c r="AD250">
        <v>99</v>
      </c>
      <c r="AI250" t="s">
        <v>117</v>
      </c>
      <c r="AJ250" t="s">
        <v>88</v>
      </c>
      <c r="AK250" t="s">
        <v>1019</v>
      </c>
      <c r="AL250" t="s">
        <v>88</v>
      </c>
      <c r="AM250" t="s">
        <v>88</v>
      </c>
      <c r="AN250" t="s">
        <v>88</v>
      </c>
      <c r="AO250">
        <v>1002</v>
      </c>
      <c r="AP250" t="s">
        <v>1020</v>
      </c>
      <c r="AQ250" t="s">
        <v>100</v>
      </c>
      <c r="AR250" t="s">
        <v>101</v>
      </c>
      <c r="AS250" t="s">
        <v>120</v>
      </c>
      <c r="AT250" t="s">
        <v>103</v>
      </c>
      <c r="AU250" t="s">
        <v>103</v>
      </c>
      <c r="AX250" t="s">
        <v>104</v>
      </c>
      <c r="AY250" t="s">
        <v>121</v>
      </c>
      <c r="AZ250" t="s">
        <v>100</v>
      </c>
      <c r="BA250" t="s">
        <v>101</v>
      </c>
      <c r="BB250" t="s">
        <v>102</v>
      </c>
      <c r="BC250" t="s">
        <v>103</v>
      </c>
      <c r="BD250" t="s">
        <v>103</v>
      </c>
      <c r="BF250" t="s">
        <v>107</v>
      </c>
      <c r="BG250">
        <v>16700</v>
      </c>
      <c r="BH250" t="s">
        <v>122</v>
      </c>
      <c r="BO250">
        <v>12</v>
      </c>
      <c r="BR250" t="s">
        <v>100</v>
      </c>
      <c r="BS250" t="s">
        <v>109</v>
      </c>
      <c r="BT250" t="s">
        <v>102</v>
      </c>
      <c r="BU250" t="s">
        <v>106</v>
      </c>
      <c r="BV250" t="s">
        <v>123</v>
      </c>
      <c r="BW250" t="s">
        <v>110</v>
      </c>
    </row>
    <row r="251" spans="1:75" s="8" customFormat="1" x14ac:dyDescent="0.35">
      <c r="A251" s="8" t="s">
        <v>1021</v>
      </c>
      <c r="B251" s="9">
        <v>45987</v>
      </c>
      <c r="C251" s="10">
        <v>0.46694444444444444</v>
      </c>
      <c r="D251" s="8" t="s">
        <v>78</v>
      </c>
      <c r="E251" s="8" t="s">
        <v>79</v>
      </c>
      <c r="F251" s="11" t="s">
        <v>80</v>
      </c>
      <c r="G251" s="8">
        <f>COUNTIF($F$2:$F$350,F251)</f>
        <v>38</v>
      </c>
      <c r="H251" s="8" t="s">
        <v>81</v>
      </c>
      <c r="I251" s="8" t="s">
        <v>82</v>
      </c>
      <c r="J251" s="8" t="s">
        <v>83</v>
      </c>
      <c r="K251" s="8" t="s">
        <v>84</v>
      </c>
      <c r="M251" s="8" t="s">
        <v>85</v>
      </c>
      <c r="N251" s="8" t="s">
        <v>86</v>
      </c>
      <c r="O251" s="8" t="s">
        <v>87</v>
      </c>
      <c r="P251" s="8" t="s">
        <v>88</v>
      </c>
      <c r="Q251" s="8" t="s">
        <v>89</v>
      </c>
      <c r="R251" s="8" t="s">
        <v>90</v>
      </c>
      <c r="S251" s="8" t="s">
        <v>91</v>
      </c>
      <c r="T251" s="8" t="s">
        <v>92</v>
      </c>
      <c r="U251" s="8" t="s">
        <v>93</v>
      </c>
      <c r="V251" s="8" t="s">
        <v>22</v>
      </c>
      <c r="X251" s="8" t="s">
        <v>94</v>
      </c>
      <c r="Y251" s="8" t="s">
        <v>95</v>
      </c>
      <c r="Z251" s="8" t="s">
        <v>96</v>
      </c>
      <c r="AA251" s="8" t="b">
        <v>0</v>
      </c>
      <c r="AC251" s="8">
        <v>0</v>
      </c>
      <c r="AD251" s="8">
        <v>101</v>
      </c>
      <c r="AI251" s="8" t="s">
        <v>97</v>
      </c>
      <c r="AJ251" s="8" t="s">
        <v>88</v>
      </c>
      <c r="AK251" s="8" t="s">
        <v>1022</v>
      </c>
      <c r="AL251" s="8" t="s">
        <v>88</v>
      </c>
      <c r="AM251" s="8" t="s">
        <v>88</v>
      </c>
      <c r="AN251" s="8" t="s">
        <v>88</v>
      </c>
      <c r="AO251" s="8">
        <v>1002</v>
      </c>
      <c r="AP251" s="8" t="s">
        <v>1023</v>
      </c>
      <c r="AQ251" s="8" t="s">
        <v>100</v>
      </c>
      <c r="AR251" s="8" t="s">
        <v>101</v>
      </c>
      <c r="AS251" s="8" t="s">
        <v>102</v>
      </c>
      <c r="AT251" s="8" t="s">
        <v>103</v>
      </c>
      <c r="AU251" s="8" t="s">
        <v>103</v>
      </c>
      <c r="AX251" s="8" t="s">
        <v>104</v>
      </c>
      <c r="AY251" s="8" t="s">
        <v>105</v>
      </c>
      <c r="AZ251" s="8" t="s">
        <v>100</v>
      </c>
      <c r="BA251" s="8" t="s">
        <v>101</v>
      </c>
      <c r="BB251" s="8" t="s">
        <v>102</v>
      </c>
      <c r="BC251" s="8" t="s">
        <v>103</v>
      </c>
      <c r="BD251" s="8" t="s">
        <v>106</v>
      </c>
      <c r="BF251" s="8" t="s">
        <v>107</v>
      </c>
      <c r="BG251" s="8">
        <v>16700</v>
      </c>
      <c r="BH251" s="8" t="s">
        <v>108</v>
      </c>
      <c r="BO251" s="8">
        <v>0</v>
      </c>
      <c r="BR251" s="8" t="s">
        <v>100</v>
      </c>
      <c r="BS251" s="8" t="s">
        <v>109</v>
      </c>
      <c r="BT251" s="8" t="s">
        <v>102</v>
      </c>
      <c r="BU251" s="8" t="s">
        <v>103</v>
      </c>
      <c r="BV251" s="8" t="s">
        <v>106</v>
      </c>
      <c r="BW251" s="8" t="s">
        <v>110</v>
      </c>
    </row>
    <row r="252" spans="1:75" x14ac:dyDescent="0.35">
      <c r="A252" t="s">
        <v>1024</v>
      </c>
      <c r="B252" s="1">
        <v>45987</v>
      </c>
      <c r="C252" s="2">
        <v>0.31914351851851852</v>
      </c>
      <c r="D252" t="s">
        <v>112</v>
      </c>
      <c r="E252" t="s">
        <v>113</v>
      </c>
      <c r="F252" t="s">
        <v>114</v>
      </c>
      <c r="G252">
        <f>COUNTIF($F$2:$F$350,F252)</f>
        <v>42</v>
      </c>
      <c r="H252" t="s">
        <v>115</v>
      </c>
      <c r="I252" t="s">
        <v>82</v>
      </c>
      <c r="J252" t="s">
        <v>83</v>
      </c>
      <c r="K252" t="s">
        <v>84</v>
      </c>
      <c r="M252" t="s">
        <v>85</v>
      </c>
      <c r="N252" t="s">
        <v>116</v>
      </c>
      <c r="O252" t="s">
        <v>87</v>
      </c>
      <c r="P252" t="s">
        <v>88</v>
      </c>
      <c r="Q252" t="s">
        <v>89</v>
      </c>
      <c r="R252" t="s">
        <v>90</v>
      </c>
      <c r="S252" t="s">
        <v>91</v>
      </c>
      <c r="T252" t="s">
        <v>92</v>
      </c>
      <c r="U252" t="s">
        <v>93</v>
      </c>
      <c r="V252" t="s">
        <v>22</v>
      </c>
      <c r="X252" t="s">
        <v>94</v>
      </c>
      <c r="Y252" t="s">
        <v>95</v>
      </c>
      <c r="Z252" t="s">
        <v>96</v>
      </c>
      <c r="AA252" t="b">
        <v>0</v>
      </c>
      <c r="AC252">
        <v>0</v>
      </c>
      <c r="AD252">
        <v>92</v>
      </c>
      <c r="AI252" t="s">
        <v>117</v>
      </c>
      <c r="AJ252" t="s">
        <v>88</v>
      </c>
      <c r="AK252" t="s">
        <v>1025</v>
      </c>
      <c r="AL252" t="s">
        <v>88</v>
      </c>
      <c r="AM252" t="s">
        <v>88</v>
      </c>
      <c r="AN252" t="s">
        <v>88</v>
      </c>
      <c r="AO252">
        <v>1002</v>
      </c>
      <c r="AP252" t="s">
        <v>1026</v>
      </c>
      <c r="AQ252" t="s">
        <v>100</v>
      </c>
      <c r="AR252" t="s">
        <v>101</v>
      </c>
      <c r="AS252" t="s">
        <v>120</v>
      </c>
      <c r="AT252" t="s">
        <v>103</v>
      </c>
      <c r="AU252" t="s">
        <v>103</v>
      </c>
      <c r="AX252" t="s">
        <v>104</v>
      </c>
      <c r="AY252" t="s">
        <v>121</v>
      </c>
      <c r="AZ252" t="s">
        <v>100</v>
      </c>
      <c r="BA252" t="s">
        <v>101</v>
      </c>
      <c r="BB252" t="s">
        <v>102</v>
      </c>
      <c r="BC252" t="s">
        <v>103</v>
      </c>
      <c r="BD252" t="s">
        <v>103</v>
      </c>
      <c r="BF252" t="s">
        <v>107</v>
      </c>
      <c r="BG252">
        <v>16700</v>
      </c>
      <c r="BH252" t="s">
        <v>122</v>
      </c>
      <c r="BO252">
        <v>12</v>
      </c>
      <c r="BR252" t="s">
        <v>100</v>
      </c>
      <c r="BS252" t="s">
        <v>109</v>
      </c>
      <c r="BT252" t="s">
        <v>102</v>
      </c>
      <c r="BU252" t="s">
        <v>106</v>
      </c>
      <c r="BV252" t="s">
        <v>123</v>
      </c>
      <c r="BW252" t="s">
        <v>110</v>
      </c>
    </row>
    <row r="253" spans="1:75" s="8" customFormat="1" x14ac:dyDescent="0.35">
      <c r="A253" s="8" t="s">
        <v>1027</v>
      </c>
      <c r="B253" s="9">
        <v>45987</v>
      </c>
      <c r="C253" s="10">
        <v>0.29680555555555554</v>
      </c>
      <c r="D253" s="8" t="s">
        <v>78</v>
      </c>
      <c r="E253" s="8" t="s">
        <v>79</v>
      </c>
      <c r="F253" s="11" t="s">
        <v>80</v>
      </c>
      <c r="G253" s="8">
        <f>COUNTIF($F$2:$F$350,F253)</f>
        <v>38</v>
      </c>
      <c r="H253" s="8" t="s">
        <v>81</v>
      </c>
      <c r="I253" s="8" t="s">
        <v>82</v>
      </c>
      <c r="J253" s="8" t="s">
        <v>83</v>
      </c>
      <c r="K253" s="8" t="s">
        <v>84</v>
      </c>
      <c r="M253" s="8" t="s">
        <v>85</v>
      </c>
      <c r="N253" s="8" t="s">
        <v>86</v>
      </c>
      <c r="O253" s="8" t="s">
        <v>87</v>
      </c>
      <c r="P253" s="8" t="s">
        <v>88</v>
      </c>
      <c r="Q253" s="8" t="s">
        <v>89</v>
      </c>
      <c r="R253" s="8" t="s">
        <v>90</v>
      </c>
      <c r="S253" s="8" t="s">
        <v>91</v>
      </c>
      <c r="T253" s="8" t="s">
        <v>92</v>
      </c>
      <c r="U253" s="8" t="s">
        <v>93</v>
      </c>
      <c r="V253" s="8" t="s">
        <v>22</v>
      </c>
      <c r="X253" s="8" t="s">
        <v>94</v>
      </c>
      <c r="Y253" s="8" t="s">
        <v>95</v>
      </c>
      <c r="Z253" s="8" t="s">
        <v>96</v>
      </c>
      <c r="AA253" s="8" t="b">
        <v>0</v>
      </c>
      <c r="AC253" s="8">
        <v>0</v>
      </c>
      <c r="AD253" s="8">
        <v>66</v>
      </c>
      <c r="AI253" s="8" t="s">
        <v>97</v>
      </c>
      <c r="AJ253" s="8" t="s">
        <v>88</v>
      </c>
      <c r="AK253" s="8" t="s">
        <v>1028</v>
      </c>
      <c r="AL253" s="8" t="s">
        <v>88</v>
      </c>
      <c r="AM253" s="8" t="s">
        <v>88</v>
      </c>
      <c r="AN253" s="8" t="s">
        <v>88</v>
      </c>
      <c r="AO253" s="8">
        <v>1002</v>
      </c>
      <c r="AP253" s="8" t="s">
        <v>1029</v>
      </c>
      <c r="AQ253" s="8" t="s">
        <v>100</v>
      </c>
      <c r="AR253" s="8" t="s">
        <v>101</v>
      </c>
      <c r="AS253" s="8" t="s">
        <v>102</v>
      </c>
      <c r="AT253" s="8" t="s">
        <v>103</v>
      </c>
      <c r="AU253" s="8" t="s">
        <v>103</v>
      </c>
      <c r="AX253" s="8" t="s">
        <v>104</v>
      </c>
      <c r="AY253" s="8" t="s">
        <v>105</v>
      </c>
      <c r="AZ253" s="8" t="s">
        <v>100</v>
      </c>
      <c r="BA253" s="8" t="s">
        <v>101</v>
      </c>
      <c r="BB253" s="8" t="s">
        <v>102</v>
      </c>
      <c r="BC253" s="8" t="s">
        <v>103</v>
      </c>
      <c r="BD253" s="8" t="s">
        <v>106</v>
      </c>
      <c r="BF253" s="8" t="s">
        <v>107</v>
      </c>
      <c r="BG253" s="8">
        <v>16700</v>
      </c>
      <c r="BH253" s="8" t="s">
        <v>108</v>
      </c>
      <c r="BO253" s="8">
        <v>0</v>
      </c>
      <c r="BR253" s="8" t="s">
        <v>100</v>
      </c>
      <c r="BS253" s="8" t="s">
        <v>109</v>
      </c>
      <c r="BT253" s="8" t="s">
        <v>102</v>
      </c>
      <c r="BU253" s="8" t="s">
        <v>103</v>
      </c>
      <c r="BV253" s="8" t="s">
        <v>106</v>
      </c>
      <c r="BW253" s="8" t="s">
        <v>110</v>
      </c>
    </row>
    <row r="254" spans="1:75" x14ac:dyDescent="0.35">
      <c r="A254" t="s">
        <v>1030</v>
      </c>
      <c r="B254" s="1">
        <v>45987</v>
      </c>
      <c r="C254" s="2">
        <v>0.1504050925925926</v>
      </c>
      <c r="D254" t="s">
        <v>112</v>
      </c>
      <c r="E254" t="s">
        <v>113</v>
      </c>
      <c r="F254" t="s">
        <v>114</v>
      </c>
      <c r="G254">
        <f>COUNTIF($F$2:$F$350,F254)</f>
        <v>42</v>
      </c>
      <c r="H254" t="s">
        <v>115</v>
      </c>
      <c r="I254" t="s">
        <v>82</v>
      </c>
      <c r="J254" t="s">
        <v>83</v>
      </c>
      <c r="K254" t="s">
        <v>84</v>
      </c>
      <c r="M254" t="s">
        <v>85</v>
      </c>
      <c r="N254" t="s">
        <v>116</v>
      </c>
      <c r="O254" t="s">
        <v>87</v>
      </c>
      <c r="P254" t="s">
        <v>88</v>
      </c>
      <c r="Q254" t="s">
        <v>89</v>
      </c>
      <c r="R254" t="s">
        <v>90</v>
      </c>
      <c r="S254" t="s">
        <v>91</v>
      </c>
      <c r="T254" t="s">
        <v>92</v>
      </c>
      <c r="U254" t="s">
        <v>93</v>
      </c>
      <c r="V254" t="s">
        <v>22</v>
      </c>
      <c r="X254" t="s">
        <v>94</v>
      </c>
      <c r="Y254" t="s">
        <v>95</v>
      </c>
      <c r="Z254" t="s">
        <v>96</v>
      </c>
      <c r="AA254" t="b">
        <v>0</v>
      </c>
      <c r="AC254">
        <v>0</v>
      </c>
      <c r="AD254">
        <v>100</v>
      </c>
      <c r="AI254" t="s">
        <v>117</v>
      </c>
      <c r="AJ254" t="s">
        <v>88</v>
      </c>
      <c r="AK254" t="s">
        <v>1031</v>
      </c>
      <c r="AL254" t="s">
        <v>88</v>
      </c>
      <c r="AM254" t="s">
        <v>88</v>
      </c>
      <c r="AN254" t="s">
        <v>88</v>
      </c>
      <c r="AO254">
        <v>1002</v>
      </c>
      <c r="AP254" t="s">
        <v>1032</v>
      </c>
      <c r="AQ254" t="s">
        <v>100</v>
      </c>
      <c r="AR254" t="s">
        <v>101</v>
      </c>
      <c r="AS254" t="s">
        <v>120</v>
      </c>
      <c r="AT254" t="s">
        <v>103</v>
      </c>
      <c r="AU254" t="s">
        <v>103</v>
      </c>
      <c r="AX254" t="s">
        <v>104</v>
      </c>
      <c r="AY254" t="s">
        <v>121</v>
      </c>
      <c r="AZ254" t="s">
        <v>100</v>
      </c>
      <c r="BA254" t="s">
        <v>101</v>
      </c>
      <c r="BB254" t="s">
        <v>102</v>
      </c>
      <c r="BC254" t="s">
        <v>103</v>
      </c>
      <c r="BD254" t="s">
        <v>103</v>
      </c>
      <c r="BF254" t="s">
        <v>107</v>
      </c>
      <c r="BG254">
        <v>16700</v>
      </c>
      <c r="BH254" t="s">
        <v>122</v>
      </c>
      <c r="BO254">
        <v>12</v>
      </c>
      <c r="BR254" t="s">
        <v>100</v>
      </c>
      <c r="BS254" t="s">
        <v>109</v>
      </c>
      <c r="BT254" t="s">
        <v>102</v>
      </c>
      <c r="BU254" t="s">
        <v>106</v>
      </c>
      <c r="BV254" t="s">
        <v>123</v>
      </c>
      <c r="BW254" t="s">
        <v>110</v>
      </c>
    </row>
    <row r="255" spans="1:75" s="8" customFormat="1" x14ac:dyDescent="0.35">
      <c r="A255" s="8" t="s">
        <v>1033</v>
      </c>
      <c r="B255" s="9">
        <v>45987</v>
      </c>
      <c r="C255" s="10">
        <v>0.12666666666666668</v>
      </c>
      <c r="D255" s="8" t="s">
        <v>78</v>
      </c>
      <c r="E255" s="8" t="s">
        <v>79</v>
      </c>
      <c r="F255" s="11" t="s">
        <v>80</v>
      </c>
      <c r="G255" s="8">
        <f>COUNTIF($F$2:$F$350,F255)</f>
        <v>38</v>
      </c>
      <c r="H255" s="8" t="s">
        <v>81</v>
      </c>
      <c r="I255" s="8" t="s">
        <v>82</v>
      </c>
      <c r="J255" s="8" t="s">
        <v>83</v>
      </c>
      <c r="K255" s="8" t="s">
        <v>84</v>
      </c>
      <c r="M255" s="8" t="s">
        <v>85</v>
      </c>
      <c r="N255" s="8" t="s">
        <v>86</v>
      </c>
      <c r="O255" s="8" t="s">
        <v>87</v>
      </c>
      <c r="P255" s="8" t="s">
        <v>88</v>
      </c>
      <c r="Q255" s="8" t="s">
        <v>89</v>
      </c>
      <c r="R255" s="8" t="s">
        <v>90</v>
      </c>
      <c r="S255" s="8" t="s">
        <v>91</v>
      </c>
      <c r="T255" s="8" t="s">
        <v>92</v>
      </c>
      <c r="U255" s="8" t="s">
        <v>93</v>
      </c>
      <c r="V255" s="8" t="s">
        <v>22</v>
      </c>
      <c r="X255" s="8" t="s">
        <v>94</v>
      </c>
      <c r="Y255" s="8" t="s">
        <v>95</v>
      </c>
      <c r="Z255" s="8" t="s">
        <v>96</v>
      </c>
      <c r="AA255" s="8" t="b">
        <v>0</v>
      </c>
      <c r="AC255" s="8">
        <v>0</v>
      </c>
      <c r="AD255" s="8">
        <v>79</v>
      </c>
      <c r="AI255" s="8" t="s">
        <v>97</v>
      </c>
      <c r="AJ255" s="8" t="s">
        <v>88</v>
      </c>
      <c r="AK255" s="8" t="s">
        <v>1034</v>
      </c>
      <c r="AL255" s="8" t="s">
        <v>88</v>
      </c>
      <c r="AM255" s="8" t="s">
        <v>88</v>
      </c>
      <c r="AN255" s="8" t="s">
        <v>88</v>
      </c>
      <c r="AO255" s="8">
        <v>1002</v>
      </c>
      <c r="AP255" s="8" t="s">
        <v>1035</v>
      </c>
      <c r="AQ255" s="8" t="s">
        <v>100</v>
      </c>
      <c r="AR255" s="8" t="s">
        <v>101</v>
      </c>
      <c r="AS255" s="8" t="s">
        <v>102</v>
      </c>
      <c r="AT255" s="8" t="s">
        <v>103</v>
      </c>
      <c r="AU255" s="8" t="s">
        <v>103</v>
      </c>
      <c r="AX255" s="8" t="s">
        <v>104</v>
      </c>
      <c r="AY255" s="8" t="s">
        <v>105</v>
      </c>
      <c r="AZ255" s="8" t="s">
        <v>100</v>
      </c>
      <c r="BA255" s="8" t="s">
        <v>101</v>
      </c>
      <c r="BB255" s="8" t="s">
        <v>102</v>
      </c>
      <c r="BC255" s="8" t="s">
        <v>103</v>
      </c>
      <c r="BD255" s="8" t="s">
        <v>106</v>
      </c>
      <c r="BF255" s="8" t="s">
        <v>107</v>
      </c>
      <c r="BG255" s="8">
        <v>16700</v>
      </c>
      <c r="BH255" s="8" t="s">
        <v>108</v>
      </c>
      <c r="BO255" s="8">
        <v>0</v>
      </c>
      <c r="BR255" s="8" t="s">
        <v>100</v>
      </c>
      <c r="BS255" s="8" t="s">
        <v>109</v>
      </c>
      <c r="BT255" s="8" t="s">
        <v>102</v>
      </c>
      <c r="BU255" s="8" t="s">
        <v>103</v>
      </c>
      <c r="BV255" s="8" t="s">
        <v>106</v>
      </c>
      <c r="BW255" s="8" t="s">
        <v>110</v>
      </c>
    </row>
    <row r="256" spans="1:75" x14ac:dyDescent="0.35">
      <c r="A256" t="s">
        <v>1036</v>
      </c>
      <c r="B256" s="1">
        <v>45986</v>
      </c>
      <c r="C256" s="2">
        <v>0.98163194444444446</v>
      </c>
      <c r="D256" t="s">
        <v>112</v>
      </c>
      <c r="E256" t="s">
        <v>113</v>
      </c>
      <c r="F256" t="s">
        <v>114</v>
      </c>
      <c r="G256">
        <f>COUNTIF($F$2:$F$350,F256)</f>
        <v>42</v>
      </c>
      <c r="H256" t="s">
        <v>115</v>
      </c>
      <c r="I256" t="s">
        <v>82</v>
      </c>
      <c r="J256" t="s">
        <v>83</v>
      </c>
      <c r="K256" t="s">
        <v>84</v>
      </c>
      <c r="M256" t="s">
        <v>85</v>
      </c>
      <c r="N256" t="s">
        <v>116</v>
      </c>
      <c r="O256" t="s">
        <v>87</v>
      </c>
      <c r="P256" t="s">
        <v>88</v>
      </c>
      <c r="Q256" t="s">
        <v>89</v>
      </c>
      <c r="R256" t="s">
        <v>90</v>
      </c>
      <c r="S256" t="s">
        <v>91</v>
      </c>
      <c r="T256" t="s">
        <v>92</v>
      </c>
      <c r="U256" t="s">
        <v>93</v>
      </c>
      <c r="V256" t="s">
        <v>22</v>
      </c>
      <c r="X256" t="s">
        <v>94</v>
      </c>
      <c r="Y256" t="s">
        <v>95</v>
      </c>
      <c r="Z256" t="s">
        <v>96</v>
      </c>
      <c r="AA256" t="b">
        <v>0</v>
      </c>
      <c r="AC256">
        <v>0</v>
      </c>
      <c r="AD256">
        <v>85</v>
      </c>
      <c r="AI256" t="s">
        <v>117</v>
      </c>
      <c r="AJ256" t="s">
        <v>88</v>
      </c>
      <c r="AK256" t="s">
        <v>1037</v>
      </c>
      <c r="AL256" t="s">
        <v>88</v>
      </c>
      <c r="AM256" t="s">
        <v>88</v>
      </c>
      <c r="AN256" t="s">
        <v>88</v>
      </c>
      <c r="AO256">
        <v>1002</v>
      </c>
      <c r="AP256" t="s">
        <v>1038</v>
      </c>
      <c r="AQ256" t="s">
        <v>100</v>
      </c>
      <c r="AR256" t="s">
        <v>101</v>
      </c>
      <c r="AS256" t="s">
        <v>120</v>
      </c>
      <c r="AT256" t="s">
        <v>103</v>
      </c>
      <c r="AU256" t="s">
        <v>103</v>
      </c>
      <c r="AX256" t="s">
        <v>104</v>
      </c>
      <c r="AY256" t="s">
        <v>121</v>
      </c>
      <c r="AZ256" t="s">
        <v>100</v>
      </c>
      <c r="BA256" t="s">
        <v>101</v>
      </c>
      <c r="BB256" t="s">
        <v>102</v>
      </c>
      <c r="BC256" t="s">
        <v>103</v>
      </c>
      <c r="BD256" t="s">
        <v>103</v>
      </c>
      <c r="BF256" t="s">
        <v>107</v>
      </c>
      <c r="BG256">
        <v>16700</v>
      </c>
      <c r="BH256" t="s">
        <v>122</v>
      </c>
      <c r="BO256">
        <v>12</v>
      </c>
      <c r="BR256" t="s">
        <v>100</v>
      </c>
      <c r="BS256" t="s">
        <v>109</v>
      </c>
      <c r="BT256" t="s">
        <v>102</v>
      </c>
      <c r="BU256" t="s">
        <v>106</v>
      </c>
      <c r="BV256" t="s">
        <v>123</v>
      </c>
      <c r="BW256" t="s">
        <v>110</v>
      </c>
    </row>
    <row r="257" spans="1:75" s="8" customFormat="1" x14ac:dyDescent="0.35">
      <c r="A257" s="8" t="s">
        <v>1039</v>
      </c>
      <c r="B257" s="9">
        <v>45986</v>
      </c>
      <c r="C257" s="10">
        <v>0.95652777777777775</v>
      </c>
      <c r="D257" s="8" t="s">
        <v>78</v>
      </c>
      <c r="E257" s="8" t="s">
        <v>79</v>
      </c>
      <c r="F257" s="11" t="s">
        <v>80</v>
      </c>
      <c r="G257" s="8">
        <f>COUNTIF($F$2:$F$350,F257)</f>
        <v>38</v>
      </c>
      <c r="H257" s="8" t="s">
        <v>81</v>
      </c>
      <c r="I257" s="8" t="s">
        <v>82</v>
      </c>
      <c r="J257" s="8" t="s">
        <v>83</v>
      </c>
      <c r="K257" s="8" t="s">
        <v>84</v>
      </c>
      <c r="M257" s="8" t="s">
        <v>85</v>
      </c>
      <c r="N257" s="8" t="s">
        <v>86</v>
      </c>
      <c r="O257" s="8" t="s">
        <v>87</v>
      </c>
      <c r="P257" s="8" t="s">
        <v>88</v>
      </c>
      <c r="Q257" s="8" t="s">
        <v>89</v>
      </c>
      <c r="R257" s="8" t="s">
        <v>90</v>
      </c>
      <c r="S257" s="8" t="s">
        <v>91</v>
      </c>
      <c r="T257" s="8" t="s">
        <v>92</v>
      </c>
      <c r="U257" s="8" t="s">
        <v>93</v>
      </c>
      <c r="V257" s="8" t="s">
        <v>22</v>
      </c>
      <c r="X257" s="8" t="s">
        <v>94</v>
      </c>
      <c r="Y257" s="8" t="s">
        <v>95</v>
      </c>
      <c r="Z257" s="8" t="s">
        <v>96</v>
      </c>
      <c r="AA257" s="8" t="b">
        <v>0</v>
      </c>
      <c r="AC257" s="8">
        <v>0</v>
      </c>
      <c r="AD257" s="8">
        <v>72</v>
      </c>
      <c r="AI257" s="8" t="s">
        <v>97</v>
      </c>
      <c r="AJ257" s="8" t="s">
        <v>88</v>
      </c>
      <c r="AK257" s="8" t="s">
        <v>1040</v>
      </c>
      <c r="AL257" s="8" t="s">
        <v>88</v>
      </c>
      <c r="AM257" s="8" t="s">
        <v>88</v>
      </c>
      <c r="AN257" s="8" t="s">
        <v>88</v>
      </c>
      <c r="AO257" s="8">
        <v>1002</v>
      </c>
      <c r="AP257" s="8" t="s">
        <v>1041</v>
      </c>
      <c r="AQ257" s="8" t="s">
        <v>100</v>
      </c>
      <c r="AR257" s="8" t="s">
        <v>101</v>
      </c>
      <c r="AS257" s="8" t="s">
        <v>102</v>
      </c>
      <c r="AT257" s="8" t="s">
        <v>103</v>
      </c>
      <c r="AU257" s="8" t="s">
        <v>103</v>
      </c>
      <c r="AX257" s="8" t="s">
        <v>104</v>
      </c>
      <c r="AY257" s="8" t="s">
        <v>105</v>
      </c>
      <c r="AZ257" s="8" t="s">
        <v>100</v>
      </c>
      <c r="BA257" s="8" t="s">
        <v>101</v>
      </c>
      <c r="BB257" s="8" t="s">
        <v>102</v>
      </c>
      <c r="BC257" s="8" t="s">
        <v>103</v>
      </c>
      <c r="BD257" s="8" t="s">
        <v>106</v>
      </c>
      <c r="BF257" s="8" t="s">
        <v>107</v>
      </c>
      <c r="BG257" s="8">
        <v>16700</v>
      </c>
      <c r="BH257" s="8" t="s">
        <v>108</v>
      </c>
      <c r="BO257" s="8">
        <v>0</v>
      </c>
      <c r="BR257" s="8" t="s">
        <v>100</v>
      </c>
      <c r="BS257" s="8" t="s">
        <v>109</v>
      </c>
      <c r="BT257" s="8" t="s">
        <v>102</v>
      </c>
      <c r="BU257" s="8" t="s">
        <v>103</v>
      </c>
      <c r="BV257" s="8" t="s">
        <v>106</v>
      </c>
      <c r="BW257" s="8" t="s">
        <v>110</v>
      </c>
    </row>
    <row r="258" spans="1:75" s="8" customFormat="1" x14ac:dyDescent="0.35">
      <c r="A258" s="8" t="s">
        <v>1042</v>
      </c>
      <c r="B258" s="9">
        <v>45986</v>
      </c>
      <c r="C258" s="10">
        <v>0.85261574074074076</v>
      </c>
      <c r="D258" s="8" t="s">
        <v>549</v>
      </c>
      <c r="E258" s="8" t="s">
        <v>550</v>
      </c>
      <c r="F258" s="11" t="s">
        <v>172</v>
      </c>
      <c r="G258" s="8">
        <f>COUNTIF($F$2:$F$350,F258)</f>
        <v>213</v>
      </c>
      <c r="H258" s="8" t="s">
        <v>115</v>
      </c>
      <c r="I258" s="8" t="s">
        <v>82</v>
      </c>
      <c r="J258" s="8" t="s">
        <v>83</v>
      </c>
      <c r="K258" s="8" t="s">
        <v>84</v>
      </c>
      <c r="M258" s="8" t="s">
        <v>85</v>
      </c>
      <c r="N258" s="8" t="s">
        <v>86</v>
      </c>
      <c r="O258" s="8" t="s">
        <v>87</v>
      </c>
      <c r="P258" s="8" t="s">
        <v>173</v>
      </c>
      <c r="Q258" s="8" t="s">
        <v>89</v>
      </c>
      <c r="R258" s="8" t="s">
        <v>90</v>
      </c>
      <c r="S258" s="8" t="s">
        <v>91</v>
      </c>
      <c r="T258" s="8" t="s">
        <v>92</v>
      </c>
      <c r="U258" s="8" t="s">
        <v>93</v>
      </c>
      <c r="V258" s="8" t="s">
        <v>22</v>
      </c>
      <c r="W258" s="8" t="s">
        <v>731</v>
      </c>
      <c r="X258" s="8" t="s">
        <v>177</v>
      </c>
      <c r="Y258" s="8" t="s">
        <v>95</v>
      </c>
      <c r="Z258" s="8" t="s">
        <v>189</v>
      </c>
      <c r="AA258" s="8" t="b">
        <v>0</v>
      </c>
      <c r="AC258" s="8">
        <v>0</v>
      </c>
      <c r="AD258" s="8">
        <v>92</v>
      </c>
      <c r="AI258" s="8" t="s">
        <v>732</v>
      </c>
      <c r="AJ258" s="8" t="s">
        <v>88</v>
      </c>
      <c r="AK258" s="8" t="s">
        <v>1043</v>
      </c>
      <c r="AL258" s="8" t="s">
        <v>88</v>
      </c>
      <c r="AM258" s="8" t="s">
        <v>88</v>
      </c>
      <c r="AN258" s="8" t="s">
        <v>88</v>
      </c>
      <c r="AP258" s="8" t="s">
        <v>1044</v>
      </c>
      <c r="AQ258" s="8" t="s">
        <v>100</v>
      </c>
      <c r="AR258" s="8" t="s">
        <v>101</v>
      </c>
      <c r="AS258" s="8" t="s">
        <v>120</v>
      </c>
      <c r="AT258" s="8" t="s">
        <v>103</v>
      </c>
      <c r="AU258" s="8" t="s">
        <v>103</v>
      </c>
      <c r="AX258" s="8" t="s">
        <v>104</v>
      </c>
      <c r="AY258" s="8" t="s">
        <v>121</v>
      </c>
      <c r="AZ258" s="8" t="s">
        <v>100</v>
      </c>
      <c r="BA258" s="8" t="s">
        <v>101</v>
      </c>
      <c r="BB258" s="8" t="s">
        <v>102</v>
      </c>
      <c r="BC258" s="8" t="s">
        <v>103</v>
      </c>
      <c r="BD258" s="8" t="s">
        <v>103</v>
      </c>
      <c r="BF258" s="8" t="s">
        <v>107</v>
      </c>
      <c r="BG258" s="8">
        <v>16700</v>
      </c>
      <c r="BH258" s="8" t="s">
        <v>122</v>
      </c>
      <c r="BO258" s="8">
        <v>12</v>
      </c>
      <c r="BR258" s="8" t="s">
        <v>100</v>
      </c>
      <c r="BS258" s="8" t="s">
        <v>182</v>
      </c>
      <c r="BT258" s="8" t="s">
        <v>183</v>
      </c>
      <c r="BU258" s="8" t="s">
        <v>106</v>
      </c>
      <c r="BV258" s="8" t="s">
        <v>123</v>
      </c>
      <c r="BW258" s="8" t="s">
        <v>110</v>
      </c>
    </row>
    <row r="259" spans="1:75" x14ac:dyDescent="0.35">
      <c r="A259" t="s">
        <v>1045</v>
      </c>
      <c r="B259" s="1">
        <v>45986</v>
      </c>
      <c r="C259" s="2">
        <v>0.81288194444444439</v>
      </c>
      <c r="D259" t="s">
        <v>112</v>
      </c>
      <c r="E259" t="s">
        <v>113</v>
      </c>
      <c r="F259" t="s">
        <v>114</v>
      </c>
      <c r="G259">
        <f>COUNTIF($F$2:$F$350,F259)</f>
        <v>42</v>
      </c>
      <c r="H259" t="s">
        <v>115</v>
      </c>
      <c r="I259" t="s">
        <v>82</v>
      </c>
      <c r="J259" t="s">
        <v>83</v>
      </c>
      <c r="K259" t="s">
        <v>84</v>
      </c>
      <c r="M259" t="s">
        <v>85</v>
      </c>
      <c r="N259" t="s">
        <v>116</v>
      </c>
      <c r="O259" t="s">
        <v>87</v>
      </c>
      <c r="P259" t="s">
        <v>88</v>
      </c>
      <c r="Q259" t="s">
        <v>89</v>
      </c>
      <c r="R259" t="s">
        <v>90</v>
      </c>
      <c r="S259" t="s">
        <v>91</v>
      </c>
      <c r="T259" t="s">
        <v>92</v>
      </c>
      <c r="U259" t="s">
        <v>93</v>
      </c>
      <c r="V259" t="s">
        <v>22</v>
      </c>
      <c r="X259" t="s">
        <v>94</v>
      </c>
      <c r="Y259" t="s">
        <v>95</v>
      </c>
      <c r="Z259" t="s">
        <v>96</v>
      </c>
      <c r="AA259" t="b">
        <v>0</v>
      </c>
      <c r="AC259">
        <v>0</v>
      </c>
      <c r="AD259">
        <v>72</v>
      </c>
      <c r="AI259" t="s">
        <v>117</v>
      </c>
      <c r="AJ259" t="s">
        <v>88</v>
      </c>
      <c r="AK259" t="s">
        <v>1046</v>
      </c>
      <c r="AL259" t="s">
        <v>88</v>
      </c>
      <c r="AM259" t="s">
        <v>88</v>
      </c>
      <c r="AN259" t="s">
        <v>88</v>
      </c>
      <c r="AO259">
        <v>1002</v>
      </c>
      <c r="AP259" t="s">
        <v>1047</v>
      </c>
      <c r="AQ259" t="s">
        <v>100</v>
      </c>
      <c r="AR259" t="s">
        <v>101</v>
      </c>
      <c r="AS259" t="s">
        <v>120</v>
      </c>
      <c r="AT259" t="s">
        <v>103</v>
      </c>
      <c r="AU259" t="s">
        <v>103</v>
      </c>
      <c r="AX259" t="s">
        <v>104</v>
      </c>
      <c r="AY259" t="s">
        <v>121</v>
      </c>
      <c r="AZ259" t="s">
        <v>100</v>
      </c>
      <c r="BA259" t="s">
        <v>101</v>
      </c>
      <c r="BB259" t="s">
        <v>102</v>
      </c>
      <c r="BC259" t="s">
        <v>103</v>
      </c>
      <c r="BD259" t="s">
        <v>103</v>
      </c>
      <c r="BF259" t="s">
        <v>107</v>
      </c>
      <c r="BG259">
        <v>16700</v>
      </c>
      <c r="BH259" t="s">
        <v>122</v>
      </c>
      <c r="BO259">
        <v>12</v>
      </c>
      <c r="BR259" t="s">
        <v>100</v>
      </c>
      <c r="BS259" t="s">
        <v>109</v>
      </c>
      <c r="BT259" t="s">
        <v>102</v>
      </c>
      <c r="BU259" t="s">
        <v>106</v>
      </c>
      <c r="BV259" t="s">
        <v>123</v>
      </c>
      <c r="BW259" t="s">
        <v>110</v>
      </c>
    </row>
    <row r="260" spans="1:75" s="8" customFormat="1" x14ac:dyDescent="0.35">
      <c r="A260" s="8" t="s">
        <v>1048</v>
      </c>
      <c r="B260" s="9">
        <v>45986</v>
      </c>
      <c r="C260" s="10">
        <v>0.78638888888888892</v>
      </c>
      <c r="D260" s="8" t="s">
        <v>78</v>
      </c>
      <c r="E260" s="8" t="s">
        <v>79</v>
      </c>
      <c r="F260" s="11" t="s">
        <v>80</v>
      </c>
      <c r="G260" s="8">
        <f>COUNTIF($F$2:$F$350,F260)</f>
        <v>38</v>
      </c>
      <c r="H260" s="8" t="s">
        <v>81</v>
      </c>
      <c r="I260" s="8" t="s">
        <v>82</v>
      </c>
      <c r="J260" s="8" t="s">
        <v>83</v>
      </c>
      <c r="K260" s="8" t="s">
        <v>84</v>
      </c>
      <c r="M260" s="8" t="s">
        <v>85</v>
      </c>
      <c r="N260" s="8" t="s">
        <v>86</v>
      </c>
      <c r="O260" s="8" t="s">
        <v>87</v>
      </c>
      <c r="P260" s="8" t="s">
        <v>88</v>
      </c>
      <c r="Q260" s="8" t="s">
        <v>89</v>
      </c>
      <c r="R260" s="8" t="s">
        <v>90</v>
      </c>
      <c r="S260" s="8" t="s">
        <v>91</v>
      </c>
      <c r="T260" s="8" t="s">
        <v>92</v>
      </c>
      <c r="U260" s="8" t="s">
        <v>93</v>
      </c>
      <c r="V260" s="8" t="s">
        <v>22</v>
      </c>
      <c r="X260" s="8" t="s">
        <v>94</v>
      </c>
      <c r="Y260" s="8" t="s">
        <v>95</v>
      </c>
      <c r="Z260" s="8" t="s">
        <v>96</v>
      </c>
      <c r="AA260" s="8" t="b">
        <v>0</v>
      </c>
      <c r="AC260" s="8">
        <v>0</v>
      </c>
      <c r="AD260" s="8">
        <v>83</v>
      </c>
      <c r="AI260" s="8" t="s">
        <v>97</v>
      </c>
      <c r="AJ260" s="8" t="s">
        <v>88</v>
      </c>
      <c r="AK260" s="8" t="s">
        <v>1049</v>
      </c>
      <c r="AL260" s="8" t="s">
        <v>88</v>
      </c>
      <c r="AM260" s="8" t="s">
        <v>88</v>
      </c>
      <c r="AN260" s="8" t="s">
        <v>88</v>
      </c>
      <c r="AO260" s="8">
        <v>1002</v>
      </c>
      <c r="AP260" s="8" t="s">
        <v>1050</v>
      </c>
      <c r="AQ260" s="8" t="s">
        <v>100</v>
      </c>
      <c r="AR260" s="8" t="s">
        <v>101</v>
      </c>
      <c r="AS260" s="8" t="s">
        <v>102</v>
      </c>
      <c r="AT260" s="8" t="s">
        <v>103</v>
      </c>
      <c r="AU260" s="8" t="s">
        <v>103</v>
      </c>
      <c r="AX260" s="8" t="s">
        <v>104</v>
      </c>
      <c r="AY260" s="8" t="s">
        <v>105</v>
      </c>
      <c r="AZ260" s="8" t="s">
        <v>100</v>
      </c>
      <c r="BA260" s="8" t="s">
        <v>101</v>
      </c>
      <c r="BB260" s="8" t="s">
        <v>102</v>
      </c>
      <c r="BC260" s="8" t="s">
        <v>103</v>
      </c>
      <c r="BD260" s="8" t="s">
        <v>106</v>
      </c>
      <c r="BF260" s="8" t="s">
        <v>107</v>
      </c>
      <c r="BG260" s="8">
        <v>16700</v>
      </c>
      <c r="BH260" s="8" t="s">
        <v>108</v>
      </c>
      <c r="BO260" s="8">
        <v>0</v>
      </c>
      <c r="BR260" s="8" t="s">
        <v>100</v>
      </c>
      <c r="BS260" s="8" t="s">
        <v>109</v>
      </c>
      <c r="BT260" s="8" t="s">
        <v>102</v>
      </c>
      <c r="BU260" s="8" t="s">
        <v>103</v>
      </c>
      <c r="BV260" s="8" t="s">
        <v>106</v>
      </c>
      <c r="BW260" s="8" t="s">
        <v>110</v>
      </c>
    </row>
    <row r="261" spans="1:75" s="8" customFormat="1" x14ac:dyDescent="0.35">
      <c r="A261" s="8" t="s">
        <v>1051</v>
      </c>
      <c r="B261" s="9">
        <v>45986</v>
      </c>
      <c r="C261" s="10">
        <v>0.68811342592592595</v>
      </c>
      <c r="D261" s="8" t="s">
        <v>460</v>
      </c>
      <c r="E261" s="8" t="s">
        <v>461</v>
      </c>
      <c r="F261" s="11" t="s">
        <v>172</v>
      </c>
      <c r="G261" s="8">
        <f>COUNTIF($F$2:$F$350,F261)</f>
        <v>213</v>
      </c>
      <c r="H261" s="8" t="s">
        <v>115</v>
      </c>
      <c r="I261" s="8" t="s">
        <v>82</v>
      </c>
      <c r="J261" s="8" t="s">
        <v>83</v>
      </c>
      <c r="K261" s="8" t="s">
        <v>84</v>
      </c>
      <c r="M261" s="8" t="s">
        <v>85</v>
      </c>
      <c r="N261" s="8" t="s">
        <v>116</v>
      </c>
      <c r="O261" s="8" t="s">
        <v>87</v>
      </c>
      <c r="P261" s="8" t="s">
        <v>88</v>
      </c>
      <c r="Q261" s="8" t="s">
        <v>89</v>
      </c>
      <c r="R261" s="8" t="s">
        <v>90</v>
      </c>
      <c r="S261" s="8" t="s">
        <v>91</v>
      </c>
      <c r="T261" s="8" t="s">
        <v>92</v>
      </c>
      <c r="U261" s="8" t="s">
        <v>93</v>
      </c>
      <c r="V261" s="8" t="s">
        <v>22</v>
      </c>
      <c r="X261" s="8" t="s">
        <v>94</v>
      </c>
      <c r="Y261" s="8" t="s">
        <v>95</v>
      </c>
      <c r="Z261" s="8" t="s">
        <v>96</v>
      </c>
      <c r="AA261" s="8" t="b">
        <v>0</v>
      </c>
      <c r="AC261" s="8">
        <v>0</v>
      </c>
      <c r="AD261" s="8">
        <v>126</v>
      </c>
      <c r="AI261" s="8" t="s">
        <v>464</v>
      </c>
      <c r="AJ261" s="8" t="s">
        <v>88</v>
      </c>
      <c r="AK261" s="8" t="s">
        <v>1052</v>
      </c>
      <c r="AL261" s="8" t="s">
        <v>88</v>
      </c>
      <c r="AM261" s="8" t="s">
        <v>88</v>
      </c>
      <c r="AN261" s="8" t="s">
        <v>88</v>
      </c>
      <c r="AO261" s="8">
        <v>1002</v>
      </c>
      <c r="AP261" s="8" t="s">
        <v>1053</v>
      </c>
      <c r="AQ261" s="8" t="s">
        <v>100</v>
      </c>
      <c r="AR261" s="8" t="s">
        <v>101</v>
      </c>
      <c r="AS261" s="8" t="s">
        <v>120</v>
      </c>
      <c r="AT261" s="8" t="s">
        <v>103</v>
      </c>
      <c r="AU261" s="8" t="s">
        <v>103</v>
      </c>
      <c r="AX261" s="8" t="s">
        <v>104</v>
      </c>
      <c r="AY261" s="8" t="s">
        <v>121</v>
      </c>
      <c r="AZ261" s="8" t="s">
        <v>100</v>
      </c>
      <c r="BA261" s="8" t="s">
        <v>101</v>
      </c>
      <c r="BB261" s="8" t="s">
        <v>102</v>
      </c>
      <c r="BC261" s="8" t="s">
        <v>103</v>
      </c>
      <c r="BD261" s="8" t="s">
        <v>103</v>
      </c>
      <c r="BF261" s="8" t="s">
        <v>107</v>
      </c>
      <c r="BG261" s="8">
        <v>16700</v>
      </c>
      <c r="BH261" s="8" t="s">
        <v>122</v>
      </c>
      <c r="BO261" s="8">
        <v>12</v>
      </c>
      <c r="BR261" s="8" t="s">
        <v>100</v>
      </c>
      <c r="BS261" s="8" t="s">
        <v>182</v>
      </c>
      <c r="BT261" s="8" t="s">
        <v>183</v>
      </c>
      <c r="BU261" s="8" t="s">
        <v>106</v>
      </c>
      <c r="BV261" s="8" t="s">
        <v>123</v>
      </c>
      <c r="BW261" s="8" t="s">
        <v>110</v>
      </c>
    </row>
    <row r="262" spans="1:75" x14ac:dyDescent="0.35">
      <c r="A262" t="s">
        <v>1054</v>
      </c>
      <c r="B262" s="1">
        <v>45986</v>
      </c>
      <c r="C262" s="2">
        <v>0.64413194444444444</v>
      </c>
      <c r="D262" t="s">
        <v>112</v>
      </c>
      <c r="E262" t="s">
        <v>113</v>
      </c>
      <c r="F262" t="s">
        <v>114</v>
      </c>
      <c r="G262">
        <f>COUNTIF($F$2:$F$350,F262)</f>
        <v>42</v>
      </c>
      <c r="H262" t="s">
        <v>115</v>
      </c>
      <c r="I262" t="s">
        <v>82</v>
      </c>
      <c r="J262" t="s">
        <v>83</v>
      </c>
      <c r="K262" t="s">
        <v>84</v>
      </c>
      <c r="M262" t="s">
        <v>85</v>
      </c>
      <c r="N262" t="s">
        <v>116</v>
      </c>
      <c r="O262" t="s">
        <v>87</v>
      </c>
      <c r="P262" t="s">
        <v>88</v>
      </c>
      <c r="Q262" t="s">
        <v>89</v>
      </c>
      <c r="R262" t="s">
        <v>90</v>
      </c>
      <c r="S262" t="s">
        <v>91</v>
      </c>
      <c r="T262" t="s">
        <v>92</v>
      </c>
      <c r="U262" t="s">
        <v>93</v>
      </c>
      <c r="V262" t="s">
        <v>22</v>
      </c>
      <c r="X262" t="s">
        <v>94</v>
      </c>
      <c r="Y262" t="s">
        <v>95</v>
      </c>
      <c r="Z262" t="s">
        <v>96</v>
      </c>
      <c r="AA262" t="b">
        <v>0</v>
      </c>
      <c r="AC262">
        <v>0</v>
      </c>
      <c r="AD262">
        <v>70</v>
      </c>
      <c r="AI262" t="s">
        <v>117</v>
      </c>
      <c r="AJ262" t="s">
        <v>88</v>
      </c>
      <c r="AK262" t="s">
        <v>1055</v>
      </c>
      <c r="AL262" t="s">
        <v>88</v>
      </c>
      <c r="AM262" t="s">
        <v>88</v>
      </c>
      <c r="AN262" t="s">
        <v>88</v>
      </c>
      <c r="AO262">
        <v>1002</v>
      </c>
      <c r="AP262" t="s">
        <v>1056</v>
      </c>
      <c r="AQ262" t="s">
        <v>100</v>
      </c>
      <c r="AR262" t="s">
        <v>101</v>
      </c>
      <c r="AS262" t="s">
        <v>120</v>
      </c>
      <c r="AT262" t="s">
        <v>103</v>
      </c>
      <c r="AU262" t="s">
        <v>103</v>
      </c>
      <c r="AX262" t="s">
        <v>104</v>
      </c>
      <c r="AY262" t="s">
        <v>121</v>
      </c>
      <c r="AZ262" t="s">
        <v>100</v>
      </c>
      <c r="BA262" t="s">
        <v>101</v>
      </c>
      <c r="BB262" t="s">
        <v>102</v>
      </c>
      <c r="BC262" t="s">
        <v>103</v>
      </c>
      <c r="BD262" t="s">
        <v>103</v>
      </c>
      <c r="BF262" t="s">
        <v>107</v>
      </c>
      <c r="BG262">
        <v>16700</v>
      </c>
      <c r="BH262" t="s">
        <v>122</v>
      </c>
      <c r="BO262">
        <v>12</v>
      </c>
      <c r="BR262" t="s">
        <v>100</v>
      </c>
      <c r="BS262" t="s">
        <v>109</v>
      </c>
      <c r="BT262" t="s">
        <v>102</v>
      </c>
      <c r="BU262" t="s">
        <v>106</v>
      </c>
      <c r="BV262" t="s">
        <v>123</v>
      </c>
      <c r="BW262" t="s">
        <v>110</v>
      </c>
    </row>
    <row r="263" spans="1:75" s="8" customFormat="1" x14ac:dyDescent="0.35">
      <c r="A263" s="8" t="s">
        <v>1057</v>
      </c>
      <c r="B263" s="9">
        <v>45986</v>
      </c>
      <c r="C263" s="10">
        <v>0.61555555555555552</v>
      </c>
      <c r="D263" s="8" t="s">
        <v>78</v>
      </c>
      <c r="E263" s="8" t="s">
        <v>79</v>
      </c>
      <c r="F263" s="11" t="s">
        <v>80</v>
      </c>
      <c r="G263" s="8">
        <f>COUNTIF($F$2:$F$350,F263)</f>
        <v>38</v>
      </c>
      <c r="H263" s="8" t="s">
        <v>81</v>
      </c>
      <c r="I263" s="8" t="s">
        <v>82</v>
      </c>
      <c r="J263" s="8" t="s">
        <v>83</v>
      </c>
      <c r="K263" s="8" t="s">
        <v>84</v>
      </c>
      <c r="M263" s="8" t="s">
        <v>85</v>
      </c>
      <c r="N263" s="8" t="s">
        <v>86</v>
      </c>
      <c r="O263" s="8" t="s">
        <v>87</v>
      </c>
      <c r="P263" s="8" t="s">
        <v>88</v>
      </c>
      <c r="Q263" s="8" t="s">
        <v>89</v>
      </c>
      <c r="R263" s="8" t="s">
        <v>90</v>
      </c>
      <c r="S263" s="8" t="s">
        <v>91</v>
      </c>
      <c r="T263" s="8" t="s">
        <v>92</v>
      </c>
      <c r="U263" s="8" t="s">
        <v>93</v>
      </c>
      <c r="V263" s="8" t="s">
        <v>22</v>
      </c>
      <c r="X263" s="8" t="s">
        <v>94</v>
      </c>
      <c r="Y263" s="8" t="s">
        <v>95</v>
      </c>
      <c r="Z263" s="8" t="s">
        <v>96</v>
      </c>
      <c r="AA263" s="8" t="b">
        <v>0</v>
      </c>
      <c r="AC263" s="8">
        <v>0</v>
      </c>
      <c r="AD263" s="8">
        <v>59</v>
      </c>
      <c r="AI263" s="8" t="s">
        <v>97</v>
      </c>
      <c r="AJ263" s="8" t="s">
        <v>88</v>
      </c>
      <c r="AK263" s="8" t="s">
        <v>1058</v>
      </c>
      <c r="AL263" s="8" t="s">
        <v>88</v>
      </c>
      <c r="AM263" s="8" t="s">
        <v>88</v>
      </c>
      <c r="AN263" s="8" t="s">
        <v>88</v>
      </c>
      <c r="AO263" s="8">
        <v>1002</v>
      </c>
      <c r="AP263" s="8" t="s">
        <v>1059</v>
      </c>
      <c r="AQ263" s="8" t="s">
        <v>100</v>
      </c>
      <c r="AR263" s="8" t="s">
        <v>101</v>
      </c>
      <c r="AS263" s="8" t="s">
        <v>102</v>
      </c>
      <c r="AT263" s="8" t="s">
        <v>103</v>
      </c>
      <c r="AU263" s="8" t="s">
        <v>103</v>
      </c>
      <c r="AX263" s="8" t="s">
        <v>104</v>
      </c>
      <c r="AY263" s="8" t="s">
        <v>105</v>
      </c>
      <c r="AZ263" s="8" t="s">
        <v>100</v>
      </c>
      <c r="BA263" s="8" t="s">
        <v>101</v>
      </c>
      <c r="BB263" s="8" t="s">
        <v>102</v>
      </c>
      <c r="BC263" s="8" t="s">
        <v>103</v>
      </c>
      <c r="BD263" s="8" t="s">
        <v>106</v>
      </c>
      <c r="BF263" s="8" t="s">
        <v>107</v>
      </c>
      <c r="BG263" s="8">
        <v>16700</v>
      </c>
      <c r="BH263" s="8" t="s">
        <v>108</v>
      </c>
      <c r="BO263" s="8">
        <v>0</v>
      </c>
      <c r="BR263" s="8" t="s">
        <v>100</v>
      </c>
      <c r="BS263" s="8" t="s">
        <v>109</v>
      </c>
      <c r="BT263" s="8" t="s">
        <v>102</v>
      </c>
      <c r="BU263" s="8" t="s">
        <v>103</v>
      </c>
      <c r="BV263" s="8" t="s">
        <v>106</v>
      </c>
      <c r="BW263" s="8" t="s">
        <v>110</v>
      </c>
    </row>
    <row r="264" spans="1:75" s="8" customFormat="1" x14ac:dyDescent="0.35">
      <c r="A264" s="8" t="s">
        <v>1060</v>
      </c>
      <c r="B264" s="9">
        <v>45986</v>
      </c>
      <c r="C264" s="10">
        <v>0.5490856481481482</v>
      </c>
      <c r="D264" s="8" t="s">
        <v>549</v>
      </c>
      <c r="E264" s="8" t="s">
        <v>550</v>
      </c>
      <c r="F264" s="11" t="s">
        <v>172</v>
      </c>
      <c r="G264" s="8">
        <f>COUNTIF($F$2:$F$350,F264)</f>
        <v>213</v>
      </c>
      <c r="H264" s="8" t="s">
        <v>115</v>
      </c>
      <c r="I264" s="8" t="s">
        <v>82</v>
      </c>
      <c r="J264" s="8" t="s">
        <v>83</v>
      </c>
      <c r="K264" s="8" t="s">
        <v>84</v>
      </c>
      <c r="M264" s="8" t="s">
        <v>85</v>
      </c>
      <c r="N264" s="8" t="s">
        <v>86</v>
      </c>
      <c r="O264" s="8" t="s">
        <v>87</v>
      </c>
      <c r="P264" s="8" t="s">
        <v>173</v>
      </c>
      <c r="Q264" s="8" t="s">
        <v>89</v>
      </c>
      <c r="R264" s="8" t="s">
        <v>90</v>
      </c>
      <c r="S264" s="8" t="s">
        <v>91</v>
      </c>
      <c r="T264" s="8" t="s">
        <v>92</v>
      </c>
      <c r="U264" s="8" t="s">
        <v>93</v>
      </c>
      <c r="V264" s="8" t="s">
        <v>22</v>
      </c>
      <c r="W264" s="8" t="s">
        <v>731</v>
      </c>
      <c r="X264" s="8" t="s">
        <v>177</v>
      </c>
      <c r="Y264" s="8" t="s">
        <v>95</v>
      </c>
      <c r="Z264" s="8" t="s">
        <v>189</v>
      </c>
      <c r="AA264" s="8" t="b">
        <v>0</v>
      </c>
      <c r="AC264" s="8">
        <v>0</v>
      </c>
      <c r="AD264" s="8">
        <v>135</v>
      </c>
      <c r="AI264" s="8" t="s">
        <v>732</v>
      </c>
      <c r="AJ264" s="8" t="s">
        <v>88</v>
      </c>
      <c r="AK264" s="8" t="s">
        <v>1061</v>
      </c>
      <c r="AL264" s="8" t="s">
        <v>88</v>
      </c>
      <c r="AM264" s="8" t="s">
        <v>88</v>
      </c>
      <c r="AN264" s="8" t="s">
        <v>88</v>
      </c>
      <c r="AP264" s="8" t="s">
        <v>1062</v>
      </c>
      <c r="AQ264" s="8" t="s">
        <v>100</v>
      </c>
      <c r="AR264" s="8" t="s">
        <v>101</v>
      </c>
      <c r="AS264" s="8" t="s">
        <v>120</v>
      </c>
      <c r="AT264" s="8" t="s">
        <v>103</v>
      </c>
      <c r="AU264" s="8" t="s">
        <v>103</v>
      </c>
      <c r="AX264" s="8" t="s">
        <v>104</v>
      </c>
      <c r="AY264" s="8" t="s">
        <v>121</v>
      </c>
      <c r="AZ264" s="8" t="s">
        <v>100</v>
      </c>
      <c r="BA264" s="8" t="s">
        <v>101</v>
      </c>
      <c r="BB264" s="8" t="s">
        <v>102</v>
      </c>
      <c r="BC264" s="8" t="s">
        <v>103</v>
      </c>
      <c r="BD264" s="8" t="s">
        <v>103</v>
      </c>
      <c r="BF264" s="8" t="s">
        <v>107</v>
      </c>
      <c r="BG264" s="8">
        <v>16700</v>
      </c>
      <c r="BH264" s="8" t="s">
        <v>122</v>
      </c>
      <c r="BO264" s="8">
        <v>12</v>
      </c>
      <c r="BR264" s="8" t="s">
        <v>100</v>
      </c>
      <c r="BS264" s="8" t="s">
        <v>182</v>
      </c>
      <c r="BT264" s="8" t="s">
        <v>183</v>
      </c>
      <c r="BU264" s="8" t="s">
        <v>106</v>
      </c>
      <c r="BV264" s="8" t="s">
        <v>123</v>
      </c>
      <c r="BW264" s="8" t="s">
        <v>110</v>
      </c>
    </row>
    <row r="265" spans="1:75" s="8" customFormat="1" x14ac:dyDescent="0.35">
      <c r="A265" s="8" t="s">
        <v>1063</v>
      </c>
      <c r="B265" s="9">
        <v>45986</v>
      </c>
      <c r="C265" s="10">
        <v>0.52056712962962959</v>
      </c>
      <c r="D265" s="8" t="s">
        <v>460</v>
      </c>
      <c r="E265" s="8" t="s">
        <v>461</v>
      </c>
      <c r="F265" s="11" t="s">
        <v>172</v>
      </c>
      <c r="G265" s="8">
        <f>COUNTIF($F$2:$F$350,F265)</f>
        <v>213</v>
      </c>
      <c r="H265" s="8" t="s">
        <v>115</v>
      </c>
      <c r="I265" s="8" t="s">
        <v>82</v>
      </c>
      <c r="J265" s="8" t="s">
        <v>83</v>
      </c>
      <c r="K265" s="8" t="s">
        <v>84</v>
      </c>
      <c r="M265" s="8" t="s">
        <v>85</v>
      </c>
      <c r="N265" s="8" t="s">
        <v>116</v>
      </c>
      <c r="O265" s="8" t="s">
        <v>87</v>
      </c>
      <c r="P265" s="8" t="s">
        <v>88</v>
      </c>
      <c r="Q265" s="8" t="s">
        <v>89</v>
      </c>
      <c r="R265" s="8" t="s">
        <v>90</v>
      </c>
      <c r="S265" s="8" t="s">
        <v>91</v>
      </c>
      <c r="T265" s="8" t="s">
        <v>92</v>
      </c>
      <c r="U265" s="8" t="s">
        <v>93</v>
      </c>
      <c r="V265" s="8" t="s">
        <v>22</v>
      </c>
      <c r="X265" s="8" t="s">
        <v>94</v>
      </c>
      <c r="Y265" s="8" t="s">
        <v>95</v>
      </c>
      <c r="Z265" s="8" t="s">
        <v>96</v>
      </c>
      <c r="AA265" s="8" t="b">
        <v>0</v>
      </c>
      <c r="AC265" s="8">
        <v>0</v>
      </c>
      <c r="AD265" s="8">
        <v>136</v>
      </c>
      <c r="AI265" s="8" t="s">
        <v>464</v>
      </c>
      <c r="AJ265" s="8" t="s">
        <v>88</v>
      </c>
      <c r="AK265" s="8" t="s">
        <v>1064</v>
      </c>
      <c r="AL265" s="8" t="s">
        <v>88</v>
      </c>
      <c r="AM265" s="8" t="s">
        <v>88</v>
      </c>
      <c r="AN265" s="8" t="s">
        <v>88</v>
      </c>
      <c r="AO265" s="8">
        <v>1002</v>
      </c>
      <c r="AP265" s="8" t="s">
        <v>1065</v>
      </c>
      <c r="AQ265" s="8" t="s">
        <v>100</v>
      </c>
      <c r="AR265" s="8" t="s">
        <v>101</v>
      </c>
      <c r="AS265" s="8" t="s">
        <v>120</v>
      </c>
      <c r="AT265" s="8" t="s">
        <v>103</v>
      </c>
      <c r="AU265" s="8" t="s">
        <v>103</v>
      </c>
      <c r="AX265" s="8" t="s">
        <v>104</v>
      </c>
      <c r="AY265" s="8" t="s">
        <v>121</v>
      </c>
      <c r="AZ265" s="8" t="s">
        <v>100</v>
      </c>
      <c r="BA265" s="8" t="s">
        <v>101</v>
      </c>
      <c r="BB265" s="8" t="s">
        <v>102</v>
      </c>
      <c r="BC265" s="8" t="s">
        <v>103</v>
      </c>
      <c r="BD265" s="8" t="s">
        <v>103</v>
      </c>
      <c r="BF265" s="8" t="s">
        <v>107</v>
      </c>
      <c r="BG265" s="8">
        <v>16700</v>
      </c>
      <c r="BH265" s="8" t="s">
        <v>122</v>
      </c>
      <c r="BO265" s="8">
        <v>12</v>
      </c>
      <c r="BR265" s="8" t="s">
        <v>100</v>
      </c>
      <c r="BS265" s="8" t="s">
        <v>182</v>
      </c>
      <c r="BT265" s="8" t="s">
        <v>183</v>
      </c>
      <c r="BU265" s="8" t="s">
        <v>106</v>
      </c>
      <c r="BV265" s="8" t="s">
        <v>123</v>
      </c>
      <c r="BW265" s="8" t="s">
        <v>110</v>
      </c>
    </row>
    <row r="266" spans="1:75" x14ac:dyDescent="0.35">
      <c r="A266" t="s">
        <v>1066</v>
      </c>
      <c r="B266" s="1">
        <v>45986</v>
      </c>
      <c r="C266" s="2">
        <v>0.47467592592592595</v>
      </c>
      <c r="D266" t="s">
        <v>112</v>
      </c>
      <c r="E266" t="s">
        <v>113</v>
      </c>
      <c r="F266" t="s">
        <v>114</v>
      </c>
      <c r="G266">
        <f>COUNTIF($F$2:$F$350,F266)</f>
        <v>42</v>
      </c>
      <c r="H266" t="s">
        <v>115</v>
      </c>
      <c r="I266" t="s">
        <v>82</v>
      </c>
      <c r="J266" t="s">
        <v>83</v>
      </c>
      <c r="K266" t="s">
        <v>84</v>
      </c>
      <c r="M266" t="s">
        <v>85</v>
      </c>
      <c r="N266" t="s">
        <v>116</v>
      </c>
      <c r="O266" t="s">
        <v>87</v>
      </c>
      <c r="P266" t="s">
        <v>88</v>
      </c>
      <c r="Q266" t="s">
        <v>89</v>
      </c>
      <c r="R266" t="s">
        <v>90</v>
      </c>
      <c r="S266" t="s">
        <v>91</v>
      </c>
      <c r="T266" t="s">
        <v>92</v>
      </c>
      <c r="U266" t="s">
        <v>93</v>
      </c>
      <c r="V266" t="s">
        <v>22</v>
      </c>
      <c r="X266" t="s">
        <v>94</v>
      </c>
      <c r="Y266" t="s">
        <v>95</v>
      </c>
      <c r="Z266" t="s">
        <v>96</v>
      </c>
      <c r="AA266" t="b">
        <v>0</v>
      </c>
      <c r="AC266">
        <v>0</v>
      </c>
      <c r="AD266">
        <v>114</v>
      </c>
      <c r="AI266" t="s">
        <v>117</v>
      </c>
      <c r="AJ266" t="s">
        <v>88</v>
      </c>
      <c r="AK266" t="s">
        <v>1067</v>
      </c>
      <c r="AL266" t="s">
        <v>88</v>
      </c>
      <c r="AM266" t="s">
        <v>88</v>
      </c>
      <c r="AN266" t="s">
        <v>88</v>
      </c>
      <c r="AO266">
        <v>1002</v>
      </c>
      <c r="AP266" t="s">
        <v>1068</v>
      </c>
      <c r="AQ266" t="s">
        <v>100</v>
      </c>
      <c r="AR266" t="s">
        <v>101</v>
      </c>
      <c r="AS266" t="s">
        <v>120</v>
      </c>
      <c r="AT266" t="s">
        <v>103</v>
      </c>
      <c r="AU266" t="s">
        <v>103</v>
      </c>
      <c r="AX266" t="s">
        <v>104</v>
      </c>
      <c r="AY266" t="s">
        <v>121</v>
      </c>
      <c r="AZ266" t="s">
        <v>100</v>
      </c>
      <c r="BA266" t="s">
        <v>101</v>
      </c>
      <c r="BB266" t="s">
        <v>102</v>
      </c>
      <c r="BC266" t="s">
        <v>103</v>
      </c>
      <c r="BD266" t="s">
        <v>103</v>
      </c>
      <c r="BF266" t="s">
        <v>107</v>
      </c>
      <c r="BG266">
        <v>16700</v>
      </c>
      <c r="BH266" t="s">
        <v>122</v>
      </c>
      <c r="BO266">
        <v>12</v>
      </c>
      <c r="BR266" t="s">
        <v>100</v>
      </c>
      <c r="BS266" t="s">
        <v>109</v>
      </c>
      <c r="BT266" t="s">
        <v>102</v>
      </c>
      <c r="BU266" t="s">
        <v>106</v>
      </c>
      <c r="BV266" t="s">
        <v>123</v>
      </c>
      <c r="BW266" t="s">
        <v>110</v>
      </c>
    </row>
    <row r="267" spans="1:75" s="8" customFormat="1" x14ac:dyDescent="0.35">
      <c r="A267" s="8" t="s">
        <v>1069</v>
      </c>
      <c r="B267" s="9">
        <v>45986</v>
      </c>
      <c r="C267" s="10">
        <v>0.44541666666666663</v>
      </c>
      <c r="D267" s="8" t="s">
        <v>78</v>
      </c>
      <c r="E267" s="8" t="s">
        <v>79</v>
      </c>
      <c r="F267" s="11" t="s">
        <v>80</v>
      </c>
      <c r="G267" s="8">
        <f>COUNTIF($F$2:$F$350,F267)</f>
        <v>38</v>
      </c>
      <c r="H267" s="8" t="s">
        <v>81</v>
      </c>
      <c r="I267" s="8" t="s">
        <v>82</v>
      </c>
      <c r="J267" s="8" t="s">
        <v>83</v>
      </c>
      <c r="K267" s="8" t="s">
        <v>84</v>
      </c>
      <c r="M267" s="8" t="s">
        <v>85</v>
      </c>
      <c r="N267" s="8" t="s">
        <v>86</v>
      </c>
      <c r="O267" s="8" t="s">
        <v>87</v>
      </c>
      <c r="P267" s="8" t="s">
        <v>88</v>
      </c>
      <c r="Q267" s="8" t="s">
        <v>89</v>
      </c>
      <c r="R267" s="8" t="s">
        <v>90</v>
      </c>
      <c r="S267" s="8" t="s">
        <v>91</v>
      </c>
      <c r="T267" s="8" t="s">
        <v>92</v>
      </c>
      <c r="U267" s="8" t="s">
        <v>93</v>
      </c>
      <c r="V267" s="8" t="s">
        <v>22</v>
      </c>
      <c r="X267" s="8" t="s">
        <v>94</v>
      </c>
      <c r="Y267" s="8" t="s">
        <v>95</v>
      </c>
      <c r="Z267" s="8" t="s">
        <v>96</v>
      </c>
      <c r="AA267" s="8" t="b">
        <v>0</v>
      </c>
      <c r="AC267" s="8">
        <v>0</v>
      </c>
      <c r="AD267" s="8">
        <v>85</v>
      </c>
      <c r="AI267" s="8" t="s">
        <v>97</v>
      </c>
      <c r="AJ267" s="8" t="s">
        <v>88</v>
      </c>
      <c r="AK267" s="8" t="s">
        <v>1070</v>
      </c>
      <c r="AL267" s="8" t="s">
        <v>88</v>
      </c>
      <c r="AM267" s="8" t="s">
        <v>88</v>
      </c>
      <c r="AN267" s="8" t="s">
        <v>88</v>
      </c>
      <c r="AO267" s="8">
        <v>1002</v>
      </c>
      <c r="AP267" s="8" t="s">
        <v>1071</v>
      </c>
      <c r="AQ267" s="8" t="s">
        <v>100</v>
      </c>
      <c r="AR267" s="8" t="s">
        <v>101</v>
      </c>
      <c r="AS267" s="8" t="s">
        <v>102</v>
      </c>
      <c r="AT267" s="8" t="s">
        <v>103</v>
      </c>
      <c r="AU267" s="8" t="s">
        <v>103</v>
      </c>
      <c r="AX267" s="8" t="s">
        <v>104</v>
      </c>
      <c r="AY267" s="8" t="s">
        <v>105</v>
      </c>
      <c r="AZ267" s="8" t="s">
        <v>100</v>
      </c>
      <c r="BA267" s="8" t="s">
        <v>101</v>
      </c>
      <c r="BB267" s="8" t="s">
        <v>102</v>
      </c>
      <c r="BC267" s="8" t="s">
        <v>103</v>
      </c>
      <c r="BD267" s="8" t="s">
        <v>106</v>
      </c>
      <c r="BF267" s="8" t="s">
        <v>107</v>
      </c>
      <c r="BG267" s="8">
        <v>16700</v>
      </c>
      <c r="BH267" s="8" t="s">
        <v>108</v>
      </c>
      <c r="BO267" s="8">
        <v>0</v>
      </c>
      <c r="BR267" s="8" t="s">
        <v>100</v>
      </c>
      <c r="BS267" s="8" t="s">
        <v>109</v>
      </c>
      <c r="BT267" s="8" t="s">
        <v>102</v>
      </c>
      <c r="BU267" s="8" t="s">
        <v>103</v>
      </c>
      <c r="BV267" s="8" t="s">
        <v>106</v>
      </c>
      <c r="BW267" s="8" t="s">
        <v>110</v>
      </c>
    </row>
    <row r="268" spans="1:75" x14ac:dyDescent="0.35">
      <c r="A268" t="s">
        <v>1072</v>
      </c>
      <c r="B268" s="1">
        <v>45986</v>
      </c>
      <c r="C268" s="2">
        <v>0.44359953703703708</v>
      </c>
      <c r="D268" t="s">
        <v>125</v>
      </c>
      <c r="E268" t="s">
        <v>126</v>
      </c>
      <c r="F268" t="s">
        <v>1073</v>
      </c>
      <c r="G268">
        <f>COUNTIF($F$2:$F$350,F268)</f>
        <v>1</v>
      </c>
      <c r="H268" t="s">
        <v>1074</v>
      </c>
      <c r="I268" t="s">
        <v>1075</v>
      </c>
      <c r="J268" t="s">
        <v>1076</v>
      </c>
      <c r="K268" t="s">
        <v>361</v>
      </c>
      <c r="L268">
        <v>50126</v>
      </c>
      <c r="M268" t="s">
        <v>85</v>
      </c>
      <c r="N268" t="s">
        <v>86</v>
      </c>
      <c r="O268" t="s">
        <v>87</v>
      </c>
      <c r="P268" t="s">
        <v>88</v>
      </c>
      <c r="Q268" t="s">
        <v>155</v>
      </c>
      <c r="R268" t="s">
        <v>156</v>
      </c>
      <c r="S268" t="s">
        <v>155</v>
      </c>
      <c r="T268" t="s">
        <v>156</v>
      </c>
      <c r="U268" t="s">
        <v>362</v>
      </c>
      <c r="V268" t="s">
        <v>22</v>
      </c>
      <c r="X268" t="s">
        <v>826</v>
      </c>
      <c r="Y268" t="s">
        <v>95</v>
      </c>
      <c r="Z268" t="s">
        <v>827</v>
      </c>
      <c r="AA268" t="b">
        <v>0</v>
      </c>
      <c r="AC268">
        <v>0</v>
      </c>
      <c r="AD268">
        <v>201</v>
      </c>
      <c r="AE268" t="s">
        <v>365</v>
      </c>
      <c r="AH268" t="s">
        <v>126</v>
      </c>
      <c r="AJ268" t="s">
        <v>88</v>
      </c>
      <c r="AK268" t="s">
        <v>1077</v>
      </c>
      <c r="AL268" t="s">
        <v>88</v>
      </c>
      <c r="AM268" t="s">
        <v>88</v>
      </c>
      <c r="AN268" t="s">
        <v>88</v>
      </c>
      <c r="AP268" t="s">
        <v>1078</v>
      </c>
      <c r="AQ268" t="s">
        <v>1079</v>
      </c>
      <c r="AR268" t="s">
        <v>1080</v>
      </c>
      <c r="AS268" t="s">
        <v>1081</v>
      </c>
      <c r="AT268" t="s">
        <v>1082</v>
      </c>
      <c r="AU268" t="s">
        <v>1082</v>
      </c>
      <c r="AX268" t="s">
        <v>1083</v>
      </c>
      <c r="AY268" t="s">
        <v>1084</v>
      </c>
      <c r="AZ268" t="s">
        <v>1079</v>
      </c>
      <c r="BA268" t="s">
        <v>1085</v>
      </c>
      <c r="BB268" t="s">
        <v>1085</v>
      </c>
      <c r="BC268" t="s">
        <v>1086</v>
      </c>
      <c r="BD268" t="s">
        <v>1087</v>
      </c>
      <c r="BF268" t="s">
        <v>1088</v>
      </c>
      <c r="BG268">
        <v>42908</v>
      </c>
      <c r="BH268" t="s">
        <v>1089</v>
      </c>
      <c r="BO268">
        <v>0</v>
      </c>
      <c r="BR268" t="s">
        <v>1079</v>
      </c>
      <c r="BS268" t="s">
        <v>1090</v>
      </c>
      <c r="BT268" t="s">
        <v>1085</v>
      </c>
      <c r="BU268" t="s">
        <v>1086</v>
      </c>
      <c r="BV268" t="s">
        <v>1091</v>
      </c>
      <c r="BW268" t="s">
        <v>110</v>
      </c>
    </row>
    <row r="269" spans="1:75" x14ac:dyDescent="0.35">
      <c r="A269" t="s">
        <v>1092</v>
      </c>
      <c r="B269" s="1">
        <v>45986</v>
      </c>
      <c r="C269" s="2">
        <v>0.44336805555555553</v>
      </c>
      <c r="D269" t="s">
        <v>125</v>
      </c>
      <c r="E269" t="s">
        <v>126</v>
      </c>
      <c r="F269" t="s">
        <v>1093</v>
      </c>
      <c r="G269">
        <f>COUNTIF($F$2:$F$350,F269)</f>
        <v>1</v>
      </c>
      <c r="H269" t="s">
        <v>1094</v>
      </c>
      <c r="I269" t="s">
        <v>1095</v>
      </c>
      <c r="J269" t="s">
        <v>1096</v>
      </c>
      <c r="K269" t="s">
        <v>361</v>
      </c>
      <c r="L269">
        <v>50126</v>
      </c>
      <c r="M269" t="s">
        <v>85</v>
      </c>
      <c r="N269" t="s">
        <v>86</v>
      </c>
      <c r="O269" t="s">
        <v>87</v>
      </c>
      <c r="P269" t="s">
        <v>88</v>
      </c>
      <c r="Q269" t="s">
        <v>155</v>
      </c>
      <c r="R269" t="s">
        <v>156</v>
      </c>
      <c r="S269" t="s">
        <v>155</v>
      </c>
      <c r="T269" t="s">
        <v>156</v>
      </c>
      <c r="U269" t="s">
        <v>362</v>
      </c>
      <c r="V269" t="s">
        <v>22</v>
      </c>
      <c r="X269" t="s">
        <v>826</v>
      </c>
      <c r="Y269" t="s">
        <v>95</v>
      </c>
      <c r="Z269" t="s">
        <v>827</v>
      </c>
      <c r="AA269" t="b">
        <v>0</v>
      </c>
      <c r="AC269">
        <v>0</v>
      </c>
      <c r="AD269">
        <v>349</v>
      </c>
      <c r="AE269" t="s">
        <v>365</v>
      </c>
      <c r="AH269" t="s">
        <v>126</v>
      </c>
      <c r="AJ269" t="s">
        <v>88</v>
      </c>
      <c r="AK269" t="s">
        <v>1097</v>
      </c>
      <c r="AL269" t="s">
        <v>88</v>
      </c>
      <c r="AM269" t="s">
        <v>88</v>
      </c>
      <c r="AN269" t="s">
        <v>88</v>
      </c>
      <c r="AP269" t="s">
        <v>1098</v>
      </c>
      <c r="AQ269" t="s">
        <v>1099</v>
      </c>
      <c r="AT269" t="s">
        <v>1100</v>
      </c>
      <c r="AU269" t="s">
        <v>1100</v>
      </c>
      <c r="AX269" t="s">
        <v>1101</v>
      </c>
      <c r="AY269" t="s">
        <v>1102</v>
      </c>
      <c r="AZ269" t="s">
        <v>1099</v>
      </c>
      <c r="BA269" t="s">
        <v>1103</v>
      </c>
      <c r="BB269" t="s">
        <v>1104</v>
      </c>
      <c r="BC269" t="s">
        <v>1105</v>
      </c>
      <c r="BD269" t="s">
        <v>1106</v>
      </c>
      <c r="BF269" t="s">
        <v>1107</v>
      </c>
      <c r="BG269">
        <v>17501</v>
      </c>
      <c r="BH269" t="s">
        <v>1108</v>
      </c>
      <c r="BO269">
        <v>2</v>
      </c>
      <c r="BR269" t="s">
        <v>1099</v>
      </c>
      <c r="BS269" t="s">
        <v>1109</v>
      </c>
      <c r="BT269" t="s">
        <v>1110</v>
      </c>
      <c r="BU269" t="s">
        <v>1105</v>
      </c>
      <c r="BW269" t="s">
        <v>1111</v>
      </c>
    </row>
    <row r="270" spans="1:75" x14ac:dyDescent="0.35">
      <c r="A270" t="s">
        <v>1112</v>
      </c>
      <c r="B270" s="1">
        <v>45986</v>
      </c>
      <c r="C270" s="2">
        <v>0.44293981481481487</v>
      </c>
      <c r="D270" t="s">
        <v>125</v>
      </c>
      <c r="E270" t="s">
        <v>126</v>
      </c>
      <c r="F270" t="s">
        <v>1113</v>
      </c>
      <c r="G270">
        <f>COUNTIF($F$2:$F$350,F270)</f>
        <v>1</v>
      </c>
      <c r="H270" t="s">
        <v>1114</v>
      </c>
      <c r="I270" t="s">
        <v>1115</v>
      </c>
      <c r="J270" t="s">
        <v>1116</v>
      </c>
      <c r="K270" t="s">
        <v>361</v>
      </c>
      <c r="L270">
        <v>50126</v>
      </c>
      <c r="M270" t="s">
        <v>85</v>
      </c>
      <c r="N270" t="s">
        <v>86</v>
      </c>
      <c r="O270" t="s">
        <v>87</v>
      </c>
      <c r="P270" t="s">
        <v>88</v>
      </c>
      <c r="Q270" t="s">
        <v>155</v>
      </c>
      <c r="R270" t="s">
        <v>156</v>
      </c>
      <c r="S270" t="s">
        <v>155</v>
      </c>
      <c r="T270" t="s">
        <v>156</v>
      </c>
      <c r="U270" t="s">
        <v>362</v>
      </c>
      <c r="V270" t="s">
        <v>22</v>
      </c>
      <c r="X270" t="s">
        <v>826</v>
      </c>
      <c r="Y270" t="s">
        <v>95</v>
      </c>
      <c r="Z270" t="s">
        <v>827</v>
      </c>
      <c r="AA270" t="b">
        <v>0</v>
      </c>
      <c r="AC270">
        <v>0</v>
      </c>
      <c r="AD270">
        <v>290</v>
      </c>
      <c r="AE270" t="s">
        <v>365</v>
      </c>
      <c r="AH270" t="s">
        <v>126</v>
      </c>
      <c r="AJ270" t="s">
        <v>88</v>
      </c>
      <c r="AK270" t="s">
        <v>1117</v>
      </c>
      <c r="AL270" t="s">
        <v>88</v>
      </c>
      <c r="AM270" t="s">
        <v>88</v>
      </c>
      <c r="AN270" t="s">
        <v>88</v>
      </c>
      <c r="AP270" t="s">
        <v>1118</v>
      </c>
      <c r="AQ270" t="s">
        <v>1119</v>
      </c>
      <c r="AR270" t="s">
        <v>1120</v>
      </c>
      <c r="AS270" t="s">
        <v>1121</v>
      </c>
      <c r="AT270" t="s">
        <v>1122</v>
      </c>
      <c r="AU270" t="s">
        <v>1122</v>
      </c>
      <c r="AX270" t="s">
        <v>1123</v>
      </c>
      <c r="AY270" t="s">
        <v>1124</v>
      </c>
      <c r="AZ270" t="s">
        <v>1119</v>
      </c>
      <c r="BA270" t="s">
        <v>1125</v>
      </c>
      <c r="BB270" t="s">
        <v>1121</v>
      </c>
      <c r="BC270" t="s">
        <v>1122</v>
      </c>
      <c r="BD270" t="s">
        <v>1126</v>
      </c>
      <c r="BF270" t="s">
        <v>1127</v>
      </c>
      <c r="BG270">
        <v>18002</v>
      </c>
      <c r="BH270" t="s">
        <v>1128</v>
      </c>
      <c r="BO270">
        <v>0</v>
      </c>
      <c r="BR270" t="s">
        <v>1119</v>
      </c>
      <c r="BS270" t="s">
        <v>1129</v>
      </c>
      <c r="BT270" t="s">
        <v>1121</v>
      </c>
      <c r="BU270" t="s">
        <v>1130</v>
      </c>
      <c r="BV270" t="s">
        <v>1131</v>
      </c>
      <c r="BW270" t="s">
        <v>110</v>
      </c>
    </row>
    <row r="271" spans="1:75" s="8" customFormat="1" x14ac:dyDescent="0.35">
      <c r="A271" s="8" t="s">
        <v>1132</v>
      </c>
      <c r="B271" s="9">
        <v>45986</v>
      </c>
      <c r="C271" s="10">
        <v>0.35319444444444442</v>
      </c>
      <c r="D271" s="8" t="s">
        <v>460</v>
      </c>
      <c r="E271" s="8" t="s">
        <v>461</v>
      </c>
      <c r="F271" s="11" t="s">
        <v>172</v>
      </c>
      <c r="G271" s="8">
        <f>COUNTIF($F$2:$F$350,F271)</f>
        <v>213</v>
      </c>
      <c r="H271" s="8" t="s">
        <v>115</v>
      </c>
      <c r="I271" s="8" t="s">
        <v>82</v>
      </c>
      <c r="J271" s="8" t="s">
        <v>83</v>
      </c>
      <c r="K271" s="8" t="s">
        <v>84</v>
      </c>
      <c r="M271" s="8" t="s">
        <v>85</v>
      </c>
      <c r="N271" s="8" t="s">
        <v>116</v>
      </c>
      <c r="O271" s="8" t="s">
        <v>87</v>
      </c>
      <c r="P271" s="8" t="s">
        <v>88</v>
      </c>
      <c r="Q271" s="8" t="s">
        <v>89</v>
      </c>
      <c r="R271" s="8" t="s">
        <v>90</v>
      </c>
      <c r="S271" s="8" t="s">
        <v>91</v>
      </c>
      <c r="T271" s="8" t="s">
        <v>92</v>
      </c>
      <c r="U271" s="8" t="s">
        <v>93</v>
      </c>
      <c r="V271" s="8" t="s">
        <v>22</v>
      </c>
      <c r="X271" s="8" t="s">
        <v>94</v>
      </c>
      <c r="Y271" s="8" t="s">
        <v>95</v>
      </c>
      <c r="Z271" s="8" t="s">
        <v>96</v>
      </c>
      <c r="AA271" s="8" t="b">
        <v>0</v>
      </c>
      <c r="AC271" s="8">
        <v>0</v>
      </c>
      <c r="AD271" s="8">
        <v>112</v>
      </c>
      <c r="AI271" s="8" t="s">
        <v>464</v>
      </c>
      <c r="AJ271" s="8" t="s">
        <v>88</v>
      </c>
      <c r="AK271" s="8" t="s">
        <v>1133</v>
      </c>
      <c r="AL271" s="8" t="s">
        <v>88</v>
      </c>
      <c r="AM271" s="8" t="s">
        <v>88</v>
      </c>
      <c r="AN271" s="8" t="s">
        <v>88</v>
      </c>
      <c r="AO271" s="8">
        <v>1002</v>
      </c>
      <c r="AP271" s="8" t="s">
        <v>1134</v>
      </c>
      <c r="AQ271" s="8" t="s">
        <v>100</v>
      </c>
      <c r="AR271" s="8" t="s">
        <v>101</v>
      </c>
      <c r="AS271" s="8" t="s">
        <v>120</v>
      </c>
      <c r="AT271" s="8" t="s">
        <v>103</v>
      </c>
      <c r="AU271" s="8" t="s">
        <v>103</v>
      </c>
      <c r="AX271" s="8" t="s">
        <v>104</v>
      </c>
      <c r="AY271" s="8" t="s">
        <v>121</v>
      </c>
      <c r="AZ271" s="8" t="s">
        <v>100</v>
      </c>
      <c r="BA271" s="8" t="s">
        <v>101</v>
      </c>
      <c r="BB271" s="8" t="s">
        <v>102</v>
      </c>
      <c r="BC271" s="8" t="s">
        <v>103</v>
      </c>
      <c r="BD271" s="8" t="s">
        <v>103</v>
      </c>
      <c r="BF271" s="8" t="s">
        <v>107</v>
      </c>
      <c r="BG271" s="8">
        <v>16700</v>
      </c>
      <c r="BH271" s="8" t="s">
        <v>122</v>
      </c>
      <c r="BO271" s="8">
        <v>12</v>
      </c>
      <c r="BR271" s="8" t="s">
        <v>100</v>
      </c>
      <c r="BS271" s="8" t="s">
        <v>182</v>
      </c>
      <c r="BT271" s="8" t="s">
        <v>183</v>
      </c>
      <c r="BU271" s="8" t="s">
        <v>106</v>
      </c>
      <c r="BV271" s="8" t="s">
        <v>123</v>
      </c>
      <c r="BW271" s="8" t="s">
        <v>110</v>
      </c>
    </row>
    <row r="272" spans="1:75" x14ac:dyDescent="0.35">
      <c r="A272" t="s">
        <v>1135</v>
      </c>
      <c r="B272" s="1">
        <v>45986</v>
      </c>
      <c r="C272" s="2">
        <v>0.30592592592592593</v>
      </c>
      <c r="D272" t="s">
        <v>112</v>
      </c>
      <c r="E272" t="s">
        <v>113</v>
      </c>
      <c r="F272" t="s">
        <v>114</v>
      </c>
      <c r="G272">
        <f>COUNTIF($F$2:$F$350,F272)</f>
        <v>42</v>
      </c>
      <c r="H272" t="s">
        <v>115</v>
      </c>
      <c r="I272" t="s">
        <v>82</v>
      </c>
      <c r="J272" t="s">
        <v>83</v>
      </c>
      <c r="K272" t="s">
        <v>84</v>
      </c>
      <c r="M272" t="s">
        <v>85</v>
      </c>
      <c r="N272" t="s">
        <v>116</v>
      </c>
      <c r="O272" t="s">
        <v>87</v>
      </c>
      <c r="P272" t="s">
        <v>88</v>
      </c>
      <c r="Q272" t="s">
        <v>89</v>
      </c>
      <c r="R272" t="s">
        <v>90</v>
      </c>
      <c r="S272" t="s">
        <v>91</v>
      </c>
      <c r="T272" t="s">
        <v>92</v>
      </c>
      <c r="U272" t="s">
        <v>93</v>
      </c>
      <c r="V272" t="s">
        <v>22</v>
      </c>
      <c r="X272" t="s">
        <v>94</v>
      </c>
      <c r="Y272" t="s">
        <v>95</v>
      </c>
      <c r="Z272" t="s">
        <v>96</v>
      </c>
      <c r="AA272" t="b">
        <v>0</v>
      </c>
      <c r="AC272">
        <v>0</v>
      </c>
      <c r="AD272">
        <v>82</v>
      </c>
      <c r="AI272" t="s">
        <v>117</v>
      </c>
      <c r="AJ272" t="s">
        <v>88</v>
      </c>
      <c r="AK272" t="s">
        <v>1136</v>
      </c>
      <c r="AL272" t="s">
        <v>88</v>
      </c>
      <c r="AM272" t="s">
        <v>88</v>
      </c>
      <c r="AN272" t="s">
        <v>88</v>
      </c>
      <c r="AO272">
        <v>1002</v>
      </c>
      <c r="AP272" t="s">
        <v>1137</v>
      </c>
      <c r="AQ272" t="s">
        <v>100</v>
      </c>
      <c r="AR272" t="s">
        <v>101</v>
      </c>
      <c r="AS272" t="s">
        <v>120</v>
      </c>
      <c r="AT272" t="s">
        <v>103</v>
      </c>
      <c r="AU272" t="s">
        <v>103</v>
      </c>
      <c r="AX272" t="s">
        <v>104</v>
      </c>
      <c r="AY272" t="s">
        <v>121</v>
      </c>
      <c r="AZ272" t="s">
        <v>100</v>
      </c>
      <c r="BA272" t="s">
        <v>101</v>
      </c>
      <c r="BB272" t="s">
        <v>102</v>
      </c>
      <c r="BC272" t="s">
        <v>103</v>
      </c>
      <c r="BD272" t="s">
        <v>103</v>
      </c>
      <c r="BF272" t="s">
        <v>107</v>
      </c>
      <c r="BG272">
        <v>16700</v>
      </c>
      <c r="BH272" t="s">
        <v>122</v>
      </c>
      <c r="BO272">
        <v>12</v>
      </c>
      <c r="BR272" t="s">
        <v>100</v>
      </c>
      <c r="BS272" t="s">
        <v>109</v>
      </c>
      <c r="BT272" t="s">
        <v>102</v>
      </c>
      <c r="BU272" t="s">
        <v>106</v>
      </c>
      <c r="BV272" t="s">
        <v>123</v>
      </c>
      <c r="BW272" t="s">
        <v>110</v>
      </c>
    </row>
    <row r="273" spans="1:75" s="8" customFormat="1" x14ac:dyDescent="0.35">
      <c r="A273" s="8" t="s">
        <v>1138</v>
      </c>
      <c r="B273" s="9">
        <v>45986</v>
      </c>
      <c r="C273" s="10">
        <v>0.27527777777777779</v>
      </c>
      <c r="D273" s="8" t="s">
        <v>78</v>
      </c>
      <c r="E273" s="8" t="s">
        <v>79</v>
      </c>
      <c r="F273" s="11" t="s">
        <v>80</v>
      </c>
      <c r="G273" s="8">
        <f>COUNTIF($F$2:$F$350,F273)</f>
        <v>38</v>
      </c>
      <c r="H273" s="8" t="s">
        <v>81</v>
      </c>
      <c r="I273" s="8" t="s">
        <v>82</v>
      </c>
      <c r="J273" s="8" t="s">
        <v>83</v>
      </c>
      <c r="K273" s="8" t="s">
        <v>84</v>
      </c>
      <c r="M273" s="8" t="s">
        <v>85</v>
      </c>
      <c r="N273" s="8" t="s">
        <v>86</v>
      </c>
      <c r="O273" s="8" t="s">
        <v>87</v>
      </c>
      <c r="P273" s="8" t="s">
        <v>88</v>
      </c>
      <c r="Q273" s="8" t="s">
        <v>89</v>
      </c>
      <c r="R273" s="8" t="s">
        <v>90</v>
      </c>
      <c r="S273" s="8" t="s">
        <v>91</v>
      </c>
      <c r="T273" s="8" t="s">
        <v>92</v>
      </c>
      <c r="U273" s="8" t="s">
        <v>93</v>
      </c>
      <c r="V273" s="8" t="s">
        <v>22</v>
      </c>
      <c r="X273" s="8" t="s">
        <v>94</v>
      </c>
      <c r="Y273" s="8" t="s">
        <v>95</v>
      </c>
      <c r="Z273" s="8" t="s">
        <v>96</v>
      </c>
      <c r="AA273" s="8" t="b">
        <v>0</v>
      </c>
      <c r="AC273" s="8">
        <v>0</v>
      </c>
      <c r="AD273" s="8">
        <v>131</v>
      </c>
      <c r="AI273" s="8" t="s">
        <v>97</v>
      </c>
      <c r="AJ273" s="8" t="s">
        <v>88</v>
      </c>
      <c r="AK273" s="8" t="s">
        <v>1139</v>
      </c>
      <c r="AL273" s="8" t="s">
        <v>88</v>
      </c>
      <c r="AM273" s="8" t="s">
        <v>88</v>
      </c>
      <c r="AN273" s="8" t="s">
        <v>88</v>
      </c>
      <c r="AO273" s="8">
        <v>1002</v>
      </c>
      <c r="AP273" s="8" t="s">
        <v>1140</v>
      </c>
      <c r="AQ273" s="8" t="s">
        <v>100</v>
      </c>
      <c r="AR273" s="8" t="s">
        <v>101</v>
      </c>
      <c r="AS273" s="8" t="s">
        <v>102</v>
      </c>
      <c r="AT273" s="8" t="s">
        <v>103</v>
      </c>
      <c r="AU273" s="8" t="s">
        <v>103</v>
      </c>
      <c r="AX273" s="8" t="s">
        <v>104</v>
      </c>
      <c r="AY273" s="8" t="s">
        <v>105</v>
      </c>
      <c r="AZ273" s="8" t="s">
        <v>100</v>
      </c>
      <c r="BA273" s="8" t="s">
        <v>101</v>
      </c>
      <c r="BB273" s="8" t="s">
        <v>102</v>
      </c>
      <c r="BC273" s="8" t="s">
        <v>103</v>
      </c>
      <c r="BD273" s="8" t="s">
        <v>106</v>
      </c>
      <c r="BF273" s="8" t="s">
        <v>107</v>
      </c>
      <c r="BG273" s="8">
        <v>16700</v>
      </c>
      <c r="BH273" s="8" t="s">
        <v>108</v>
      </c>
      <c r="BO273" s="8">
        <v>0</v>
      </c>
      <c r="BR273" s="8" t="s">
        <v>100</v>
      </c>
      <c r="BS273" s="8" t="s">
        <v>109</v>
      </c>
      <c r="BT273" s="8" t="s">
        <v>102</v>
      </c>
      <c r="BU273" s="8" t="s">
        <v>103</v>
      </c>
      <c r="BV273" s="8" t="s">
        <v>106</v>
      </c>
      <c r="BW273" s="8" t="s">
        <v>110</v>
      </c>
    </row>
    <row r="274" spans="1:75" s="8" customFormat="1" x14ac:dyDescent="0.35">
      <c r="A274" s="8" t="s">
        <v>1141</v>
      </c>
      <c r="B274" s="9">
        <v>45986</v>
      </c>
      <c r="C274" s="10">
        <v>0.18582175925925926</v>
      </c>
      <c r="D274" s="8" t="s">
        <v>460</v>
      </c>
      <c r="E274" s="8" t="s">
        <v>461</v>
      </c>
      <c r="F274" s="11" t="s">
        <v>172</v>
      </c>
      <c r="G274" s="8">
        <f>COUNTIF($F$2:$F$350,F274)</f>
        <v>213</v>
      </c>
      <c r="H274" s="8" t="s">
        <v>115</v>
      </c>
      <c r="I274" s="8" t="s">
        <v>82</v>
      </c>
      <c r="J274" s="8" t="s">
        <v>83</v>
      </c>
      <c r="K274" s="8" t="s">
        <v>84</v>
      </c>
      <c r="M274" s="8" t="s">
        <v>85</v>
      </c>
      <c r="N274" s="8" t="s">
        <v>116</v>
      </c>
      <c r="O274" s="8" t="s">
        <v>87</v>
      </c>
      <c r="P274" s="8" t="s">
        <v>88</v>
      </c>
      <c r="Q274" s="8" t="s">
        <v>89</v>
      </c>
      <c r="R274" s="8" t="s">
        <v>90</v>
      </c>
      <c r="S274" s="8" t="s">
        <v>91</v>
      </c>
      <c r="T274" s="8" t="s">
        <v>92</v>
      </c>
      <c r="U274" s="8" t="s">
        <v>93</v>
      </c>
      <c r="V274" s="8" t="s">
        <v>22</v>
      </c>
      <c r="X274" s="8" t="s">
        <v>94</v>
      </c>
      <c r="Y274" s="8" t="s">
        <v>95</v>
      </c>
      <c r="Z274" s="8" t="s">
        <v>96</v>
      </c>
      <c r="AA274" s="8" t="b">
        <v>0</v>
      </c>
      <c r="AC274" s="8">
        <v>0</v>
      </c>
      <c r="AD274" s="8">
        <v>161</v>
      </c>
      <c r="AI274" s="8" t="s">
        <v>464</v>
      </c>
      <c r="AJ274" s="8" t="s">
        <v>88</v>
      </c>
      <c r="AK274" s="8" t="s">
        <v>1142</v>
      </c>
      <c r="AL274" s="8" t="s">
        <v>88</v>
      </c>
      <c r="AM274" s="8" t="s">
        <v>88</v>
      </c>
      <c r="AN274" s="8" t="s">
        <v>88</v>
      </c>
      <c r="AO274" s="8">
        <v>1002</v>
      </c>
      <c r="AP274" s="8" t="s">
        <v>1143</v>
      </c>
      <c r="AQ274" s="8" t="s">
        <v>100</v>
      </c>
      <c r="AR274" s="8" t="s">
        <v>101</v>
      </c>
      <c r="AS274" s="8" t="s">
        <v>120</v>
      </c>
      <c r="AT274" s="8" t="s">
        <v>103</v>
      </c>
      <c r="AU274" s="8" t="s">
        <v>103</v>
      </c>
      <c r="AX274" s="8" t="s">
        <v>104</v>
      </c>
      <c r="AY274" s="8" t="s">
        <v>121</v>
      </c>
      <c r="AZ274" s="8" t="s">
        <v>100</v>
      </c>
      <c r="BA274" s="8" t="s">
        <v>101</v>
      </c>
      <c r="BB274" s="8" t="s">
        <v>102</v>
      </c>
      <c r="BC274" s="8" t="s">
        <v>103</v>
      </c>
      <c r="BD274" s="8" t="s">
        <v>103</v>
      </c>
      <c r="BF274" s="8" t="s">
        <v>107</v>
      </c>
      <c r="BG274" s="8">
        <v>16700</v>
      </c>
      <c r="BH274" s="8" t="s">
        <v>122</v>
      </c>
      <c r="BO274" s="8">
        <v>12</v>
      </c>
      <c r="BR274" s="8" t="s">
        <v>100</v>
      </c>
      <c r="BS274" s="8" t="s">
        <v>182</v>
      </c>
      <c r="BT274" s="8" t="s">
        <v>183</v>
      </c>
      <c r="BU274" s="8" t="s">
        <v>106</v>
      </c>
      <c r="BV274" s="8" t="s">
        <v>123</v>
      </c>
      <c r="BW274" s="8" t="s">
        <v>110</v>
      </c>
    </row>
    <row r="275" spans="1:75" x14ac:dyDescent="0.35">
      <c r="A275" t="s">
        <v>1144</v>
      </c>
      <c r="B275" s="1">
        <v>45986</v>
      </c>
      <c r="C275" s="2">
        <v>0.13716435185185186</v>
      </c>
      <c r="D275" t="s">
        <v>112</v>
      </c>
      <c r="E275" t="s">
        <v>113</v>
      </c>
      <c r="F275" t="s">
        <v>114</v>
      </c>
      <c r="G275">
        <f>COUNTIF($F$2:$F$350,F275)</f>
        <v>42</v>
      </c>
      <c r="H275" t="s">
        <v>115</v>
      </c>
      <c r="I275" t="s">
        <v>82</v>
      </c>
      <c r="J275" t="s">
        <v>83</v>
      </c>
      <c r="K275" t="s">
        <v>84</v>
      </c>
      <c r="M275" t="s">
        <v>85</v>
      </c>
      <c r="N275" t="s">
        <v>116</v>
      </c>
      <c r="O275" t="s">
        <v>87</v>
      </c>
      <c r="P275" t="s">
        <v>88</v>
      </c>
      <c r="Q275" t="s">
        <v>89</v>
      </c>
      <c r="R275" t="s">
        <v>90</v>
      </c>
      <c r="S275" t="s">
        <v>91</v>
      </c>
      <c r="T275" t="s">
        <v>92</v>
      </c>
      <c r="U275" t="s">
        <v>93</v>
      </c>
      <c r="V275" t="s">
        <v>22</v>
      </c>
      <c r="X275" t="s">
        <v>94</v>
      </c>
      <c r="Y275" t="s">
        <v>95</v>
      </c>
      <c r="Z275" t="s">
        <v>96</v>
      </c>
      <c r="AA275" t="b">
        <v>0</v>
      </c>
      <c r="AC275">
        <v>0</v>
      </c>
      <c r="AD275">
        <v>115</v>
      </c>
      <c r="AI275" t="s">
        <v>117</v>
      </c>
      <c r="AJ275" t="s">
        <v>88</v>
      </c>
      <c r="AK275" t="s">
        <v>1145</v>
      </c>
      <c r="AL275" t="s">
        <v>88</v>
      </c>
      <c r="AM275" t="s">
        <v>88</v>
      </c>
      <c r="AN275" t="s">
        <v>88</v>
      </c>
      <c r="AO275">
        <v>1002</v>
      </c>
      <c r="AP275" t="s">
        <v>1146</v>
      </c>
      <c r="AQ275" t="s">
        <v>100</v>
      </c>
      <c r="AR275" t="s">
        <v>101</v>
      </c>
      <c r="AS275" t="s">
        <v>120</v>
      </c>
      <c r="AT275" t="s">
        <v>103</v>
      </c>
      <c r="AU275" t="s">
        <v>103</v>
      </c>
      <c r="AX275" t="s">
        <v>104</v>
      </c>
      <c r="AY275" t="s">
        <v>121</v>
      </c>
      <c r="AZ275" t="s">
        <v>100</v>
      </c>
      <c r="BA275" t="s">
        <v>101</v>
      </c>
      <c r="BB275" t="s">
        <v>102</v>
      </c>
      <c r="BC275" t="s">
        <v>103</v>
      </c>
      <c r="BD275" t="s">
        <v>103</v>
      </c>
      <c r="BF275" t="s">
        <v>107</v>
      </c>
      <c r="BG275">
        <v>16700</v>
      </c>
      <c r="BH275" t="s">
        <v>122</v>
      </c>
      <c r="BO275">
        <v>12</v>
      </c>
      <c r="BR275" t="s">
        <v>100</v>
      </c>
      <c r="BS275" t="s">
        <v>109</v>
      </c>
      <c r="BT275" t="s">
        <v>102</v>
      </c>
      <c r="BU275" t="s">
        <v>106</v>
      </c>
      <c r="BV275" t="s">
        <v>123</v>
      </c>
      <c r="BW275" t="s">
        <v>110</v>
      </c>
    </row>
    <row r="276" spans="1:75" s="8" customFormat="1" x14ac:dyDescent="0.35">
      <c r="A276" s="8" t="s">
        <v>1147</v>
      </c>
      <c r="B276" s="9">
        <v>45986</v>
      </c>
      <c r="C276" s="10">
        <v>0.10513888888888889</v>
      </c>
      <c r="D276" s="8" t="s">
        <v>78</v>
      </c>
      <c r="E276" s="8" t="s">
        <v>79</v>
      </c>
      <c r="F276" s="11" t="s">
        <v>80</v>
      </c>
      <c r="G276" s="8">
        <f>COUNTIF($F$2:$F$350,F276)</f>
        <v>38</v>
      </c>
      <c r="H276" s="8" t="s">
        <v>81</v>
      </c>
      <c r="I276" s="8" t="s">
        <v>82</v>
      </c>
      <c r="J276" s="8" t="s">
        <v>83</v>
      </c>
      <c r="K276" s="8" t="s">
        <v>84</v>
      </c>
      <c r="M276" s="8" t="s">
        <v>85</v>
      </c>
      <c r="N276" s="8" t="s">
        <v>86</v>
      </c>
      <c r="O276" s="8" t="s">
        <v>87</v>
      </c>
      <c r="P276" s="8" t="s">
        <v>88</v>
      </c>
      <c r="Q276" s="8" t="s">
        <v>89</v>
      </c>
      <c r="R276" s="8" t="s">
        <v>90</v>
      </c>
      <c r="S276" s="8" t="s">
        <v>91</v>
      </c>
      <c r="T276" s="8" t="s">
        <v>92</v>
      </c>
      <c r="U276" s="8" t="s">
        <v>93</v>
      </c>
      <c r="V276" s="8" t="s">
        <v>22</v>
      </c>
      <c r="X276" s="8" t="s">
        <v>94</v>
      </c>
      <c r="Y276" s="8" t="s">
        <v>95</v>
      </c>
      <c r="Z276" s="8" t="s">
        <v>96</v>
      </c>
      <c r="AA276" s="8" t="b">
        <v>0</v>
      </c>
      <c r="AC276" s="8">
        <v>0</v>
      </c>
      <c r="AD276" s="8">
        <v>75</v>
      </c>
      <c r="AI276" s="8" t="s">
        <v>97</v>
      </c>
      <c r="AJ276" s="8" t="s">
        <v>88</v>
      </c>
      <c r="AK276" s="8" t="s">
        <v>1148</v>
      </c>
      <c r="AL276" s="8" t="s">
        <v>88</v>
      </c>
      <c r="AM276" s="8" t="s">
        <v>88</v>
      </c>
      <c r="AN276" s="8" t="s">
        <v>88</v>
      </c>
      <c r="AO276" s="8">
        <v>1002</v>
      </c>
      <c r="AP276" s="8" t="s">
        <v>1149</v>
      </c>
      <c r="AQ276" s="8" t="s">
        <v>100</v>
      </c>
      <c r="AR276" s="8" t="s">
        <v>101</v>
      </c>
      <c r="AS276" s="8" t="s">
        <v>102</v>
      </c>
      <c r="AT276" s="8" t="s">
        <v>103</v>
      </c>
      <c r="AU276" s="8" t="s">
        <v>103</v>
      </c>
      <c r="AX276" s="8" t="s">
        <v>104</v>
      </c>
      <c r="AY276" s="8" t="s">
        <v>105</v>
      </c>
      <c r="AZ276" s="8" t="s">
        <v>100</v>
      </c>
      <c r="BA276" s="8" t="s">
        <v>101</v>
      </c>
      <c r="BB276" s="8" t="s">
        <v>102</v>
      </c>
      <c r="BC276" s="8" t="s">
        <v>103</v>
      </c>
      <c r="BD276" s="8" t="s">
        <v>106</v>
      </c>
      <c r="BF276" s="8" t="s">
        <v>107</v>
      </c>
      <c r="BG276" s="8">
        <v>16700</v>
      </c>
      <c r="BH276" s="8" t="s">
        <v>108</v>
      </c>
      <c r="BO276" s="8">
        <v>0</v>
      </c>
      <c r="BR276" s="8" t="s">
        <v>100</v>
      </c>
      <c r="BS276" s="8" t="s">
        <v>109</v>
      </c>
      <c r="BT276" s="8" t="s">
        <v>102</v>
      </c>
      <c r="BU276" s="8" t="s">
        <v>103</v>
      </c>
      <c r="BV276" s="8" t="s">
        <v>106</v>
      </c>
      <c r="BW276" s="8" t="s">
        <v>110</v>
      </c>
    </row>
    <row r="277" spans="1:75" s="8" customFormat="1" x14ac:dyDescent="0.35">
      <c r="A277" s="8" t="s">
        <v>1150</v>
      </c>
      <c r="B277" s="9">
        <v>45986</v>
      </c>
      <c r="C277" s="10">
        <v>1.8449074074074073E-2</v>
      </c>
      <c r="D277" s="8" t="s">
        <v>460</v>
      </c>
      <c r="E277" s="8" t="s">
        <v>461</v>
      </c>
      <c r="F277" s="11" t="s">
        <v>172</v>
      </c>
      <c r="G277" s="8">
        <f>COUNTIF($F$2:$F$350,F277)</f>
        <v>213</v>
      </c>
      <c r="H277" s="8" t="s">
        <v>115</v>
      </c>
      <c r="I277" s="8" t="s">
        <v>82</v>
      </c>
      <c r="J277" s="8" t="s">
        <v>83</v>
      </c>
      <c r="K277" s="8" t="s">
        <v>84</v>
      </c>
      <c r="M277" s="8" t="s">
        <v>85</v>
      </c>
      <c r="N277" s="8" t="s">
        <v>116</v>
      </c>
      <c r="O277" s="8" t="s">
        <v>87</v>
      </c>
      <c r="P277" s="8" t="s">
        <v>88</v>
      </c>
      <c r="Q277" s="8" t="s">
        <v>89</v>
      </c>
      <c r="R277" s="8" t="s">
        <v>90</v>
      </c>
      <c r="S277" s="8" t="s">
        <v>91</v>
      </c>
      <c r="T277" s="8" t="s">
        <v>92</v>
      </c>
      <c r="U277" s="8" t="s">
        <v>93</v>
      </c>
      <c r="V277" s="8" t="s">
        <v>22</v>
      </c>
      <c r="X277" s="8" t="s">
        <v>94</v>
      </c>
      <c r="Y277" s="8" t="s">
        <v>95</v>
      </c>
      <c r="Z277" s="8" t="s">
        <v>96</v>
      </c>
      <c r="AA277" s="8" t="b">
        <v>0</v>
      </c>
      <c r="AC277" s="8">
        <v>0</v>
      </c>
      <c r="AD277" s="8">
        <v>80</v>
      </c>
      <c r="AI277" s="8" t="s">
        <v>464</v>
      </c>
      <c r="AJ277" s="8" t="s">
        <v>88</v>
      </c>
      <c r="AK277" s="8" t="s">
        <v>1151</v>
      </c>
      <c r="AL277" s="8" t="s">
        <v>88</v>
      </c>
      <c r="AM277" s="8" t="s">
        <v>88</v>
      </c>
      <c r="AN277" s="8" t="s">
        <v>88</v>
      </c>
      <c r="AO277" s="8">
        <v>1002</v>
      </c>
      <c r="AP277" s="8" t="s">
        <v>1152</v>
      </c>
      <c r="AQ277" s="8" t="s">
        <v>100</v>
      </c>
      <c r="AR277" s="8" t="s">
        <v>101</v>
      </c>
      <c r="AS277" s="8" t="s">
        <v>120</v>
      </c>
      <c r="AT277" s="8" t="s">
        <v>103</v>
      </c>
      <c r="AU277" s="8" t="s">
        <v>103</v>
      </c>
      <c r="AX277" s="8" t="s">
        <v>104</v>
      </c>
      <c r="AY277" s="8" t="s">
        <v>121</v>
      </c>
      <c r="AZ277" s="8" t="s">
        <v>100</v>
      </c>
      <c r="BA277" s="8" t="s">
        <v>101</v>
      </c>
      <c r="BB277" s="8" t="s">
        <v>102</v>
      </c>
      <c r="BC277" s="8" t="s">
        <v>103</v>
      </c>
      <c r="BD277" s="8" t="s">
        <v>103</v>
      </c>
      <c r="BF277" s="8" t="s">
        <v>107</v>
      </c>
      <c r="BG277" s="8">
        <v>16700</v>
      </c>
      <c r="BH277" s="8" t="s">
        <v>122</v>
      </c>
      <c r="BO277" s="8">
        <v>12</v>
      </c>
      <c r="BR277" s="8" t="s">
        <v>100</v>
      </c>
      <c r="BS277" s="8" t="s">
        <v>182</v>
      </c>
      <c r="BT277" s="8" t="s">
        <v>183</v>
      </c>
      <c r="BU277" s="8" t="s">
        <v>106</v>
      </c>
      <c r="BV277" s="8" t="s">
        <v>123</v>
      </c>
      <c r="BW277" s="8" t="s">
        <v>110</v>
      </c>
    </row>
    <row r="278" spans="1:75" x14ac:dyDescent="0.35">
      <c r="A278" t="s">
        <v>1153</v>
      </c>
      <c r="B278" s="1">
        <v>45985</v>
      </c>
      <c r="C278" s="2">
        <v>0.98734953703703709</v>
      </c>
      <c r="D278" t="s">
        <v>78</v>
      </c>
      <c r="E278" t="s">
        <v>79</v>
      </c>
      <c r="F278" t="s">
        <v>1154</v>
      </c>
      <c r="G278">
        <f>COUNTIF($F$2:$F$350,F278)</f>
        <v>1</v>
      </c>
      <c r="H278" t="s">
        <v>115</v>
      </c>
      <c r="I278" t="s">
        <v>82</v>
      </c>
      <c r="J278" t="s">
        <v>83</v>
      </c>
      <c r="K278" t="s">
        <v>84</v>
      </c>
      <c r="M278" t="s">
        <v>85</v>
      </c>
      <c r="N278" t="s">
        <v>86</v>
      </c>
      <c r="O278" t="s">
        <v>87</v>
      </c>
      <c r="P278" t="s">
        <v>88</v>
      </c>
      <c r="Q278" t="s">
        <v>89</v>
      </c>
      <c r="R278" t="s">
        <v>90</v>
      </c>
      <c r="S278" t="s">
        <v>91</v>
      </c>
      <c r="T278" t="s">
        <v>92</v>
      </c>
      <c r="U278" t="s">
        <v>93</v>
      </c>
      <c r="V278" t="s">
        <v>22</v>
      </c>
      <c r="X278" t="s">
        <v>1155</v>
      </c>
      <c r="Z278" t="s">
        <v>1156</v>
      </c>
      <c r="AA278" t="b">
        <v>0</v>
      </c>
      <c r="AC278">
        <v>0</v>
      </c>
      <c r="AD278">
        <v>114</v>
      </c>
      <c r="AI278" t="s">
        <v>1157</v>
      </c>
      <c r="AJ278" t="s">
        <v>88</v>
      </c>
      <c r="AK278" t="s">
        <v>1158</v>
      </c>
      <c r="AL278" t="s">
        <v>88</v>
      </c>
      <c r="AM278" t="s">
        <v>88</v>
      </c>
      <c r="AN278" t="s">
        <v>88</v>
      </c>
      <c r="AO278">
        <v>1002</v>
      </c>
      <c r="AP278" t="s">
        <v>1159</v>
      </c>
      <c r="AQ278" t="s">
        <v>100</v>
      </c>
      <c r="AR278" t="s">
        <v>101</v>
      </c>
      <c r="AS278" t="s">
        <v>120</v>
      </c>
      <c r="AT278" t="s">
        <v>103</v>
      </c>
      <c r="AU278" t="s">
        <v>103</v>
      </c>
      <c r="AX278" t="s">
        <v>104</v>
      </c>
      <c r="AY278" t="s">
        <v>121</v>
      </c>
      <c r="AZ278" t="s">
        <v>100</v>
      </c>
      <c r="BA278" t="s">
        <v>101</v>
      </c>
      <c r="BB278" t="s">
        <v>102</v>
      </c>
      <c r="BC278" t="s">
        <v>103</v>
      </c>
      <c r="BD278" t="s">
        <v>103</v>
      </c>
      <c r="BF278" t="s">
        <v>107</v>
      </c>
      <c r="BG278">
        <v>16700</v>
      </c>
      <c r="BH278" t="s">
        <v>122</v>
      </c>
      <c r="BO278">
        <v>12</v>
      </c>
      <c r="BR278" t="s">
        <v>100</v>
      </c>
      <c r="BS278" t="s">
        <v>109</v>
      </c>
      <c r="BT278" t="s">
        <v>102</v>
      </c>
      <c r="BU278" t="s">
        <v>106</v>
      </c>
      <c r="BV278" t="s">
        <v>123</v>
      </c>
      <c r="BW278" t="s">
        <v>110</v>
      </c>
    </row>
    <row r="279" spans="1:75" x14ac:dyDescent="0.35">
      <c r="A279" t="s">
        <v>1160</v>
      </c>
      <c r="B279" s="1">
        <v>45985</v>
      </c>
      <c r="C279" s="2">
        <v>0.96841435185185187</v>
      </c>
      <c r="D279" t="s">
        <v>112</v>
      </c>
      <c r="E279" t="s">
        <v>113</v>
      </c>
      <c r="F279" t="s">
        <v>114</v>
      </c>
      <c r="G279">
        <f>COUNTIF($F$2:$F$350,F279)</f>
        <v>42</v>
      </c>
      <c r="H279" t="s">
        <v>115</v>
      </c>
      <c r="I279" t="s">
        <v>82</v>
      </c>
      <c r="J279" t="s">
        <v>83</v>
      </c>
      <c r="K279" t="s">
        <v>84</v>
      </c>
      <c r="M279" t="s">
        <v>85</v>
      </c>
      <c r="N279" t="s">
        <v>116</v>
      </c>
      <c r="O279" t="s">
        <v>87</v>
      </c>
      <c r="P279" t="s">
        <v>88</v>
      </c>
      <c r="Q279" t="s">
        <v>89</v>
      </c>
      <c r="R279" t="s">
        <v>90</v>
      </c>
      <c r="S279" t="s">
        <v>91</v>
      </c>
      <c r="T279" t="s">
        <v>92</v>
      </c>
      <c r="U279" t="s">
        <v>93</v>
      </c>
      <c r="V279" t="s">
        <v>22</v>
      </c>
      <c r="X279" t="s">
        <v>94</v>
      </c>
      <c r="Y279" t="s">
        <v>95</v>
      </c>
      <c r="Z279" t="s">
        <v>96</v>
      </c>
      <c r="AA279" t="b">
        <v>0</v>
      </c>
      <c r="AC279">
        <v>0</v>
      </c>
      <c r="AD279">
        <v>87</v>
      </c>
      <c r="AI279" t="s">
        <v>117</v>
      </c>
      <c r="AJ279" t="s">
        <v>88</v>
      </c>
      <c r="AK279" t="s">
        <v>1161</v>
      </c>
      <c r="AL279" t="s">
        <v>88</v>
      </c>
      <c r="AM279" t="s">
        <v>88</v>
      </c>
      <c r="AN279" t="s">
        <v>88</v>
      </c>
      <c r="AO279">
        <v>1002</v>
      </c>
      <c r="AP279" t="s">
        <v>1162</v>
      </c>
      <c r="AQ279" t="s">
        <v>100</v>
      </c>
      <c r="AR279" t="s">
        <v>101</v>
      </c>
      <c r="AS279" t="s">
        <v>120</v>
      </c>
      <c r="AT279" t="s">
        <v>103</v>
      </c>
      <c r="AU279" t="s">
        <v>103</v>
      </c>
      <c r="AX279" t="s">
        <v>104</v>
      </c>
      <c r="AY279" t="s">
        <v>121</v>
      </c>
      <c r="AZ279" t="s">
        <v>100</v>
      </c>
      <c r="BA279" t="s">
        <v>101</v>
      </c>
      <c r="BB279" t="s">
        <v>102</v>
      </c>
      <c r="BC279" t="s">
        <v>103</v>
      </c>
      <c r="BD279" t="s">
        <v>103</v>
      </c>
      <c r="BF279" t="s">
        <v>107</v>
      </c>
      <c r="BG279">
        <v>16700</v>
      </c>
      <c r="BH279" t="s">
        <v>122</v>
      </c>
      <c r="BO279">
        <v>12</v>
      </c>
      <c r="BR279" t="s">
        <v>100</v>
      </c>
      <c r="BS279" t="s">
        <v>109</v>
      </c>
      <c r="BT279" t="s">
        <v>102</v>
      </c>
      <c r="BU279" t="s">
        <v>106</v>
      </c>
      <c r="BV279" t="s">
        <v>123</v>
      </c>
      <c r="BW279" t="s">
        <v>110</v>
      </c>
    </row>
    <row r="280" spans="1:75" s="8" customFormat="1" x14ac:dyDescent="0.35">
      <c r="A280" s="8" t="s">
        <v>1163</v>
      </c>
      <c r="B280" s="9">
        <v>45985</v>
      </c>
      <c r="C280" s="10">
        <v>0.9349884259259259</v>
      </c>
      <c r="D280" s="8" t="s">
        <v>78</v>
      </c>
      <c r="E280" s="8" t="s">
        <v>79</v>
      </c>
      <c r="F280" s="11" t="s">
        <v>80</v>
      </c>
      <c r="G280" s="8">
        <f>COUNTIF($F$2:$F$350,F280)</f>
        <v>38</v>
      </c>
      <c r="H280" s="8" t="s">
        <v>81</v>
      </c>
      <c r="I280" s="8" t="s">
        <v>82</v>
      </c>
      <c r="J280" s="8" t="s">
        <v>83</v>
      </c>
      <c r="K280" s="8" t="s">
        <v>84</v>
      </c>
      <c r="M280" s="8" t="s">
        <v>85</v>
      </c>
      <c r="N280" s="8" t="s">
        <v>86</v>
      </c>
      <c r="O280" s="8" t="s">
        <v>87</v>
      </c>
      <c r="P280" s="8" t="s">
        <v>88</v>
      </c>
      <c r="Q280" s="8" t="s">
        <v>89</v>
      </c>
      <c r="R280" s="8" t="s">
        <v>90</v>
      </c>
      <c r="S280" s="8" t="s">
        <v>91</v>
      </c>
      <c r="T280" s="8" t="s">
        <v>92</v>
      </c>
      <c r="U280" s="8" t="s">
        <v>93</v>
      </c>
      <c r="V280" s="8" t="s">
        <v>22</v>
      </c>
      <c r="X280" s="8" t="s">
        <v>94</v>
      </c>
      <c r="Y280" s="8" t="s">
        <v>95</v>
      </c>
      <c r="Z280" s="8" t="s">
        <v>96</v>
      </c>
      <c r="AA280" s="8" t="b">
        <v>0</v>
      </c>
      <c r="AC280" s="8">
        <v>0</v>
      </c>
      <c r="AD280" s="8">
        <v>78</v>
      </c>
      <c r="AI280" s="8" t="s">
        <v>97</v>
      </c>
      <c r="AJ280" s="8" t="s">
        <v>88</v>
      </c>
      <c r="AK280" s="8" t="s">
        <v>1164</v>
      </c>
      <c r="AL280" s="8" t="s">
        <v>88</v>
      </c>
      <c r="AM280" s="8" t="s">
        <v>88</v>
      </c>
      <c r="AN280" s="8" t="s">
        <v>88</v>
      </c>
      <c r="AO280" s="8">
        <v>1002</v>
      </c>
      <c r="AP280" s="8" t="s">
        <v>1165</v>
      </c>
      <c r="AQ280" s="8" t="s">
        <v>100</v>
      </c>
      <c r="AR280" s="8" t="s">
        <v>101</v>
      </c>
      <c r="AS280" s="8" t="s">
        <v>102</v>
      </c>
      <c r="AT280" s="8" t="s">
        <v>103</v>
      </c>
      <c r="AU280" s="8" t="s">
        <v>103</v>
      </c>
      <c r="AX280" s="8" t="s">
        <v>104</v>
      </c>
      <c r="AY280" s="8" t="s">
        <v>105</v>
      </c>
      <c r="AZ280" s="8" t="s">
        <v>100</v>
      </c>
      <c r="BA280" s="8" t="s">
        <v>101</v>
      </c>
      <c r="BB280" s="8" t="s">
        <v>102</v>
      </c>
      <c r="BC280" s="8" t="s">
        <v>103</v>
      </c>
      <c r="BD280" s="8" t="s">
        <v>106</v>
      </c>
      <c r="BF280" s="8" t="s">
        <v>107</v>
      </c>
      <c r="BG280" s="8">
        <v>16700</v>
      </c>
      <c r="BH280" s="8" t="s">
        <v>108</v>
      </c>
      <c r="BO280" s="8">
        <v>0</v>
      </c>
      <c r="BR280" s="8" t="s">
        <v>100</v>
      </c>
      <c r="BS280" s="8" t="s">
        <v>109</v>
      </c>
      <c r="BT280" s="8" t="s">
        <v>102</v>
      </c>
      <c r="BU280" s="8" t="s">
        <v>103</v>
      </c>
      <c r="BV280" s="8" t="s">
        <v>106</v>
      </c>
      <c r="BW280" s="8" t="s">
        <v>110</v>
      </c>
    </row>
    <row r="281" spans="1:75" s="8" customFormat="1" x14ac:dyDescent="0.35">
      <c r="A281" s="8" t="s">
        <v>1166</v>
      </c>
      <c r="B281" s="9">
        <v>45985</v>
      </c>
      <c r="C281" s="10">
        <v>0.85107638888888892</v>
      </c>
      <c r="D281" s="8" t="s">
        <v>460</v>
      </c>
      <c r="E281" s="8" t="s">
        <v>461</v>
      </c>
      <c r="F281" s="11" t="s">
        <v>172</v>
      </c>
      <c r="G281" s="8">
        <f>COUNTIF($F$2:$F$350,F281)</f>
        <v>213</v>
      </c>
      <c r="H281" s="8" t="s">
        <v>115</v>
      </c>
      <c r="I281" s="8" t="s">
        <v>82</v>
      </c>
      <c r="J281" s="8" t="s">
        <v>83</v>
      </c>
      <c r="K281" s="8" t="s">
        <v>84</v>
      </c>
      <c r="M281" s="8" t="s">
        <v>85</v>
      </c>
      <c r="N281" s="8" t="s">
        <v>116</v>
      </c>
      <c r="O281" s="8" t="s">
        <v>87</v>
      </c>
      <c r="P281" s="8" t="s">
        <v>88</v>
      </c>
      <c r="Q281" s="8" t="s">
        <v>89</v>
      </c>
      <c r="R281" s="8" t="s">
        <v>90</v>
      </c>
      <c r="S281" s="8" t="s">
        <v>91</v>
      </c>
      <c r="T281" s="8" t="s">
        <v>92</v>
      </c>
      <c r="U281" s="8" t="s">
        <v>93</v>
      </c>
      <c r="V281" s="8" t="s">
        <v>22</v>
      </c>
      <c r="X281" s="8" t="s">
        <v>94</v>
      </c>
      <c r="Y281" s="8" t="s">
        <v>95</v>
      </c>
      <c r="Z281" s="8" t="s">
        <v>96</v>
      </c>
      <c r="AA281" s="8" t="b">
        <v>0</v>
      </c>
      <c r="AC281" s="8">
        <v>0</v>
      </c>
      <c r="AD281" s="8">
        <v>136</v>
      </c>
      <c r="AI281" s="8" t="s">
        <v>464</v>
      </c>
      <c r="AJ281" s="8" t="s">
        <v>88</v>
      </c>
      <c r="AK281" s="8" t="s">
        <v>1167</v>
      </c>
      <c r="AL281" s="8" t="s">
        <v>88</v>
      </c>
      <c r="AM281" s="8" t="s">
        <v>88</v>
      </c>
      <c r="AN281" s="8" t="s">
        <v>88</v>
      </c>
      <c r="AO281" s="8">
        <v>1002</v>
      </c>
      <c r="AP281" s="8" t="s">
        <v>1168</v>
      </c>
      <c r="AQ281" s="8" t="s">
        <v>100</v>
      </c>
      <c r="AR281" s="8" t="s">
        <v>101</v>
      </c>
      <c r="AS281" s="8" t="s">
        <v>120</v>
      </c>
      <c r="AT281" s="8" t="s">
        <v>103</v>
      </c>
      <c r="AU281" s="8" t="s">
        <v>103</v>
      </c>
      <c r="AX281" s="8" t="s">
        <v>104</v>
      </c>
      <c r="AY281" s="8" t="s">
        <v>121</v>
      </c>
      <c r="AZ281" s="8" t="s">
        <v>100</v>
      </c>
      <c r="BA281" s="8" t="s">
        <v>101</v>
      </c>
      <c r="BB281" s="8" t="s">
        <v>102</v>
      </c>
      <c r="BC281" s="8" t="s">
        <v>103</v>
      </c>
      <c r="BD281" s="8" t="s">
        <v>103</v>
      </c>
      <c r="BF281" s="8" t="s">
        <v>107</v>
      </c>
      <c r="BG281" s="8">
        <v>16700</v>
      </c>
      <c r="BH281" s="8" t="s">
        <v>122</v>
      </c>
      <c r="BO281" s="8">
        <v>12</v>
      </c>
      <c r="BR281" s="8" t="s">
        <v>100</v>
      </c>
      <c r="BS281" s="8" t="s">
        <v>182</v>
      </c>
      <c r="BT281" s="8" t="s">
        <v>183</v>
      </c>
      <c r="BU281" s="8" t="s">
        <v>106</v>
      </c>
      <c r="BV281" s="8" t="s">
        <v>123</v>
      </c>
      <c r="BW281" s="8" t="s">
        <v>110</v>
      </c>
    </row>
    <row r="282" spans="1:75" s="8" customFormat="1" x14ac:dyDescent="0.35">
      <c r="A282" s="8" t="s">
        <v>1169</v>
      </c>
      <c r="B282" s="9">
        <v>45985</v>
      </c>
      <c r="C282" s="10">
        <v>0.81806712962962969</v>
      </c>
      <c r="D282" s="8" t="s">
        <v>549</v>
      </c>
      <c r="E282" s="8" t="s">
        <v>550</v>
      </c>
      <c r="F282" s="11" t="s">
        <v>172</v>
      </c>
      <c r="G282" s="8">
        <f>COUNTIF($F$2:$F$350,F282)</f>
        <v>213</v>
      </c>
      <c r="H282" s="8" t="s">
        <v>115</v>
      </c>
      <c r="I282" s="8" t="s">
        <v>82</v>
      </c>
      <c r="J282" s="8" t="s">
        <v>83</v>
      </c>
      <c r="K282" s="8" t="s">
        <v>84</v>
      </c>
      <c r="M282" s="8" t="s">
        <v>85</v>
      </c>
      <c r="N282" s="8" t="s">
        <v>86</v>
      </c>
      <c r="O282" s="8" t="s">
        <v>87</v>
      </c>
      <c r="P282" s="8" t="s">
        <v>173</v>
      </c>
      <c r="Q282" s="8" t="s">
        <v>89</v>
      </c>
      <c r="R282" s="8" t="s">
        <v>90</v>
      </c>
      <c r="S282" s="8" t="s">
        <v>91</v>
      </c>
      <c r="T282" s="8" t="s">
        <v>92</v>
      </c>
      <c r="U282" s="8" t="s">
        <v>93</v>
      </c>
      <c r="V282" s="8" t="s">
        <v>22</v>
      </c>
      <c r="W282" s="8" t="s">
        <v>731</v>
      </c>
      <c r="X282" s="8" t="s">
        <v>177</v>
      </c>
      <c r="Y282" s="8" t="s">
        <v>95</v>
      </c>
      <c r="Z282" s="8" t="s">
        <v>189</v>
      </c>
      <c r="AA282" s="8" t="b">
        <v>0</v>
      </c>
      <c r="AC282" s="8">
        <v>0</v>
      </c>
      <c r="AD282" s="8">
        <v>111</v>
      </c>
      <c r="AI282" s="8" t="s">
        <v>732</v>
      </c>
      <c r="AJ282" s="8" t="s">
        <v>88</v>
      </c>
      <c r="AK282" s="8" t="s">
        <v>1170</v>
      </c>
      <c r="AL282" s="8" t="s">
        <v>88</v>
      </c>
      <c r="AM282" s="8" t="s">
        <v>88</v>
      </c>
      <c r="AN282" s="8" t="s">
        <v>88</v>
      </c>
      <c r="AP282" s="8" t="s">
        <v>1171</v>
      </c>
      <c r="AQ282" s="8" t="s">
        <v>100</v>
      </c>
      <c r="AR282" s="8" t="s">
        <v>101</v>
      </c>
      <c r="AS282" s="8" t="s">
        <v>120</v>
      </c>
      <c r="AT282" s="8" t="s">
        <v>103</v>
      </c>
      <c r="AU282" s="8" t="s">
        <v>103</v>
      </c>
      <c r="AX282" s="8" t="s">
        <v>104</v>
      </c>
      <c r="AY282" s="8" t="s">
        <v>121</v>
      </c>
      <c r="AZ282" s="8" t="s">
        <v>100</v>
      </c>
      <c r="BA282" s="8" t="s">
        <v>101</v>
      </c>
      <c r="BB282" s="8" t="s">
        <v>102</v>
      </c>
      <c r="BC282" s="8" t="s">
        <v>103</v>
      </c>
      <c r="BD282" s="8" t="s">
        <v>103</v>
      </c>
      <c r="BF282" s="8" t="s">
        <v>107</v>
      </c>
      <c r="BG282" s="8">
        <v>16700</v>
      </c>
      <c r="BH282" s="8" t="s">
        <v>122</v>
      </c>
      <c r="BO282" s="8">
        <v>12</v>
      </c>
      <c r="BR282" s="8" t="s">
        <v>100</v>
      </c>
      <c r="BS282" s="8" t="s">
        <v>182</v>
      </c>
      <c r="BT282" s="8" t="s">
        <v>183</v>
      </c>
      <c r="BU282" s="8" t="s">
        <v>106</v>
      </c>
      <c r="BV282" s="8" t="s">
        <v>123</v>
      </c>
      <c r="BW282" s="8" t="s">
        <v>110</v>
      </c>
    </row>
    <row r="283" spans="1:75" x14ac:dyDescent="0.35">
      <c r="A283" t="s">
        <v>1172</v>
      </c>
      <c r="B283" s="1">
        <v>45985</v>
      </c>
      <c r="C283" s="2">
        <v>0.79966435185185192</v>
      </c>
      <c r="D283" t="s">
        <v>112</v>
      </c>
      <c r="E283" t="s">
        <v>113</v>
      </c>
      <c r="F283" t="s">
        <v>114</v>
      </c>
      <c r="G283">
        <f>COUNTIF($F$2:$F$350,F283)</f>
        <v>42</v>
      </c>
      <c r="H283" t="s">
        <v>115</v>
      </c>
      <c r="I283" t="s">
        <v>82</v>
      </c>
      <c r="J283" t="s">
        <v>83</v>
      </c>
      <c r="K283" t="s">
        <v>84</v>
      </c>
      <c r="M283" t="s">
        <v>85</v>
      </c>
      <c r="N283" t="s">
        <v>116</v>
      </c>
      <c r="O283" t="s">
        <v>87</v>
      </c>
      <c r="P283" t="s">
        <v>88</v>
      </c>
      <c r="Q283" t="s">
        <v>89</v>
      </c>
      <c r="R283" t="s">
        <v>90</v>
      </c>
      <c r="S283" t="s">
        <v>91</v>
      </c>
      <c r="T283" t="s">
        <v>92</v>
      </c>
      <c r="U283" t="s">
        <v>93</v>
      </c>
      <c r="V283" t="s">
        <v>22</v>
      </c>
      <c r="X283" t="s">
        <v>94</v>
      </c>
      <c r="Y283" t="s">
        <v>95</v>
      </c>
      <c r="Z283" t="s">
        <v>96</v>
      </c>
      <c r="AA283" t="b">
        <v>0</v>
      </c>
      <c r="AC283">
        <v>0</v>
      </c>
      <c r="AD283">
        <v>83</v>
      </c>
      <c r="AI283" t="s">
        <v>117</v>
      </c>
      <c r="AJ283" t="s">
        <v>88</v>
      </c>
      <c r="AK283" t="s">
        <v>1173</v>
      </c>
      <c r="AL283" t="s">
        <v>88</v>
      </c>
      <c r="AM283" t="s">
        <v>88</v>
      </c>
      <c r="AN283" t="s">
        <v>88</v>
      </c>
      <c r="AO283">
        <v>1002</v>
      </c>
      <c r="AP283" t="s">
        <v>1174</v>
      </c>
      <c r="AQ283" t="s">
        <v>100</v>
      </c>
      <c r="AR283" t="s">
        <v>101</v>
      </c>
      <c r="AS283" t="s">
        <v>120</v>
      </c>
      <c r="AT283" t="s">
        <v>103</v>
      </c>
      <c r="AU283" t="s">
        <v>103</v>
      </c>
      <c r="AX283" t="s">
        <v>104</v>
      </c>
      <c r="AY283" t="s">
        <v>121</v>
      </c>
      <c r="AZ283" t="s">
        <v>100</v>
      </c>
      <c r="BA283" t="s">
        <v>101</v>
      </c>
      <c r="BB283" t="s">
        <v>102</v>
      </c>
      <c r="BC283" t="s">
        <v>103</v>
      </c>
      <c r="BD283" t="s">
        <v>103</v>
      </c>
      <c r="BF283" t="s">
        <v>107</v>
      </c>
      <c r="BG283">
        <v>16700</v>
      </c>
      <c r="BH283" t="s">
        <v>122</v>
      </c>
      <c r="BO283">
        <v>12</v>
      </c>
      <c r="BR283" t="s">
        <v>100</v>
      </c>
      <c r="BS283" t="s">
        <v>109</v>
      </c>
      <c r="BT283" t="s">
        <v>102</v>
      </c>
      <c r="BU283" t="s">
        <v>106</v>
      </c>
      <c r="BV283" t="s">
        <v>123</v>
      </c>
      <c r="BW283" t="s">
        <v>110</v>
      </c>
    </row>
    <row r="284" spans="1:75" s="8" customFormat="1" x14ac:dyDescent="0.35">
      <c r="A284" s="8" t="s">
        <v>1175</v>
      </c>
      <c r="B284" s="9">
        <v>45985</v>
      </c>
      <c r="C284" s="10">
        <v>0.79961805555555554</v>
      </c>
      <c r="D284" s="8" t="s">
        <v>209</v>
      </c>
      <c r="E284" s="8" t="s">
        <v>210</v>
      </c>
      <c r="F284" s="11" t="s">
        <v>172</v>
      </c>
      <c r="G284" s="8">
        <f>COUNTIF($F$2:$F$350,F284)</f>
        <v>213</v>
      </c>
      <c r="H284" s="8" t="s">
        <v>115</v>
      </c>
      <c r="I284" s="8" t="s">
        <v>82</v>
      </c>
      <c r="J284" s="8" t="s">
        <v>83</v>
      </c>
      <c r="K284" s="8" t="s">
        <v>84</v>
      </c>
      <c r="M284" s="8" t="s">
        <v>85</v>
      </c>
      <c r="N284" s="8" t="s">
        <v>86</v>
      </c>
      <c r="O284" s="8" t="s">
        <v>87</v>
      </c>
      <c r="P284" s="8" t="s">
        <v>88</v>
      </c>
      <c r="Q284" s="8" t="s">
        <v>89</v>
      </c>
      <c r="R284" s="8" t="s">
        <v>90</v>
      </c>
      <c r="S284" s="8" t="s">
        <v>91</v>
      </c>
      <c r="T284" s="8" t="s">
        <v>92</v>
      </c>
      <c r="U284" s="8" t="s">
        <v>93</v>
      </c>
      <c r="V284" s="8" t="s">
        <v>22</v>
      </c>
      <c r="X284" s="8" t="s">
        <v>177</v>
      </c>
      <c r="Y284" s="8" t="s">
        <v>95</v>
      </c>
      <c r="Z284" s="8" t="s">
        <v>189</v>
      </c>
      <c r="AA284" s="8" t="b">
        <v>0</v>
      </c>
      <c r="AC284" s="8">
        <v>0</v>
      </c>
      <c r="AD284" s="8">
        <v>79</v>
      </c>
      <c r="AI284" s="8" t="s">
        <v>213</v>
      </c>
      <c r="AJ284" s="8" t="s">
        <v>88</v>
      </c>
      <c r="AK284" s="8" t="s">
        <v>1176</v>
      </c>
      <c r="AL284" s="8" t="s">
        <v>88</v>
      </c>
      <c r="AM284" s="8" t="s">
        <v>88</v>
      </c>
      <c r="AN284" s="8" t="s">
        <v>88</v>
      </c>
      <c r="AO284" s="8">
        <v>1002</v>
      </c>
      <c r="AP284" s="8" t="s">
        <v>1177</v>
      </c>
      <c r="AQ284" s="8" t="s">
        <v>100</v>
      </c>
      <c r="AR284" s="8" t="s">
        <v>101</v>
      </c>
      <c r="AS284" s="8" t="s">
        <v>120</v>
      </c>
      <c r="AT284" s="8" t="s">
        <v>103</v>
      </c>
      <c r="AU284" s="8" t="s">
        <v>103</v>
      </c>
      <c r="AX284" s="8" t="s">
        <v>104</v>
      </c>
      <c r="AY284" s="8" t="s">
        <v>121</v>
      </c>
      <c r="AZ284" s="8" t="s">
        <v>100</v>
      </c>
      <c r="BA284" s="8" t="s">
        <v>101</v>
      </c>
      <c r="BB284" s="8" t="s">
        <v>102</v>
      </c>
      <c r="BC284" s="8" t="s">
        <v>103</v>
      </c>
      <c r="BD284" s="8" t="s">
        <v>103</v>
      </c>
      <c r="BF284" s="8" t="s">
        <v>107</v>
      </c>
      <c r="BG284" s="8">
        <v>16700</v>
      </c>
      <c r="BH284" s="8" t="s">
        <v>122</v>
      </c>
      <c r="BO284" s="8">
        <v>12</v>
      </c>
      <c r="BR284" s="8" t="s">
        <v>100</v>
      </c>
      <c r="BS284" s="8" t="s">
        <v>182</v>
      </c>
      <c r="BT284" s="8" t="s">
        <v>183</v>
      </c>
      <c r="BU284" s="8" t="s">
        <v>106</v>
      </c>
      <c r="BV284" s="8" t="s">
        <v>123</v>
      </c>
      <c r="BW284" s="8" t="s">
        <v>110</v>
      </c>
    </row>
    <row r="285" spans="1:75" x14ac:dyDescent="0.35">
      <c r="A285" t="s">
        <v>1178</v>
      </c>
      <c r="B285" s="1">
        <v>45985</v>
      </c>
      <c r="C285" s="2">
        <v>0.7882407407407408</v>
      </c>
      <c r="D285" t="s">
        <v>125</v>
      </c>
      <c r="E285" t="s">
        <v>126</v>
      </c>
      <c r="F285" t="s">
        <v>1179</v>
      </c>
      <c r="G285">
        <f>COUNTIF($F$2:$F$350,F285)</f>
        <v>1</v>
      </c>
      <c r="H285" t="s">
        <v>678</v>
      </c>
      <c r="I285" t="s">
        <v>82</v>
      </c>
      <c r="J285" t="s">
        <v>83</v>
      </c>
      <c r="K285" t="s">
        <v>361</v>
      </c>
      <c r="L285">
        <v>50126</v>
      </c>
      <c r="M285" t="s">
        <v>85</v>
      </c>
      <c r="N285" t="s">
        <v>86</v>
      </c>
      <c r="O285" t="s">
        <v>87</v>
      </c>
      <c r="P285" t="s">
        <v>88</v>
      </c>
      <c r="Q285" t="s">
        <v>155</v>
      </c>
      <c r="R285" t="s">
        <v>156</v>
      </c>
      <c r="S285" t="s">
        <v>155</v>
      </c>
      <c r="T285" t="s">
        <v>156</v>
      </c>
      <c r="U285" t="s">
        <v>362</v>
      </c>
      <c r="V285" t="s">
        <v>22</v>
      </c>
      <c r="X285" t="s">
        <v>826</v>
      </c>
      <c r="Y285" t="s">
        <v>95</v>
      </c>
      <c r="Z285" t="s">
        <v>827</v>
      </c>
      <c r="AA285" t="b">
        <v>0</v>
      </c>
      <c r="AC285">
        <v>0</v>
      </c>
      <c r="AD285">
        <v>263</v>
      </c>
      <c r="AE285" t="s">
        <v>365</v>
      </c>
      <c r="AH285" t="s">
        <v>126</v>
      </c>
      <c r="AJ285" t="s">
        <v>88</v>
      </c>
      <c r="AK285" t="s">
        <v>1180</v>
      </c>
      <c r="AL285" t="s">
        <v>88</v>
      </c>
      <c r="AM285" t="s">
        <v>88</v>
      </c>
      <c r="AN285" t="s">
        <v>88</v>
      </c>
      <c r="AP285" t="s">
        <v>1181</v>
      </c>
      <c r="AQ285" t="s">
        <v>100</v>
      </c>
      <c r="AT285" t="s">
        <v>1182</v>
      </c>
      <c r="AU285" t="s">
        <v>1182</v>
      </c>
      <c r="AX285" t="s">
        <v>1183</v>
      </c>
      <c r="AY285" t="s">
        <v>1184</v>
      </c>
      <c r="AZ285" t="s">
        <v>100</v>
      </c>
      <c r="BA285" t="s">
        <v>101</v>
      </c>
      <c r="BB285" t="s">
        <v>682</v>
      </c>
      <c r="BC285" t="s">
        <v>1182</v>
      </c>
      <c r="BD285" t="s">
        <v>1185</v>
      </c>
      <c r="BF285" t="s">
        <v>1186</v>
      </c>
      <c r="BG285">
        <v>20081</v>
      </c>
      <c r="BH285" t="s">
        <v>1187</v>
      </c>
      <c r="BO285">
        <v>0</v>
      </c>
      <c r="BR285" t="s">
        <v>100</v>
      </c>
      <c r="BS285" t="s">
        <v>688</v>
      </c>
      <c r="BT285" t="s">
        <v>682</v>
      </c>
      <c r="BU285" t="s">
        <v>1182</v>
      </c>
      <c r="BV285" t="s">
        <v>1185</v>
      </c>
      <c r="BW285" t="s">
        <v>110</v>
      </c>
    </row>
    <row r="286" spans="1:75" s="8" customFormat="1" x14ac:dyDescent="0.35">
      <c r="A286" s="8" t="s">
        <v>1188</v>
      </c>
      <c r="B286" s="9">
        <v>45985</v>
      </c>
      <c r="C286" s="10">
        <v>0.76995370370370375</v>
      </c>
      <c r="D286" s="8" t="s">
        <v>385</v>
      </c>
      <c r="E286" s="8" t="s">
        <v>386</v>
      </c>
      <c r="F286" s="11" t="s">
        <v>172</v>
      </c>
      <c r="G286" s="8">
        <f>COUNTIF($F$2:$F$350,F286)</f>
        <v>213</v>
      </c>
      <c r="H286" s="8" t="s">
        <v>115</v>
      </c>
      <c r="I286" s="8" t="s">
        <v>82</v>
      </c>
      <c r="J286" s="8" t="s">
        <v>83</v>
      </c>
      <c r="K286" s="8" t="s">
        <v>84</v>
      </c>
      <c r="M286" s="8" t="s">
        <v>85</v>
      </c>
      <c r="N286" s="8" t="s">
        <v>116</v>
      </c>
      <c r="O286" s="8" t="s">
        <v>87</v>
      </c>
      <c r="P286" s="8" t="s">
        <v>88</v>
      </c>
      <c r="Q286" s="8" t="s">
        <v>89</v>
      </c>
      <c r="R286" s="8" t="s">
        <v>90</v>
      </c>
      <c r="S286" s="8" t="s">
        <v>91</v>
      </c>
      <c r="T286" s="8" t="s">
        <v>92</v>
      </c>
      <c r="U286" s="8" t="s">
        <v>93</v>
      </c>
      <c r="V286" s="8" t="s">
        <v>22</v>
      </c>
      <c r="X286" s="8" t="s">
        <v>387</v>
      </c>
      <c r="Y286" s="8" t="s">
        <v>95</v>
      </c>
      <c r="Z286" s="8" t="s">
        <v>388</v>
      </c>
      <c r="AA286" s="8" t="b">
        <v>0</v>
      </c>
      <c r="AC286" s="8">
        <v>0</v>
      </c>
      <c r="AD286" s="8">
        <v>140</v>
      </c>
      <c r="AI286" s="12" t="s">
        <v>389</v>
      </c>
      <c r="AJ286" s="8" t="s">
        <v>88</v>
      </c>
      <c r="AK286" s="8" t="s">
        <v>1189</v>
      </c>
      <c r="AL286" s="8" t="s">
        <v>88</v>
      </c>
      <c r="AM286" s="8" t="s">
        <v>88</v>
      </c>
      <c r="AN286" s="8" t="s">
        <v>88</v>
      </c>
      <c r="AO286" s="8">
        <v>1002</v>
      </c>
      <c r="AP286" s="8" t="s">
        <v>1190</v>
      </c>
      <c r="AQ286" s="8" t="s">
        <v>100</v>
      </c>
      <c r="AR286" s="8" t="s">
        <v>101</v>
      </c>
      <c r="AS286" s="8" t="s">
        <v>120</v>
      </c>
      <c r="AT286" s="8" t="s">
        <v>103</v>
      </c>
      <c r="AU286" s="8" t="s">
        <v>103</v>
      </c>
      <c r="AX286" s="8" t="s">
        <v>104</v>
      </c>
      <c r="AY286" s="8" t="s">
        <v>121</v>
      </c>
      <c r="AZ286" s="8" t="s">
        <v>100</v>
      </c>
      <c r="BA286" s="8" t="s">
        <v>101</v>
      </c>
      <c r="BB286" s="8" t="s">
        <v>102</v>
      </c>
      <c r="BC286" s="8" t="s">
        <v>103</v>
      </c>
      <c r="BD286" s="8" t="s">
        <v>103</v>
      </c>
      <c r="BF286" s="8" t="s">
        <v>107</v>
      </c>
      <c r="BG286" s="8">
        <v>16700</v>
      </c>
      <c r="BH286" s="8" t="s">
        <v>122</v>
      </c>
      <c r="BO286" s="8">
        <v>12</v>
      </c>
      <c r="BR286" s="8" t="s">
        <v>100</v>
      </c>
      <c r="BS286" s="8" t="s">
        <v>182</v>
      </c>
      <c r="BT286" s="8" t="s">
        <v>183</v>
      </c>
      <c r="BU286" s="8" t="s">
        <v>106</v>
      </c>
      <c r="BV286" s="8" t="s">
        <v>123</v>
      </c>
      <c r="BW286" s="8" t="s">
        <v>110</v>
      </c>
    </row>
    <row r="287" spans="1:75" s="8" customFormat="1" x14ac:dyDescent="0.35">
      <c r="A287" s="8" t="s">
        <v>1191</v>
      </c>
      <c r="B287" s="9">
        <v>45985</v>
      </c>
      <c r="C287" s="10">
        <v>0.76981481481481484</v>
      </c>
      <c r="D287" s="8" t="s">
        <v>385</v>
      </c>
      <c r="E287" s="8" t="s">
        <v>386</v>
      </c>
      <c r="F287" s="11" t="s">
        <v>172</v>
      </c>
      <c r="G287" s="8">
        <f>COUNTIF($F$2:$F$350,F287)</f>
        <v>213</v>
      </c>
      <c r="H287" s="8" t="s">
        <v>115</v>
      </c>
      <c r="I287" s="8" t="s">
        <v>82</v>
      </c>
      <c r="J287" s="8" t="s">
        <v>83</v>
      </c>
      <c r="K287" s="8" t="s">
        <v>84</v>
      </c>
      <c r="M287" s="8" t="s">
        <v>85</v>
      </c>
      <c r="N287" s="8" t="s">
        <v>116</v>
      </c>
      <c r="O287" s="8" t="s">
        <v>87</v>
      </c>
      <c r="P287" s="8" t="s">
        <v>88</v>
      </c>
      <c r="Q287" s="8" t="s">
        <v>89</v>
      </c>
      <c r="R287" s="8" t="s">
        <v>90</v>
      </c>
      <c r="S287" s="8" t="s">
        <v>91</v>
      </c>
      <c r="T287" s="8" t="s">
        <v>92</v>
      </c>
      <c r="U287" s="8" t="s">
        <v>93</v>
      </c>
      <c r="V287" s="8" t="s">
        <v>22</v>
      </c>
      <c r="X287" s="8" t="s">
        <v>387</v>
      </c>
      <c r="Y287" s="8" t="s">
        <v>95</v>
      </c>
      <c r="Z287" s="8" t="s">
        <v>388</v>
      </c>
      <c r="AA287" s="8" t="b">
        <v>0</v>
      </c>
      <c r="AC287" s="8">
        <v>0</v>
      </c>
      <c r="AD287" s="8">
        <v>88</v>
      </c>
      <c r="AI287" s="12" t="s">
        <v>389</v>
      </c>
      <c r="AJ287" s="8" t="s">
        <v>88</v>
      </c>
      <c r="AK287" s="8" t="s">
        <v>1192</v>
      </c>
      <c r="AL287" s="8" t="s">
        <v>88</v>
      </c>
      <c r="AM287" s="8" t="s">
        <v>88</v>
      </c>
      <c r="AN287" s="8" t="s">
        <v>88</v>
      </c>
      <c r="AO287" s="8">
        <v>1002</v>
      </c>
      <c r="AP287" s="8" t="s">
        <v>1193</v>
      </c>
      <c r="AQ287" s="8" t="s">
        <v>100</v>
      </c>
      <c r="AR287" s="8" t="s">
        <v>101</v>
      </c>
      <c r="AS287" s="8" t="s">
        <v>120</v>
      </c>
      <c r="AT287" s="8" t="s">
        <v>103</v>
      </c>
      <c r="AU287" s="8" t="s">
        <v>103</v>
      </c>
      <c r="AX287" s="8" t="s">
        <v>104</v>
      </c>
      <c r="AY287" s="8" t="s">
        <v>121</v>
      </c>
      <c r="AZ287" s="8" t="s">
        <v>100</v>
      </c>
      <c r="BA287" s="8" t="s">
        <v>101</v>
      </c>
      <c r="BB287" s="8" t="s">
        <v>102</v>
      </c>
      <c r="BC287" s="8" t="s">
        <v>103</v>
      </c>
      <c r="BD287" s="8" t="s">
        <v>103</v>
      </c>
      <c r="BF287" s="8" t="s">
        <v>107</v>
      </c>
      <c r="BG287" s="8">
        <v>16700</v>
      </c>
      <c r="BH287" s="8" t="s">
        <v>122</v>
      </c>
      <c r="BO287" s="8">
        <v>12</v>
      </c>
      <c r="BR287" s="8" t="s">
        <v>100</v>
      </c>
      <c r="BS287" s="8" t="s">
        <v>182</v>
      </c>
      <c r="BT287" s="8" t="s">
        <v>183</v>
      </c>
      <c r="BU287" s="8" t="s">
        <v>106</v>
      </c>
      <c r="BV287" s="8" t="s">
        <v>123</v>
      </c>
      <c r="BW287" s="8" t="s">
        <v>110</v>
      </c>
    </row>
    <row r="288" spans="1:75" s="8" customFormat="1" x14ac:dyDescent="0.35">
      <c r="A288" s="8" t="s">
        <v>1194</v>
      </c>
      <c r="B288" s="9">
        <v>45985</v>
      </c>
      <c r="C288" s="10">
        <v>0.76415509259259251</v>
      </c>
      <c r="D288" s="8" t="s">
        <v>78</v>
      </c>
      <c r="E288" s="8" t="s">
        <v>79</v>
      </c>
      <c r="F288" s="11" t="s">
        <v>80</v>
      </c>
      <c r="G288" s="8">
        <f>COUNTIF($F$2:$F$350,F288)</f>
        <v>38</v>
      </c>
      <c r="H288" s="8" t="s">
        <v>81</v>
      </c>
      <c r="I288" s="8" t="s">
        <v>82</v>
      </c>
      <c r="J288" s="8" t="s">
        <v>83</v>
      </c>
      <c r="K288" s="8" t="s">
        <v>84</v>
      </c>
      <c r="M288" s="8" t="s">
        <v>85</v>
      </c>
      <c r="N288" s="8" t="s">
        <v>86</v>
      </c>
      <c r="O288" s="8" t="s">
        <v>87</v>
      </c>
      <c r="P288" s="8" t="s">
        <v>88</v>
      </c>
      <c r="Q288" s="8" t="s">
        <v>89</v>
      </c>
      <c r="R288" s="8" t="s">
        <v>90</v>
      </c>
      <c r="S288" s="8" t="s">
        <v>91</v>
      </c>
      <c r="T288" s="8" t="s">
        <v>92</v>
      </c>
      <c r="U288" s="8" t="s">
        <v>93</v>
      </c>
      <c r="V288" s="8" t="s">
        <v>22</v>
      </c>
      <c r="X288" s="8" t="s">
        <v>94</v>
      </c>
      <c r="Y288" s="8" t="s">
        <v>95</v>
      </c>
      <c r="Z288" s="8" t="s">
        <v>96</v>
      </c>
      <c r="AA288" s="8" t="b">
        <v>0</v>
      </c>
      <c r="AC288" s="8">
        <v>0</v>
      </c>
      <c r="AD288" s="8">
        <v>122</v>
      </c>
      <c r="AI288" s="8" t="s">
        <v>97</v>
      </c>
      <c r="AJ288" s="8" t="s">
        <v>88</v>
      </c>
      <c r="AK288" s="8" t="s">
        <v>1195</v>
      </c>
      <c r="AL288" s="8" t="s">
        <v>88</v>
      </c>
      <c r="AM288" s="8" t="s">
        <v>88</v>
      </c>
      <c r="AN288" s="8" t="s">
        <v>88</v>
      </c>
      <c r="AO288" s="8">
        <v>1002</v>
      </c>
      <c r="AP288" s="8" t="s">
        <v>1196</v>
      </c>
      <c r="AQ288" s="8" t="s">
        <v>100</v>
      </c>
      <c r="AR288" s="8" t="s">
        <v>101</v>
      </c>
      <c r="AS288" s="8" t="s">
        <v>102</v>
      </c>
      <c r="AT288" s="8" t="s">
        <v>103</v>
      </c>
      <c r="AU288" s="8" t="s">
        <v>103</v>
      </c>
      <c r="AX288" s="8" t="s">
        <v>104</v>
      </c>
      <c r="AY288" s="8" t="s">
        <v>105</v>
      </c>
      <c r="AZ288" s="8" t="s">
        <v>100</v>
      </c>
      <c r="BA288" s="8" t="s">
        <v>101</v>
      </c>
      <c r="BB288" s="8" t="s">
        <v>102</v>
      </c>
      <c r="BC288" s="8" t="s">
        <v>103</v>
      </c>
      <c r="BD288" s="8" t="s">
        <v>106</v>
      </c>
      <c r="BF288" s="8" t="s">
        <v>107</v>
      </c>
      <c r="BG288" s="8">
        <v>16700</v>
      </c>
      <c r="BH288" s="8" t="s">
        <v>108</v>
      </c>
      <c r="BO288" s="8">
        <v>0</v>
      </c>
      <c r="BR288" s="8" t="s">
        <v>100</v>
      </c>
      <c r="BS288" s="8" t="s">
        <v>109</v>
      </c>
      <c r="BT288" s="8" t="s">
        <v>102</v>
      </c>
      <c r="BU288" s="8" t="s">
        <v>103</v>
      </c>
      <c r="BV288" s="8" t="s">
        <v>106</v>
      </c>
      <c r="BW288" s="8" t="s">
        <v>110</v>
      </c>
    </row>
    <row r="289" spans="1:75" x14ac:dyDescent="0.35">
      <c r="A289" t="s">
        <v>1197</v>
      </c>
      <c r="B289" s="1">
        <v>45985</v>
      </c>
      <c r="C289" s="2">
        <v>0.75922453703703707</v>
      </c>
      <c r="D289" t="s">
        <v>393</v>
      </c>
      <c r="E289" t="s">
        <v>394</v>
      </c>
      <c r="F289" t="s">
        <v>1198</v>
      </c>
      <c r="G289">
        <f>COUNTIF($F$2:$F$350,F289)</f>
        <v>1</v>
      </c>
      <c r="H289" t="s">
        <v>81</v>
      </c>
      <c r="I289" t="s">
        <v>82</v>
      </c>
      <c r="J289" t="s">
        <v>83</v>
      </c>
      <c r="K289" t="s">
        <v>84</v>
      </c>
      <c r="M289" t="s">
        <v>85</v>
      </c>
      <c r="N289" t="s">
        <v>86</v>
      </c>
      <c r="O289" t="s">
        <v>87</v>
      </c>
      <c r="P289" t="s">
        <v>173</v>
      </c>
      <c r="Q289" t="s">
        <v>89</v>
      </c>
      <c r="R289" t="s">
        <v>90</v>
      </c>
      <c r="S289" t="s">
        <v>91</v>
      </c>
      <c r="T289" t="s">
        <v>92</v>
      </c>
      <c r="U289" t="s">
        <v>93</v>
      </c>
      <c r="V289" t="s">
        <v>22</v>
      </c>
      <c r="W289" t="s">
        <v>420</v>
      </c>
      <c r="X289" t="s">
        <v>421</v>
      </c>
      <c r="Y289" t="s">
        <v>95</v>
      </c>
      <c r="Z289" t="s">
        <v>422</v>
      </c>
      <c r="AA289" t="b">
        <v>0</v>
      </c>
      <c r="AC289">
        <v>0</v>
      </c>
      <c r="AD289">
        <v>107</v>
      </c>
      <c r="AI289" t="s">
        <v>423</v>
      </c>
      <c r="AJ289" t="s">
        <v>88</v>
      </c>
      <c r="AK289" t="s">
        <v>1199</v>
      </c>
      <c r="AL289" t="s">
        <v>88</v>
      </c>
      <c r="AM289" t="s">
        <v>88</v>
      </c>
      <c r="AN289" t="s">
        <v>88</v>
      </c>
      <c r="AP289" t="s">
        <v>1200</v>
      </c>
      <c r="AQ289" t="s">
        <v>100</v>
      </c>
      <c r="AR289" t="s">
        <v>101</v>
      </c>
      <c r="AS289" t="s">
        <v>102</v>
      </c>
      <c r="AT289" t="s">
        <v>426</v>
      </c>
      <c r="AU289" t="s">
        <v>426</v>
      </c>
      <c r="AX289" t="s">
        <v>427</v>
      </c>
      <c r="AY289" t="s">
        <v>428</v>
      </c>
      <c r="AZ289" t="s">
        <v>100</v>
      </c>
      <c r="BA289" t="s">
        <v>101</v>
      </c>
      <c r="BB289" t="s">
        <v>102</v>
      </c>
      <c r="BC289" t="s">
        <v>429</v>
      </c>
      <c r="BD289" t="s">
        <v>429</v>
      </c>
      <c r="BF289" t="s">
        <v>143</v>
      </c>
      <c r="BG289">
        <v>7018</v>
      </c>
      <c r="BH289" t="s">
        <v>430</v>
      </c>
      <c r="BO289">
        <v>5</v>
      </c>
      <c r="BR289" t="s">
        <v>100</v>
      </c>
      <c r="BS289" t="s">
        <v>109</v>
      </c>
      <c r="BT289" t="s">
        <v>102</v>
      </c>
      <c r="BU289" t="s">
        <v>429</v>
      </c>
      <c r="BV289" t="s">
        <v>431</v>
      </c>
      <c r="BW289" t="s">
        <v>110</v>
      </c>
    </row>
    <row r="290" spans="1:75" s="8" customFormat="1" x14ac:dyDescent="0.35">
      <c r="A290" s="8" t="s">
        <v>1201</v>
      </c>
      <c r="B290" s="9">
        <v>45985</v>
      </c>
      <c r="C290" s="10">
        <v>0.68547453703703709</v>
      </c>
      <c r="D290" s="8" t="s">
        <v>659</v>
      </c>
      <c r="E290" s="8" t="s">
        <v>660</v>
      </c>
      <c r="F290" s="11" t="s">
        <v>172</v>
      </c>
      <c r="G290" s="8">
        <f>COUNTIF($F$2:$F$350,F290)</f>
        <v>213</v>
      </c>
      <c r="H290" s="8" t="s">
        <v>115</v>
      </c>
      <c r="I290" s="8" t="s">
        <v>82</v>
      </c>
      <c r="J290" s="8" t="s">
        <v>83</v>
      </c>
      <c r="K290" s="8" t="s">
        <v>84</v>
      </c>
      <c r="M290" s="8" t="s">
        <v>85</v>
      </c>
      <c r="N290" s="8" t="s">
        <v>86</v>
      </c>
      <c r="O290" s="8" t="s">
        <v>87</v>
      </c>
      <c r="P290" s="8" t="s">
        <v>173</v>
      </c>
      <c r="Q290" s="8" t="s">
        <v>89</v>
      </c>
      <c r="R290" s="8" t="s">
        <v>90</v>
      </c>
      <c r="S290" s="8" t="s">
        <v>91</v>
      </c>
      <c r="T290" s="8" t="s">
        <v>92</v>
      </c>
      <c r="U290" s="8" t="s">
        <v>93</v>
      </c>
      <c r="V290" s="8" t="s">
        <v>22</v>
      </c>
      <c r="W290" s="8" t="s">
        <v>661</v>
      </c>
      <c r="X290" s="8" t="s">
        <v>177</v>
      </c>
      <c r="Y290" s="8" t="s">
        <v>95</v>
      </c>
      <c r="Z290" s="8" t="s">
        <v>189</v>
      </c>
      <c r="AA290" s="8" t="b">
        <v>0</v>
      </c>
      <c r="AC290" s="8">
        <v>0</v>
      </c>
      <c r="AD290" s="8">
        <v>152</v>
      </c>
      <c r="AI290" s="8" t="s">
        <v>662</v>
      </c>
      <c r="AJ290" s="8" t="s">
        <v>88</v>
      </c>
      <c r="AK290" s="8" t="s">
        <v>1202</v>
      </c>
      <c r="AL290" s="8" t="s">
        <v>88</v>
      </c>
      <c r="AM290" s="8" t="s">
        <v>88</v>
      </c>
      <c r="AN290" s="8" t="s">
        <v>88</v>
      </c>
      <c r="AP290" s="8" t="s">
        <v>1203</v>
      </c>
      <c r="AQ290" s="8" t="s">
        <v>100</v>
      </c>
      <c r="AR290" s="8" t="s">
        <v>101</v>
      </c>
      <c r="AS290" s="8" t="s">
        <v>120</v>
      </c>
      <c r="AT290" s="8" t="s">
        <v>103</v>
      </c>
      <c r="AU290" s="8" t="s">
        <v>103</v>
      </c>
      <c r="AX290" s="8" t="s">
        <v>104</v>
      </c>
      <c r="AY290" s="8" t="s">
        <v>121</v>
      </c>
      <c r="AZ290" s="8" t="s">
        <v>100</v>
      </c>
      <c r="BA290" s="8" t="s">
        <v>101</v>
      </c>
      <c r="BB290" s="8" t="s">
        <v>102</v>
      </c>
      <c r="BC290" s="8" t="s">
        <v>103</v>
      </c>
      <c r="BD290" s="8" t="s">
        <v>103</v>
      </c>
      <c r="BF290" s="8" t="s">
        <v>107</v>
      </c>
      <c r="BG290" s="8">
        <v>16700</v>
      </c>
      <c r="BH290" s="8" t="s">
        <v>122</v>
      </c>
      <c r="BO290" s="8">
        <v>12</v>
      </c>
      <c r="BR290" s="8" t="s">
        <v>100</v>
      </c>
      <c r="BS290" s="8" t="s">
        <v>182</v>
      </c>
      <c r="BT290" s="8" t="s">
        <v>183</v>
      </c>
      <c r="BU290" s="8" t="s">
        <v>106</v>
      </c>
      <c r="BV290" s="8" t="s">
        <v>123</v>
      </c>
      <c r="BW290" s="8" t="s">
        <v>110</v>
      </c>
    </row>
    <row r="291" spans="1:75" s="8" customFormat="1" x14ac:dyDescent="0.35">
      <c r="A291" s="8" t="s">
        <v>1204</v>
      </c>
      <c r="B291" s="9">
        <v>45985</v>
      </c>
      <c r="C291" s="10">
        <v>0.68371527777777785</v>
      </c>
      <c r="D291" s="8" t="s">
        <v>460</v>
      </c>
      <c r="E291" s="8" t="s">
        <v>461</v>
      </c>
      <c r="F291" s="11" t="s">
        <v>172</v>
      </c>
      <c r="G291" s="8">
        <f>COUNTIF($F$2:$F$350,F291)</f>
        <v>213</v>
      </c>
      <c r="H291" s="8" t="s">
        <v>115</v>
      </c>
      <c r="I291" s="8" t="s">
        <v>82</v>
      </c>
      <c r="J291" s="8" t="s">
        <v>83</v>
      </c>
      <c r="K291" s="8" t="s">
        <v>84</v>
      </c>
      <c r="M291" s="8" t="s">
        <v>85</v>
      </c>
      <c r="N291" s="8" t="s">
        <v>116</v>
      </c>
      <c r="O291" s="8" t="s">
        <v>87</v>
      </c>
      <c r="P291" s="8" t="s">
        <v>88</v>
      </c>
      <c r="Q291" s="8" t="s">
        <v>89</v>
      </c>
      <c r="R291" s="8" t="s">
        <v>90</v>
      </c>
      <c r="S291" s="8" t="s">
        <v>91</v>
      </c>
      <c r="T291" s="8" t="s">
        <v>92</v>
      </c>
      <c r="U291" s="8" t="s">
        <v>93</v>
      </c>
      <c r="V291" s="8" t="s">
        <v>22</v>
      </c>
      <c r="X291" s="8" t="s">
        <v>94</v>
      </c>
      <c r="Y291" s="8" t="s">
        <v>95</v>
      </c>
      <c r="Z291" s="8" t="s">
        <v>96</v>
      </c>
      <c r="AA291" s="8" t="b">
        <v>0</v>
      </c>
      <c r="AC291" s="8">
        <v>0</v>
      </c>
      <c r="AD291" s="8">
        <v>107</v>
      </c>
      <c r="AI291" s="8" t="s">
        <v>464</v>
      </c>
      <c r="AJ291" s="8" t="s">
        <v>88</v>
      </c>
      <c r="AK291" s="8" t="s">
        <v>1205</v>
      </c>
      <c r="AL291" s="8" t="s">
        <v>88</v>
      </c>
      <c r="AM291" s="8" t="s">
        <v>88</v>
      </c>
      <c r="AN291" s="8" t="s">
        <v>88</v>
      </c>
      <c r="AO291" s="8">
        <v>1002</v>
      </c>
      <c r="AP291" s="8" t="s">
        <v>1206</v>
      </c>
      <c r="AQ291" s="8" t="s">
        <v>100</v>
      </c>
      <c r="AR291" s="8" t="s">
        <v>101</v>
      </c>
      <c r="AS291" s="8" t="s">
        <v>120</v>
      </c>
      <c r="AT291" s="8" t="s">
        <v>103</v>
      </c>
      <c r="AU291" s="8" t="s">
        <v>103</v>
      </c>
      <c r="AX291" s="8" t="s">
        <v>104</v>
      </c>
      <c r="AY291" s="8" t="s">
        <v>121</v>
      </c>
      <c r="AZ291" s="8" t="s">
        <v>100</v>
      </c>
      <c r="BA291" s="8" t="s">
        <v>101</v>
      </c>
      <c r="BB291" s="8" t="s">
        <v>102</v>
      </c>
      <c r="BC291" s="8" t="s">
        <v>103</v>
      </c>
      <c r="BD291" s="8" t="s">
        <v>103</v>
      </c>
      <c r="BF291" s="8" t="s">
        <v>107</v>
      </c>
      <c r="BG291" s="8">
        <v>16700</v>
      </c>
      <c r="BH291" s="8" t="s">
        <v>122</v>
      </c>
      <c r="BO291" s="8">
        <v>12</v>
      </c>
      <c r="BR291" s="8" t="s">
        <v>100</v>
      </c>
      <c r="BS291" s="8" t="s">
        <v>182</v>
      </c>
      <c r="BT291" s="8" t="s">
        <v>183</v>
      </c>
      <c r="BU291" s="8" t="s">
        <v>106</v>
      </c>
      <c r="BV291" s="8" t="s">
        <v>123</v>
      </c>
      <c r="BW291" s="8" t="s">
        <v>110</v>
      </c>
    </row>
    <row r="292" spans="1:75" x14ac:dyDescent="0.35">
      <c r="A292" t="s">
        <v>1207</v>
      </c>
      <c r="B292" s="1">
        <v>45985</v>
      </c>
      <c r="C292" s="2">
        <v>0.63090277777777781</v>
      </c>
      <c r="D292" t="s">
        <v>112</v>
      </c>
      <c r="E292" t="s">
        <v>113</v>
      </c>
      <c r="F292" t="s">
        <v>114</v>
      </c>
      <c r="G292">
        <f>COUNTIF($F$2:$F$350,F292)</f>
        <v>42</v>
      </c>
      <c r="H292" t="s">
        <v>115</v>
      </c>
      <c r="I292" t="s">
        <v>82</v>
      </c>
      <c r="J292" t="s">
        <v>83</v>
      </c>
      <c r="K292" t="s">
        <v>84</v>
      </c>
      <c r="M292" t="s">
        <v>85</v>
      </c>
      <c r="N292" t="s">
        <v>116</v>
      </c>
      <c r="O292" t="s">
        <v>87</v>
      </c>
      <c r="P292" t="s">
        <v>88</v>
      </c>
      <c r="Q292" t="s">
        <v>89</v>
      </c>
      <c r="R292" t="s">
        <v>90</v>
      </c>
      <c r="S292" t="s">
        <v>91</v>
      </c>
      <c r="T292" t="s">
        <v>92</v>
      </c>
      <c r="U292" t="s">
        <v>93</v>
      </c>
      <c r="V292" t="s">
        <v>22</v>
      </c>
      <c r="X292" t="s">
        <v>94</v>
      </c>
      <c r="Y292" t="s">
        <v>95</v>
      </c>
      <c r="Z292" t="s">
        <v>96</v>
      </c>
      <c r="AA292" t="b">
        <v>0</v>
      </c>
      <c r="AC292">
        <v>0</v>
      </c>
      <c r="AD292">
        <v>91</v>
      </c>
      <c r="AI292" t="s">
        <v>117</v>
      </c>
      <c r="AJ292" t="s">
        <v>88</v>
      </c>
      <c r="AK292" t="s">
        <v>1208</v>
      </c>
      <c r="AL292" t="s">
        <v>88</v>
      </c>
      <c r="AM292" t="s">
        <v>88</v>
      </c>
      <c r="AN292" t="s">
        <v>88</v>
      </c>
      <c r="AO292">
        <v>1002</v>
      </c>
      <c r="AP292" t="s">
        <v>1209</v>
      </c>
      <c r="AQ292" t="s">
        <v>100</v>
      </c>
      <c r="AR292" t="s">
        <v>101</v>
      </c>
      <c r="AS292" t="s">
        <v>120</v>
      </c>
      <c r="AT292" t="s">
        <v>103</v>
      </c>
      <c r="AU292" t="s">
        <v>103</v>
      </c>
      <c r="AX292" t="s">
        <v>104</v>
      </c>
      <c r="AY292" t="s">
        <v>121</v>
      </c>
      <c r="AZ292" t="s">
        <v>100</v>
      </c>
      <c r="BA292" t="s">
        <v>101</v>
      </c>
      <c r="BB292" t="s">
        <v>102</v>
      </c>
      <c r="BC292" t="s">
        <v>103</v>
      </c>
      <c r="BD292" t="s">
        <v>103</v>
      </c>
      <c r="BF292" t="s">
        <v>107</v>
      </c>
      <c r="BG292">
        <v>16700</v>
      </c>
      <c r="BH292" t="s">
        <v>122</v>
      </c>
      <c r="BO292">
        <v>12</v>
      </c>
      <c r="BR292" t="s">
        <v>100</v>
      </c>
      <c r="BS292" t="s">
        <v>109</v>
      </c>
      <c r="BT292" t="s">
        <v>102</v>
      </c>
      <c r="BU292" t="s">
        <v>106</v>
      </c>
      <c r="BV292" t="s">
        <v>123</v>
      </c>
      <c r="BW292" t="s">
        <v>110</v>
      </c>
    </row>
    <row r="293" spans="1:75" s="8" customFormat="1" x14ac:dyDescent="0.35">
      <c r="A293" s="8" t="s">
        <v>1210</v>
      </c>
      <c r="B293" s="9">
        <v>45985</v>
      </c>
      <c r="C293" s="10">
        <v>0.61900462962962965</v>
      </c>
      <c r="D293" s="8" t="s">
        <v>549</v>
      </c>
      <c r="E293" s="8" t="s">
        <v>550</v>
      </c>
      <c r="F293" s="11" t="s">
        <v>172</v>
      </c>
      <c r="G293" s="8">
        <f>COUNTIF($F$2:$F$350,F293)</f>
        <v>213</v>
      </c>
      <c r="H293" s="8" t="s">
        <v>115</v>
      </c>
      <c r="I293" s="8" t="s">
        <v>82</v>
      </c>
      <c r="J293" s="8" t="s">
        <v>83</v>
      </c>
      <c r="K293" s="8" t="s">
        <v>84</v>
      </c>
      <c r="M293" s="8" t="s">
        <v>85</v>
      </c>
      <c r="N293" s="8" t="s">
        <v>86</v>
      </c>
      <c r="O293" s="8" t="s">
        <v>87</v>
      </c>
      <c r="P293" s="8" t="s">
        <v>173</v>
      </c>
      <c r="Q293" s="8" t="s">
        <v>89</v>
      </c>
      <c r="R293" s="8" t="s">
        <v>90</v>
      </c>
      <c r="S293" s="8" t="s">
        <v>91</v>
      </c>
      <c r="T293" s="8" t="s">
        <v>92</v>
      </c>
      <c r="U293" s="8" t="s">
        <v>93</v>
      </c>
      <c r="V293" s="8" t="s">
        <v>22</v>
      </c>
      <c r="W293" s="8" t="s">
        <v>731</v>
      </c>
      <c r="X293" s="8" t="s">
        <v>177</v>
      </c>
      <c r="Y293" s="8" t="s">
        <v>95</v>
      </c>
      <c r="Z293" s="8" t="s">
        <v>189</v>
      </c>
      <c r="AA293" s="8" t="b">
        <v>0</v>
      </c>
      <c r="AC293" s="8">
        <v>0</v>
      </c>
      <c r="AD293" s="8">
        <v>103</v>
      </c>
      <c r="AI293" s="8" t="s">
        <v>732</v>
      </c>
      <c r="AJ293" s="8" t="s">
        <v>88</v>
      </c>
      <c r="AK293" s="8" t="s">
        <v>1211</v>
      </c>
      <c r="AL293" s="8" t="s">
        <v>88</v>
      </c>
      <c r="AM293" s="8" t="s">
        <v>88</v>
      </c>
      <c r="AN293" s="8" t="s">
        <v>88</v>
      </c>
      <c r="AP293" s="8" t="s">
        <v>1212</v>
      </c>
      <c r="AQ293" s="8" t="s">
        <v>100</v>
      </c>
      <c r="AR293" s="8" t="s">
        <v>101</v>
      </c>
      <c r="AS293" s="8" t="s">
        <v>120</v>
      </c>
      <c r="AT293" s="8" t="s">
        <v>103</v>
      </c>
      <c r="AU293" s="8" t="s">
        <v>103</v>
      </c>
      <c r="AX293" s="8" t="s">
        <v>104</v>
      </c>
      <c r="AY293" s="8" t="s">
        <v>121</v>
      </c>
      <c r="AZ293" s="8" t="s">
        <v>100</v>
      </c>
      <c r="BA293" s="8" t="s">
        <v>101</v>
      </c>
      <c r="BB293" s="8" t="s">
        <v>102</v>
      </c>
      <c r="BC293" s="8" t="s">
        <v>103</v>
      </c>
      <c r="BD293" s="8" t="s">
        <v>103</v>
      </c>
      <c r="BF293" s="8" t="s">
        <v>107</v>
      </c>
      <c r="BG293" s="8">
        <v>16700</v>
      </c>
      <c r="BH293" s="8" t="s">
        <v>122</v>
      </c>
      <c r="BO293" s="8">
        <v>12</v>
      </c>
      <c r="BR293" s="8" t="s">
        <v>100</v>
      </c>
      <c r="BS293" s="8" t="s">
        <v>182</v>
      </c>
      <c r="BT293" s="8" t="s">
        <v>183</v>
      </c>
      <c r="BU293" s="8" t="s">
        <v>106</v>
      </c>
      <c r="BV293" s="8" t="s">
        <v>123</v>
      </c>
      <c r="BW293" s="8" t="s">
        <v>110</v>
      </c>
    </row>
    <row r="294" spans="1:75" s="8" customFormat="1" x14ac:dyDescent="0.35">
      <c r="A294" s="8" t="s">
        <v>1213</v>
      </c>
      <c r="B294" s="9">
        <v>45985</v>
      </c>
      <c r="C294" s="10">
        <v>0.59383101851851849</v>
      </c>
      <c r="D294" s="8" t="s">
        <v>78</v>
      </c>
      <c r="E294" s="8" t="s">
        <v>79</v>
      </c>
      <c r="F294" s="11" t="s">
        <v>80</v>
      </c>
      <c r="G294" s="8">
        <f>COUNTIF($F$2:$F$350,F294)</f>
        <v>38</v>
      </c>
      <c r="H294" s="8" t="s">
        <v>81</v>
      </c>
      <c r="I294" s="8" t="s">
        <v>82</v>
      </c>
      <c r="J294" s="8" t="s">
        <v>83</v>
      </c>
      <c r="K294" s="8" t="s">
        <v>84</v>
      </c>
      <c r="M294" s="8" t="s">
        <v>85</v>
      </c>
      <c r="N294" s="8" t="s">
        <v>86</v>
      </c>
      <c r="O294" s="8" t="s">
        <v>87</v>
      </c>
      <c r="P294" s="8" t="s">
        <v>88</v>
      </c>
      <c r="Q294" s="8" t="s">
        <v>89</v>
      </c>
      <c r="R294" s="8" t="s">
        <v>90</v>
      </c>
      <c r="S294" s="8" t="s">
        <v>91</v>
      </c>
      <c r="T294" s="8" t="s">
        <v>92</v>
      </c>
      <c r="U294" s="8" t="s">
        <v>93</v>
      </c>
      <c r="V294" s="8" t="s">
        <v>22</v>
      </c>
      <c r="X294" s="8" t="s">
        <v>94</v>
      </c>
      <c r="Y294" s="8" t="s">
        <v>95</v>
      </c>
      <c r="Z294" s="8" t="s">
        <v>96</v>
      </c>
      <c r="AA294" s="8" t="b">
        <v>0</v>
      </c>
      <c r="AC294" s="8">
        <v>0</v>
      </c>
      <c r="AD294" s="8">
        <v>90</v>
      </c>
      <c r="AI294" s="8" t="s">
        <v>97</v>
      </c>
      <c r="AJ294" s="8" t="s">
        <v>88</v>
      </c>
      <c r="AK294" s="8" t="s">
        <v>1214</v>
      </c>
      <c r="AL294" s="8" t="s">
        <v>88</v>
      </c>
      <c r="AM294" s="8" t="s">
        <v>88</v>
      </c>
      <c r="AN294" s="8" t="s">
        <v>88</v>
      </c>
      <c r="AO294" s="8">
        <v>1002</v>
      </c>
      <c r="AP294" s="8" t="s">
        <v>1215</v>
      </c>
      <c r="AQ294" s="8" t="s">
        <v>100</v>
      </c>
      <c r="AR294" s="8" t="s">
        <v>101</v>
      </c>
      <c r="AS294" s="8" t="s">
        <v>102</v>
      </c>
      <c r="AT294" s="8" t="s">
        <v>103</v>
      </c>
      <c r="AU294" s="8" t="s">
        <v>103</v>
      </c>
      <c r="AX294" s="8" t="s">
        <v>104</v>
      </c>
      <c r="AY294" s="8" t="s">
        <v>105</v>
      </c>
      <c r="AZ294" s="8" t="s">
        <v>100</v>
      </c>
      <c r="BA294" s="8" t="s">
        <v>101</v>
      </c>
      <c r="BB294" s="8" t="s">
        <v>102</v>
      </c>
      <c r="BC294" s="8" t="s">
        <v>103</v>
      </c>
      <c r="BD294" s="8" t="s">
        <v>106</v>
      </c>
      <c r="BF294" s="8" t="s">
        <v>107</v>
      </c>
      <c r="BG294" s="8">
        <v>16700</v>
      </c>
      <c r="BH294" s="8" t="s">
        <v>108</v>
      </c>
      <c r="BO294" s="8">
        <v>0</v>
      </c>
      <c r="BR294" s="8" t="s">
        <v>100</v>
      </c>
      <c r="BS294" s="8" t="s">
        <v>109</v>
      </c>
      <c r="BT294" s="8" t="s">
        <v>102</v>
      </c>
      <c r="BU294" s="8" t="s">
        <v>103</v>
      </c>
      <c r="BV294" s="8" t="s">
        <v>106</v>
      </c>
      <c r="BW294" s="8" t="s">
        <v>110</v>
      </c>
    </row>
    <row r="295" spans="1:75" s="8" customFormat="1" x14ac:dyDescent="0.35">
      <c r="A295" s="8" t="s">
        <v>1216</v>
      </c>
      <c r="B295" s="9">
        <v>45985</v>
      </c>
      <c r="C295" s="10">
        <v>0.58083333333333331</v>
      </c>
      <c r="D295" s="8" t="s">
        <v>902</v>
      </c>
      <c r="E295" s="8" t="s">
        <v>903</v>
      </c>
      <c r="F295" s="11" t="s">
        <v>172</v>
      </c>
      <c r="G295" s="8">
        <f>COUNTIF($F$2:$F$350,F295)</f>
        <v>213</v>
      </c>
      <c r="H295" s="8" t="s">
        <v>115</v>
      </c>
      <c r="I295" s="8" t="s">
        <v>82</v>
      </c>
      <c r="J295" s="8" t="s">
        <v>83</v>
      </c>
      <c r="K295" s="8" t="s">
        <v>84</v>
      </c>
      <c r="M295" s="8" t="s">
        <v>85</v>
      </c>
      <c r="N295" s="8" t="s">
        <v>116</v>
      </c>
      <c r="O295" s="8" t="s">
        <v>87</v>
      </c>
      <c r="P295" s="8" t="s">
        <v>88</v>
      </c>
      <c r="Q295" s="8" t="s">
        <v>89</v>
      </c>
      <c r="R295" s="8" t="s">
        <v>90</v>
      </c>
      <c r="S295" s="8" t="s">
        <v>91</v>
      </c>
      <c r="T295" s="8" t="s">
        <v>92</v>
      </c>
      <c r="U295" s="8" t="s">
        <v>93</v>
      </c>
      <c r="V295" s="8" t="s">
        <v>22</v>
      </c>
      <c r="X295" s="8" t="s">
        <v>177</v>
      </c>
      <c r="Y295" s="8" t="s">
        <v>95</v>
      </c>
      <c r="Z295" s="8" t="s">
        <v>178</v>
      </c>
      <c r="AA295" s="8" t="b">
        <v>0</v>
      </c>
      <c r="AC295" s="8">
        <v>0</v>
      </c>
      <c r="AD295" s="8">
        <v>129</v>
      </c>
      <c r="AH295" s="8" t="s">
        <v>903</v>
      </c>
      <c r="AI295" s="8" t="s">
        <v>1217</v>
      </c>
      <c r="AJ295" s="8" t="s">
        <v>88</v>
      </c>
      <c r="AK295" s="8" t="s">
        <v>1218</v>
      </c>
      <c r="AL295" s="8" t="s">
        <v>88</v>
      </c>
      <c r="AM295" s="8" t="s">
        <v>88</v>
      </c>
      <c r="AN295" s="8" t="s">
        <v>88</v>
      </c>
      <c r="AO295" s="8">
        <v>1002</v>
      </c>
      <c r="AP295" s="8" t="s">
        <v>1219</v>
      </c>
      <c r="AQ295" s="8" t="s">
        <v>100</v>
      </c>
      <c r="AR295" s="8" t="s">
        <v>101</v>
      </c>
      <c r="AS295" s="8" t="s">
        <v>120</v>
      </c>
      <c r="AT295" s="8" t="s">
        <v>103</v>
      </c>
      <c r="AU295" s="8" t="s">
        <v>103</v>
      </c>
      <c r="AX295" s="8" t="s">
        <v>104</v>
      </c>
      <c r="AY295" s="8" t="s">
        <v>121</v>
      </c>
      <c r="AZ295" s="8" t="s">
        <v>100</v>
      </c>
      <c r="BA295" s="8" t="s">
        <v>101</v>
      </c>
      <c r="BB295" s="8" t="s">
        <v>102</v>
      </c>
      <c r="BC295" s="8" t="s">
        <v>103</v>
      </c>
      <c r="BD295" s="8" t="s">
        <v>103</v>
      </c>
      <c r="BF295" s="8" t="s">
        <v>107</v>
      </c>
      <c r="BG295" s="8">
        <v>16700</v>
      </c>
      <c r="BH295" s="8" t="s">
        <v>122</v>
      </c>
      <c r="BO295" s="8">
        <v>12</v>
      </c>
      <c r="BR295" s="8" t="s">
        <v>100</v>
      </c>
      <c r="BS295" s="8" t="s">
        <v>182</v>
      </c>
      <c r="BT295" s="8" t="s">
        <v>183</v>
      </c>
      <c r="BU295" s="8" t="s">
        <v>106</v>
      </c>
      <c r="BV295" s="8" t="s">
        <v>123</v>
      </c>
      <c r="BW295" s="8" t="s">
        <v>110</v>
      </c>
    </row>
    <row r="296" spans="1:75" s="8" customFormat="1" x14ac:dyDescent="0.35">
      <c r="A296" s="8" t="s">
        <v>1220</v>
      </c>
      <c r="B296" s="9">
        <v>45985</v>
      </c>
      <c r="C296" s="10">
        <v>0.58005787037037038</v>
      </c>
      <c r="D296" s="8" t="s">
        <v>902</v>
      </c>
      <c r="E296" s="8" t="s">
        <v>903</v>
      </c>
      <c r="F296" s="11" t="s">
        <v>172</v>
      </c>
      <c r="G296" s="8">
        <f>COUNTIF($F$2:$F$350,F296)</f>
        <v>213</v>
      </c>
      <c r="H296" s="8" t="s">
        <v>115</v>
      </c>
      <c r="I296" s="8" t="s">
        <v>82</v>
      </c>
      <c r="J296" s="8" t="s">
        <v>83</v>
      </c>
      <c r="K296" s="8" t="s">
        <v>165</v>
      </c>
      <c r="L296" s="8">
        <v>50140</v>
      </c>
      <c r="M296" s="8" t="s">
        <v>85</v>
      </c>
      <c r="N296" s="8" t="s">
        <v>116</v>
      </c>
      <c r="O296" s="8" t="s">
        <v>87</v>
      </c>
      <c r="P296" s="8" t="s">
        <v>88</v>
      </c>
      <c r="Q296" s="8" t="s">
        <v>89</v>
      </c>
      <c r="R296" s="8" t="s">
        <v>90</v>
      </c>
      <c r="S296" s="8" t="s">
        <v>91</v>
      </c>
      <c r="T296" s="8" t="s">
        <v>92</v>
      </c>
      <c r="U296" s="8" t="s">
        <v>166</v>
      </c>
      <c r="V296" s="8" t="s">
        <v>22</v>
      </c>
      <c r="X296" s="8" t="s">
        <v>177</v>
      </c>
      <c r="Y296" s="8" t="s">
        <v>95</v>
      </c>
      <c r="Z296" s="8" t="s">
        <v>178</v>
      </c>
      <c r="AA296" s="8" t="b">
        <v>0</v>
      </c>
      <c r="AC296" s="8">
        <v>0</v>
      </c>
      <c r="AD296" s="8">
        <v>133</v>
      </c>
      <c r="AE296" s="8" t="s">
        <v>167</v>
      </c>
      <c r="AH296" s="8" t="s">
        <v>903</v>
      </c>
      <c r="AI296" s="8" t="s">
        <v>1217</v>
      </c>
      <c r="AJ296" s="8" t="s">
        <v>88</v>
      </c>
      <c r="AK296" s="8" t="s">
        <v>1221</v>
      </c>
      <c r="AL296" s="8" t="s">
        <v>88</v>
      </c>
      <c r="AM296" s="8" t="s">
        <v>88</v>
      </c>
      <c r="AN296" s="8" t="s">
        <v>88</v>
      </c>
      <c r="AO296" s="8">
        <v>1002</v>
      </c>
      <c r="AP296" s="8" t="s">
        <v>1219</v>
      </c>
      <c r="AQ296" s="8" t="s">
        <v>100</v>
      </c>
      <c r="AR296" s="8" t="s">
        <v>101</v>
      </c>
      <c r="AS296" s="8" t="s">
        <v>120</v>
      </c>
      <c r="AT296" s="8" t="s">
        <v>103</v>
      </c>
      <c r="AU296" s="8" t="s">
        <v>103</v>
      </c>
      <c r="AX296" s="8" t="s">
        <v>104</v>
      </c>
      <c r="AY296" s="8" t="s">
        <v>121</v>
      </c>
      <c r="AZ296" s="8" t="s">
        <v>100</v>
      </c>
      <c r="BA296" s="8" t="s">
        <v>101</v>
      </c>
      <c r="BB296" s="8" t="s">
        <v>102</v>
      </c>
      <c r="BC296" s="8" t="s">
        <v>103</v>
      </c>
      <c r="BD296" s="8" t="s">
        <v>103</v>
      </c>
      <c r="BF296" s="8" t="s">
        <v>107</v>
      </c>
      <c r="BG296" s="8">
        <v>16700</v>
      </c>
      <c r="BH296" s="8" t="s">
        <v>122</v>
      </c>
      <c r="BO296" s="8">
        <v>12</v>
      </c>
      <c r="BR296" s="8" t="s">
        <v>100</v>
      </c>
      <c r="BS296" s="8" t="s">
        <v>182</v>
      </c>
      <c r="BT296" s="8" t="s">
        <v>183</v>
      </c>
      <c r="BU296" s="8" t="s">
        <v>106</v>
      </c>
      <c r="BV296" s="8" t="s">
        <v>123</v>
      </c>
      <c r="BW296" s="8" t="s">
        <v>110</v>
      </c>
    </row>
    <row r="297" spans="1:75" s="8" customFormat="1" x14ac:dyDescent="0.35">
      <c r="A297" s="8" t="s">
        <v>1222</v>
      </c>
      <c r="B297" s="9">
        <v>45985</v>
      </c>
      <c r="C297" s="10">
        <v>0.53484953703703708</v>
      </c>
      <c r="D297" s="8" t="s">
        <v>220</v>
      </c>
      <c r="E297" s="8" t="s">
        <v>221</v>
      </c>
      <c r="F297" s="11" t="s">
        <v>172</v>
      </c>
      <c r="G297" s="8">
        <f>COUNTIF($F$2:$F$350,F297)</f>
        <v>213</v>
      </c>
      <c r="H297" s="8" t="s">
        <v>115</v>
      </c>
      <c r="I297" s="8" t="s">
        <v>82</v>
      </c>
      <c r="J297" s="8" t="s">
        <v>83</v>
      </c>
      <c r="K297" s="8" t="s">
        <v>84</v>
      </c>
      <c r="M297" s="8" t="s">
        <v>85</v>
      </c>
      <c r="N297" s="8" t="s">
        <v>86</v>
      </c>
      <c r="O297" s="8" t="s">
        <v>87</v>
      </c>
      <c r="P297" s="8" t="s">
        <v>88</v>
      </c>
      <c r="Q297" s="8" t="s">
        <v>89</v>
      </c>
      <c r="R297" s="8" t="s">
        <v>90</v>
      </c>
      <c r="S297" s="8" t="s">
        <v>91</v>
      </c>
      <c r="T297" s="8" t="s">
        <v>92</v>
      </c>
      <c r="U297" s="8" t="s">
        <v>93</v>
      </c>
      <c r="V297" s="8" t="s">
        <v>22</v>
      </c>
      <c r="X297" s="8" t="s">
        <v>1223</v>
      </c>
      <c r="Y297" s="8" t="s">
        <v>1224</v>
      </c>
      <c r="Z297" s="8" t="s">
        <v>1225</v>
      </c>
      <c r="AA297" s="8" t="b">
        <v>0</v>
      </c>
      <c r="AC297" s="8">
        <v>0</v>
      </c>
      <c r="AD297" s="8">
        <v>79</v>
      </c>
      <c r="AI297" s="8" t="s">
        <v>1226</v>
      </c>
      <c r="AJ297" s="8" t="s">
        <v>88</v>
      </c>
      <c r="AK297" s="8" t="s">
        <v>1227</v>
      </c>
      <c r="AL297" s="8" t="s">
        <v>88</v>
      </c>
      <c r="AM297" s="8" t="s">
        <v>88</v>
      </c>
      <c r="AN297" s="8" t="s">
        <v>88</v>
      </c>
      <c r="AO297" s="8">
        <v>1002</v>
      </c>
      <c r="AP297" s="8" t="s">
        <v>1228</v>
      </c>
      <c r="AQ297" s="8" t="s">
        <v>100</v>
      </c>
      <c r="AR297" s="8" t="s">
        <v>101</v>
      </c>
      <c r="AS297" s="8" t="s">
        <v>120</v>
      </c>
      <c r="AT297" s="8" t="s">
        <v>103</v>
      </c>
      <c r="AU297" s="8" t="s">
        <v>103</v>
      </c>
      <c r="AX297" s="8" t="s">
        <v>104</v>
      </c>
      <c r="AY297" s="8" t="s">
        <v>121</v>
      </c>
      <c r="AZ297" s="8" t="s">
        <v>100</v>
      </c>
      <c r="BA297" s="8" t="s">
        <v>101</v>
      </c>
      <c r="BB297" s="8" t="s">
        <v>102</v>
      </c>
      <c r="BC297" s="8" t="s">
        <v>103</v>
      </c>
      <c r="BD297" s="8" t="s">
        <v>103</v>
      </c>
      <c r="BF297" s="8" t="s">
        <v>107</v>
      </c>
      <c r="BG297" s="8">
        <v>16700</v>
      </c>
      <c r="BH297" s="8" t="s">
        <v>122</v>
      </c>
      <c r="BO297" s="8">
        <v>12</v>
      </c>
      <c r="BR297" s="8" t="s">
        <v>100</v>
      </c>
      <c r="BS297" s="8" t="s">
        <v>182</v>
      </c>
      <c r="BT297" s="8" t="s">
        <v>183</v>
      </c>
      <c r="BU297" s="8" t="s">
        <v>106</v>
      </c>
      <c r="BV297" s="8" t="s">
        <v>123</v>
      </c>
      <c r="BW297" s="8" t="s">
        <v>110</v>
      </c>
    </row>
    <row r="298" spans="1:75" s="8" customFormat="1" x14ac:dyDescent="0.35">
      <c r="A298" s="8" t="s">
        <v>1229</v>
      </c>
      <c r="B298" s="9">
        <v>45985</v>
      </c>
      <c r="C298" s="10">
        <v>0.52737268518518521</v>
      </c>
      <c r="D298" s="8" t="s">
        <v>209</v>
      </c>
      <c r="E298" s="8" t="s">
        <v>210</v>
      </c>
      <c r="F298" s="11" t="s">
        <v>172</v>
      </c>
      <c r="G298" s="8">
        <f>COUNTIF($F$2:$F$350,F298)</f>
        <v>213</v>
      </c>
      <c r="H298" s="8" t="s">
        <v>115</v>
      </c>
      <c r="I298" s="8" t="s">
        <v>82</v>
      </c>
      <c r="J298" s="8" t="s">
        <v>83</v>
      </c>
      <c r="K298" s="8" t="s">
        <v>84</v>
      </c>
      <c r="M298" s="8" t="s">
        <v>85</v>
      </c>
      <c r="N298" s="8" t="s">
        <v>86</v>
      </c>
      <c r="O298" s="8" t="s">
        <v>87</v>
      </c>
      <c r="P298" s="8" t="s">
        <v>88</v>
      </c>
      <c r="Q298" s="8" t="s">
        <v>89</v>
      </c>
      <c r="R298" s="8" t="s">
        <v>90</v>
      </c>
      <c r="S298" s="8" t="s">
        <v>91</v>
      </c>
      <c r="T298" s="8" t="s">
        <v>92</v>
      </c>
      <c r="U298" s="8" t="s">
        <v>93</v>
      </c>
      <c r="V298" s="8" t="s">
        <v>22</v>
      </c>
      <c r="X298" s="8" t="s">
        <v>177</v>
      </c>
      <c r="Y298" s="8" t="s">
        <v>95</v>
      </c>
      <c r="Z298" s="8" t="s">
        <v>189</v>
      </c>
      <c r="AA298" s="8" t="b">
        <v>0</v>
      </c>
      <c r="AC298" s="8">
        <v>0</v>
      </c>
      <c r="AD298" s="8">
        <v>72</v>
      </c>
      <c r="AI298" s="8" t="s">
        <v>213</v>
      </c>
      <c r="AJ298" s="8" t="s">
        <v>88</v>
      </c>
      <c r="AK298" s="8" t="s">
        <v>1230</v>
      </c>
      <c r="AL298" s="8" t="s">
        <v>88</v>
      </c>
      <c r="AM298" s="8" t="s">
        <v>88</v>
      </c>
      <c r="AN298" s="8" t="s">
        <v>88</v>
      </c>
      <c r="AO298" s="8">
        <v>1002</v>
      </c>
      <c r="AP298" s="8" t="s">
        <v>1231</v>
      </c>
      <c r="AQ298" s="8" t="s">
        <v>100</v>
      </c>
      <c r="AR298" s="8" t="s">
        <v>101</v>
      </c>
      <c r="AS298" s="8" t="s">
        <v>120</v>
      </c>
      <c r="AT298" s="8" t="s">
        <v>103</v>
      </c>
      <c r="AU298" s="8" t="s">
        <v>103</v>
      </c>
      <c r="AX298" s="8" t="s">
        <v>104</v>
      </c>
      <c r="AY298" s="8" t="s">
        <v>121</v>
      </c>
      <c r="AZ298" s="8" t="s">
        <v>100</v>
      </c>
      <c r="BA298" s="8" t="s">
        <v>101</v>
      </c>
      <c r="BB298" s="8" t="s">
        <v>102</v>
      </c>
      <c r="BC298" s="8" t="s">
        <v>103</v>
      </c>
      <c r="BD298" s="8" t="s">
        <v>103</v>
      </c>
      <c r="BF298" s="8" t="s">
        <v>107</v>
      </c>
      <c r="BG298" s="8">
        <v>16700</v>
      </c>
      <c r="BH298" s="8" t="s">
        <v>122</v>
      </c>
      <c r="BO298" s="8">
        <v>12</v>
      </c>
      <c r="BR298" s="8" t="s">
        <v>100</v>
      </c>
      <c r="BS298" s="8" t="s">
        <v>182</v>
      </c>
      <c r="BT298" s="8" t="s">
        <v>183</v>
      </c>
      <c r="BU298" s="8" t="s">
        <v>106</v>
      </c>
      <c r="BV298" s="8" t="s">
        <v>123</v>
      </c>
      <c r="BW298" s="8" t="s">
        <v>110</v>
      </c>
    </row>
    <row r="299" spans="1:75" s="8" customFormat="1" x14ac:dyDescent="0.35">
      <c r="A299" s="8" t="s">
        <v>1232</v>
      </c>
      <c r="B299" s="9">
        <v>45985</v>
      </c>
      <c r="C299" s="10">
        <v>0.51618055555555553</v>
      </c>
      <c r="D299" s="8" t="s">
        <v>460</v>
      </c>
      <c r="E299" s="8" t="s">
        <v>461</v>
      </c>
      <c r="F299" s="11" t="s">
        <v>172</v>
      </c>
      <c r="G299" s="8">
        <f>COUNTIF($F$2:$F$350,F299)</f>
        <v>213</v>
      </c>
      <c r="H299" s="8" t="s">
        <v>115</v>
      </c>
      <c r="I299" s="8" t="s">
        <v>82</v>
      </c>
      <c r="J299" s="8" t="s">
        <v>83</v>
      </c>
      <c r="K299" s="8" t="s">
        <v>84</v>
      </c>
      <c r="M299" s="8" t="s">
        <v>85</v>
      </c>
      <c r="N299" s="8" t="s">
        <v>116</v>
      </c>
      <c r="O299" s="8" t="s">
        <v>87</v>
      </c>
      <c r="P299" s="8" t="s">
        <v>88</v>
      </c>
      <c r="Q299" s="8" t="s">
        <v>89</v>
      </c>
      <c r="R299" s="8" t="s">
        <v>90</v>
      </c>
      <c r="S299" s="8" t="s">
        <v>91</v>
      </c>
      <c r="T299" s="8" t="s">
        <v>92</v>
      </c>
      <c r="U299" s="8" t="s">
        <v>93</v>
      </c>
      <c r="V299" s="8" t="s">
        <v>22</v>
      </c>
      <c r="X299" s="8" t="s">
        <v>94</v>
      </c>
      <c r="Y299" s="8" t="s">
        <v>95</v>
      </c>
      <c r="Z299" s="8" t="s">
        <v>96</v>
      </c>
      <c r="AA299" s="8" t="b">
        <v>0</v>
      </c>
      <c r="AC299" s="8">
        <v>0</v>
      </c>
      <c r="AD299" s="8">
        <v>93</v>
      </c>
      <c r="AI299" s="8" t="s">
        <v>464</v>
      </c>
      <c r="AJ299" s="8" t="s">
        <v>88</v>
      </c>
      <c r="AK299" s="8" t="s">
        <v>1233</v>
      </c>
      <c r="AL299" s="8" t="s">
        <v>88</v>
      </c>
      <c r="AM299" s="8" t="s">
        <v>88</v>
      </c>
      <c r="AN299" s="8" t="s">
        <v>88</v>
      </c>
      <c r="AO299" s="8">
        <v>1002</v>
      </c>
      <c r="AP299" s="8" t="s">
        <v>1234</v>
      </c>
      <c r="AQ299" s="8" t="s">
        <v>100</v>
      </c>
      <c r="AR299" s="8" t="s">
        <v>101</v>
      </c>
      <c r="AS299" s="8" t="s">
        <v>120</v>
      </c>
      <c r="AT299" s="8" t="s">
        <v>103</v>
      </c>
      <c r="AU299" s="8" t="s">
        <v>103</v>
      </c>
      <c r="AX299" s="8" t="s">
        <v>104</v>
      </c>
      <c r="AY299" s="8" t="s">
        <v>121</v>
      </c>
      <c r="AZ299" s="8" t="s">
        <v>100</v>
      </c>
      <c r="BA299" s="8" t="s">
        <v>101</v>
      </c>
      <c r="BB299" s="8" t="s">
        <v>102</v>
      </c>
      <c r="BC299" s="8" t="s">
        <v>103</v>
      </c>
      <c r="BD299" s="8" t="s">
        <v>103</v>
      </c>
      <c r="BF299" s="8" t="s">
        <v>107</v>
      </c>
      <c r="BG299" s="8">
        <v>16700</v>
      </c>
      <c r="BH299" s="8" t="s">
        <v>122</v>
      </c>
      <c r="BO299" s="8">
        <v>12</v>
      </c>
      <c r="BR299" s="8" t="s">
        <v>100</v>
      </c>
      <c r="BS299" s="8" t="s">
        <v>182</v>
      </c>
      <c r="BT299" s="8" t="s">
        <v>183</v>
      </c>
      <c r="BU299" s="8" t="s">
        <v>106</v>
      </c>
      <c r="BV299" s="8" t="s">
        <v>123</v>
      </c>
      <c r="BW299" s="8" t="s">
        <v>110</v>
      </c>
    </row>
    <row r="300" spans="1:75" s="8" customFormat="1" x14ac:dyDescent="0.35">
      <c r="A300" s="8" t="s">
        <v>1235</v>
      </c>
      <c r="B300" s="9">
        <v>45985</v>
      </c>
      <c r="C300" s="10">
        <v>0.51612268518518511</v>
      </c>
      <c r="D300" s="8" t="s">
        <v>460</v>
      </c>
      <c r="E300" s="8" t="s">
        <v>461</v>
      </c>
      <c r="F300" s="11" t="s">
        <v>172</v>
      </c>
      <c r="G300" s="8">
        <f>COUNTIF($F$2:$F$350,F300)</f>
        <v>213</v>
      </c>
      <c r="H300" s="8" t="s">
        <v>115</v>
      </c>
      <c r="I300" s="8" t="s">
        <v>82</v>
      </c>
      <c r="J300" s="8" t="s">
        <v>83</v>
      </c>
      <c r="K300" s="8" t="s">
        <v>84</v>
      </c>
      <c r="M300" s="8" t="s">
        <v>85</v>
      </c>
      <c r="N300" s="8" t="s">
        <v>116</v>
      </c>
      <c r="O300" s="8" t="s">
        <v>87</v>
      </c>
      <c r="P300" s="8" t="s">
        <v>88</v>
      </c>
      <c r="Q300" s="8" t="s">
        <v>155</v>
      </c>
      <c r="R300" s="8" t="s">
        <v>156</v>
      </c>
      <c r="S300" s="8" t="s">
        <v>155</v>
      </c>
      <c r="T300" s="8" t="s">
        <v>156</v>
      </c>
      <c r="U300" s="8" t="s">
        <v>93</v>
      </c>
      <c r="V300" s="8" t="s">
        <v>22</v>
      </c>
      <c r="X300" s="8" t="s">
        <v>94</v>
      </c>
      <c r="Y300" s="8" t="s">
        <v>95</v>
      </c>
      <c r="Z300" s="8" t="s">
        <v>96</v>
      </c>
      <c r="AA300" s="8" t="b">
        <v>0</v>
      </c>
      <c r="AC300" s="8">
        <v>0</v>
      </c>
      <c r="AD300" s="8">
        <v>84</v>
      </c>
      <c r="AI300" s="8" t="s">
        <v>464</v>
      </c>
      <c r="AJ300" s="8" t="s">
        <v>88</v>
      </c>
      <c r="AK300" s="8" t="s">
        <v>1236</v>
      </c>
      <c r="AL300" s="8" t="s">
        <v>88</v>
      </c>
      <c r="AM300" s="8" t="s">
        <v>88</v>
      </c>
      <c r="AN300" s="8" t="s">
        <v>88</v>
      </c>
      <c r="AO300" s="8">
        <v>1002</v>
      </c>
      <c r="AP300" s="8" t="s">
        <v>1237</v>
      </c>
      <c r="AQ300" s="8" t="s">
        <v>100</v>
      </c>
      <c r="AR300" s="8" t="s">
        <v>101</v>
      </c>
      <c r="AS300" s="8" t="s">
        <v>120</v>
      </c>
      <c r="AT300" s="8" t="s">
        <v>103</v>
      </c>
      <c r="AU300" s="8" t="s">
        <v>103</v>
      </c>
      <c r="AX300" s="8" t="s">
        <v>104</v>
      </c>
      <c r="AY300" s="8" t="s">
        <v>121</v>
      </c>
      <c r="AZ300" s="8" t="s">
        <v>100</v>
      </c>
      <c r="BA300" s="8" t="s">
        <v>101</v>
      </c>
      <c r="BB300" s="8" t="s">
        <v>102</v>
      </c>
      <c r="BC300" s="8" t="s">
        <v>103</v>
      </c>
      <c r="BD300" s="8" t="s">
        <v>103</v>
      </c>
      <c r="BF300" s="8" t="s">
        <v>107</v>
      </c>
      <c r="BG300" s="8">
        <v>16700</v>
      </c>
      <c r="BH300" s="8" t="s">
        <v>122</v>
      </c>
      <c r="BO300" s="8">
        <v>12</v>
      </c>
      <c r="BR300" s="8" t="s">
        <v>100</v>
      </c>
      <c r="BS300" s="8" t="s">
        <v>182</v>
      </c>
      <c r="BT300" s="8" t="s">
        <v>183</v>
      </c>
      <c r="BU300" s="8" t="s">
        <v>106</v>
      </c>
      <c r="BV300" s="8" t="s">
        <v>123</v>
      </c>
      <c r="BW300" s="8" t="s">
        <v>110</v>
      </c>
    </row>
    <row r="301" spans="1:75" x14ac:dyDescent="0.35">
      <c r="A301" t="s">
        <v>1238</v>
      </c>
      <c r="B301" s="1">
        <v>45985</v>
      </c>
      <c r="C301" s="2">
        <v>0.50995370370370374</v>
      </c>
      <c r="D301" t="s">
        <v>393</v>
      </c>
      <c r="E301" t="s">
        <v>394</v>
      </c>
      <c r="F301" t="s">
        <v>1239</v>
      </c>
      <c r="G301">
        <f>COUNTIF($F$2:$F$350,F301)</f>
        <v>1</v>
      </c>
      <c r="H301" t="s">
        <v>81</v>
      </c>
      <c r="I301" t="s">
        <v>82</v>
      </c>
      <c r="J301" t="s">
        <v>83</v>
      </c>
      <c r="K301" t="s">
        <v>84</v>
      </c>
      <c r="M301" t="s">
        <v>85</v>
      </c>
      <c r="N301" t="s">
        <v>86</v>
      </c>
      <c r="O301" t="s">
        <v>87</v>
      </c>
      <c r="P301" t="s">
        <v>173</v>
      </c>
      <c r="Q301" t="s">
        <v>89</v>
      </c>
      <c r="R301" t="s">
        <v>90</v>
      </c>
      <c r="S301" t="s">
        <v>91</v>
      </c>
      <c r="T301" t="s">
        <v>92</v>
      </c>
      <c r="U301" t="s">
        <v>93</v>
      </c>
      <c r="V301" t="s">
        <v>22</v>
      </c>
      <c r="W301" t="s">
        <v>420</v>
      </c>
      <c r="X301" t="s">
        <v>421</v>
      </c>
      <c r="Y301" t="s">
        <v>95</v>
      </c>
      <c r="Z301" t="s">
        <v>422</v>
      </c>
      <c r="AA301" t="b">
        <v>0</v>
      </c>
      <c r="AC301">
        <v>0</v>
      </c>
      <c r="AD301">
        <v>142</v>
      </c>
      <c r="AI301" t="s">
        <v>423</v>
      </c>
      <c r="AJ301" t="s">
        <v>88</v>
      </c>
      <c r="AK301" t="s">
        <v>1240</v>
      </c>
      <c r="AL301" t="s">
        <v>88</v>
      </c>
      <c r="AM301" t="s">
        <v>88</v>
      </c>
      <c r="AN301" t="s">
        <v>88</v>
      </c>
      <c r="AP301" t="s">
        <v>1241</v>
      </c>
      <c r="AQ301" t="s">
        <v>100</v>
      </c>
      <c r="AR301" t="s">
        <v>101</v>
      </c>
      <c r="AS301" t="s">
        <v>102</v>
      </c>
      <c r="AT301" t="s">
        <v>426</v>
      </c>
      <c r="AU301" t="s">
        <v>426</v>
      </c>
      <c r="AX301" t="s">
        <v>427</v>
      </c>
      <c r="AY301" t="s">
        <v>428</v>
      </c>
      <c r="AZ301" t="s">
        <v>100</v>
      </c>
      <c r="BA301" t="s">
        <v>101</v>
      </c>
      <c r="BB301" t="s">
        <v>102</v>
      </c>
      <c r="BC301" t="s">
        <v>429</v>
      </c>
      <c r="BD301" t="s">
        <v>429</v>
      </c>
      <c r="BF301" t="s">
        <v>143</v>
      </c>
      <c r="BG301">
        <v>7018</v>
      </c>
      <c r="BH301" t="s">
        <v>430</v>
      </c>
      <c r="BO301">
        <v>5</v>
      </c>
      <c r="BR301" t="s">
        <v>100</v>
      </c>
      <c r="BS301" t="s">
        <v>109</v>
      </c>
      <c r="BT301" t="s">
        <v>102</v>
      </c>
      <c r="BU301" t="s">
        <v>429</v>
      </c>
      <c r="BV301" t="s">
        <v>431</v>
      </c>
      <c r="BW301" t="s">
        <v>110</v>
      </c>
    </row>
    <row r="302" spans="1:75" x14ac:dyDescent="0.35">
      <c r="A302" t="s">
        <v>1242</v>
      </c>
      <c r="B302" s="1">
        <v>45985</v>
      </c>
      <c r="C302" s="2">
        <v>0.4621527777777778</v>
      </c>
      <c r="D302" t="s">
        <v>112</v>
      </c>
      <c r="E302" t="s">
        <v>113</v>
      </c>
      <c r="F302" t="s">
        <v>114</v>
      </c>
      <c r="G302">
        <f>COUNTIF($F$2:$F$350,F302)</f>
        <v>42</v>
      </c>
      <c r="H302" t="s">
        <v>115</v>
      </c>
      <c r="I302" t="s">
        <v>82</v>
      </c>
      <c r="J302" t="s">
        <v>83</v>
      </c>
      <c r="K302" t="s">
        <v>84</v>
      </c>
      <c r="M302" t="s">
        <v>85</v>
      </c>
      <c r="N302" t="s">
        <v>116</v>
      </c>
      <c r="O302" t="s">
        <v>87</v>
      </c>
      <c r="P302" t="s">
        <v>88</v>
      </c>
      <c r="Q302" t="s">
        <v>89</v>
      </c>
      <c r="R302" t="s">
        <v>90</v>
      </c>
      <c r="S302" t="s">
        <v>91</v>
      </c>
      <c r="T302" t="s">
        <v>92</v>
      </c>
      <c r="U302" t="s">
        <v>93</v>
      </c>
      <c r="V302" t="s">
        <v>22</v>
      </c>
      <c r="X302" t="s">
        <v>94</v>
      </c>
      <c r="Y302" t="s">
        <v>95</v>
      </c>
      <c r="Z302" t="s">
        <v>96</v>
      </c>
      <c r="AA302" t="b">
        <v>0</v>
      </c>
      <c r="AC302">
        <v>0</v>
      </c>
      <c r="AD302">
        <v>135</v>
      </c>
      <c r="AI302" t="s">
        <v>117</v>
      </c>
      <c r="AJ302" t="s">
        <v>88</v>
      </c>
      <c r="AK302" t="s">
        <v>1243</v>
      </c>
      <c r="AL302" t="s">
        <v>88</v>
      </c>
      <c r="AM302" t="s">
        <v>88</v>
      </c>
      <c r="AN302" t="s">
        <v>88</v>
      </c>
      <c r="AO302">
        <v>1002</v>
      </c>
      <c r="AP302" t="s">
        <v>1244</v>
      </c>
      <c r="AQ302" t="s">
        <v>100</v>
      </c>
      <c r="AR302" t="s">
        <v>101</v>
      </c>
      <c r="AS302" t="s">
        <v>120</v>
      </c>
      <c r="AT302" t="s">
        <v>103</v>
      </c>
      <c r="AU302" t="s">
        <v>103</v>
      </c>
      <c r="AX302" t="s">
        <v>104</v>
      </c>
      <c r="AY302" t="s">
        <v>121</v>
      </c>
      <c r="AZ302" t="s">
        <v>100</v>
      </c>
      <c r="BA302" t="s">
        <v>101</v>
      </c>
      <c r="BB302" t="s">
        <v>102</v>
      </c>
      <c r="BC302" t="s">
        <v>103</v>
      </c>
      <c r="BD302" t="s">
        <v>103</v>
      </c>
      <c r="BF302" t="s">
        <v>107</v>
      </c>
      <c r="BG302">
        <v>16700</v>
      </c>
      <c r="BH302" t="s">
        <v>122</v>
      </c>
      <c r="BO302">
        <v>12</v>
      </c>
      <c r="BR302" t="s">
        <v>100</v>
      </c>
      <c r="BS302" t="s">
        <v>109</v>
      </c>
      <c r="BT302" t="s">
        <v>102</v>
      </c>
      <c r="BU302" t="s">
        <v>106</v>
      </c>
      <c r="BV302" t="s">
        <v>123</v>
      </c>
      <c r="BW302" t="s">
        <v>110</v>
      </c>
    </row>
    <row r="303" spans="1:75" s="8" customFormat="1" x14ac:dyDescent="0.35">
      <c r="A303" s="8" t="s">
        <v>1245</v>
      </c>
      <c r="B303" s="9">
        <v>45985</v>
      </c>
      <c r="C303" s="10">
        <v>0.4498611111111111</v>
      </c>
      <c r="D303" s="8" t="s">
        <v>549</v>
      </c>
      <c r="E303" s="8" t="s">
        <v>550</v>
      </c>
      <c r="F303" s="11" t="s">
        <v>172</v>
      </c>
      <c r="G303" s="8">
        <f>COUNTIF($F$2:$F$350,F303)</f>
        <v>213</v>
      </c>
      <c r="H303" s="8" t="s">
        <v>115</v>
      </c>
      <c r="I303" s="8" t="s">
        <v>82</v>
      </c>
      <c r="J303" s="8" t="s">
        <v>83</v>
      </c>
      <c r="K303" s="8" t="s">
        <v>84</v>
      </c>
      <c r="M303" s="8" t="s">
        <v>85</v>
      </c>
      <c r="N303" s="8" t="s">
        <v>86</v>
      </c>
      <c r="O303" s="8" t="s">
        <v>87</v>
      </c>
      <c r="P303" s="8" t="s">
        <v>173</v>
      </c>
      <c r="Q303" s="8" t="s">
        <v>89</v>
      </c>
      <c r="R303" s="8" t="s">
        <v>90</v>
      </c>
      <c r="S303" s="8" t="s">
        <v>91</v>
      </c>
      <c r="T303" s="8" t="s">
        <v>92</v>
      </c>
      <c r="U303" s="8" t="s">
        <v>93</v>
      </c>
      <c r="V303" s="8" t="s">
        <v>22</v>
      </c>
      <c r="W303" s="8" t="s">
        <v>731</v>
      </c>
      <c r="X303" s="8" t="s">
        <v>177</v>
      </c>
      <c r="Y303" s="8" t="s">
        <v>95</v>
      </c>
      <c r="Z303" s="8" t="s">
        <v>189</v>
      </c>
      <c r="AA303" s="8" t="b">
        <v>0</v>
      </c>
      <c r="AC303" s="8">
        <v>0</v>
      </c>
      <c r="AD303" s="8">
        <v>100</v>
      </c>
      <c r="AI303" s="8" t="s">
        <v>732</v>
      </c>
      <c r="AJ303" s="8" t="s">
        <v>88</v>
      </c>
      <c r="AK303" s="8" t="s">
        <v>1246</v>
      </c>
      <c r="AL303" s="8" t="s">
        <v>88</v>
      </c>
      <c r="AM303" s="8" t="s">
        <v>88</v>
      </c>
      <c r="AN303" s="8" t="s">
        <v>88</v>
      </c>
      <c r="AP303" s="8" t="s">
        <v>1247</v>
      </c>
      <c r="AQ303" s="8" t="s">
        <v>100</v>
      </c>
      <c r="AR303" s="8" t="s">
        <v>101</v>
      </c>
      <c r="AS303" s="8" t="s">
        <v>120</v>
      </c>
      <c r="AT303" s="8" t="s">
        <v>103</v>
      </c>
      <c r="AU303" s="8" t="s">
        <v>103</v>
      </c>
      <c r="AX303" s="8" t="s">
        <v>104</v>
      </c>
      <c r="AY303" s="8" t="s">
        <v>121</v>
      </c>
      <c r="AZ303" s="8" t="s">
        <v>100</v>
      </c>
      <c r="BA303" s="8" t="s">
        <v>101</v>
      </c>
      <c r="BB303" s="8" t="s">
        <v>102</v>
      </c>
      <c r="BC303" s="8" t="s">
        <v>103</v>
      </c>
      <c r="BD303" s="8" t="s">
        <v>103</v>
      </c>
      <c r="BF303" s="8" t="s">
        <v>107</v>
      </c>
      <c r="BG303" s="8">
        <v>16700</v>
      </c>
      <c r="BH303" s="8" t="s">
        <v>122</v>
      </c>
      <c r="BO303" s="8">
        <v>12</v>
      </c>
      <c r="BR303" s="8" t="s">
        <v>100</v>
      </c>
      <c r="BS303" s="8" t="s">
        <v>182</v>
      </c>
      <c r="BT303" s="8" t="s">
        <v>183</v>
      </c>
      <c r="BU303" s="8" t="s">
        <v>106</v>
      </c>
      <c r="BV303" s="8" t="s">
        <v>123</v>
      </c>
      <c r="BW303" s="8" t="s">
        <v>110</v>
      </c>
    </row>
    <row r="304" spans="1:75" s="8" customFormat="1" x14ac:dyDescent="0.35">
      <c r="A304" s="8" t="s">
        <v>1248</v>
      </c>
      <c r="B304" s="9">
        <v>45985</v>
      </c>
      <c r="C304" s="10">
        <v>0.42355324074074074</v>
      </c>
      <c r="D304" s="8" t="s">
        <v>78</v>
      </c>
      <c r="E304" s="8" t="s">
        <v>79</v>
      </c>
      <c r="F304" s="11" t="s">
        <v>80</v>
      </c>
      <c r="G304" s="8">
        <f>COUNTIF($F$2:$F$350,F304)</f>
        <v>38</v>
      </c>
      <c r="H304" s="8" t="s">
        <v>81</v>
      </c>
      <c r="I304" s="8" t="s">
        <v>82</v>
      </c>
      <c r="J304" s="8" t="s">
        <v>83</v>
      </c>
      <c r="K304" s="8" t="s">
        <v>84</v>
      </c>
      <c r="M304" s="8" t="s">
        <v>85</v>
      </c>
      <c r="N304" s="8" t="s">
        <v>86</v>
      </c>
      <c r="O304" s="8" t="s">
        <v>87</v>
      </c>
      <c r="P304" s="8" t="s">
        <v>88</v>
      </c>
      <c r="Q304" s="8" t="s">
        <v>89</v>
      </c>
      <c r="R304" s="8" t="s">
        <v>90</v>
      </c>
      <c r="S304" s="8" t="s">
        <v>91</v>
      </c>
      <c r="T304" s="8" t="s">
        <v>92</v>
      </c>
      <c r="U304" s="8" t="s">
        <v>93</v>
      </c>
      <c r="V304" s="8" t="s">
        <v>22</v>
      </c>
      <c r="X304" s="8" t="s">
        <v>94</v>
      </c>
      <c r="Y304" s="8" t="s">
        <v>95</v>
      </c>
      <c r="Z304" s="8" t="s">
        <v>96</v>
      </c>
      <c r="AA304" s="8" t="b">
        <v>0</v>
      </c>
      <c r="AC304" s="8">
        <v>0</v>
      </c>
      <c r="AD304" s="8">
        <v>97</v>
      </c>
      <c r="AI304" s="8" t="s">
        <v>97</v>
      </c>
      <c r="AJ304" s="8" t="s">
        <v>88</v>
      </c>
      <c r="AK304" s="8" t="s">
        <v>1249</v>
      </c>
      <c r="AL304" s="8" t="s">
        <v>88</v>
      </c>
      <c r="AM304" s="8" t="s">
        <v>88</v>
      </c>
      <c r="AN304" s="8" t="s">
        <v>88</v>
      </c>
      <c r="AO304" s="8">
        <v>1002</v>
      </c>
      <c r="AP304" s="8" t="s">
        <v>1250</v>
      </c>
      <c r="AQ304" s="8" t="s">
        <v>100</v>
      </c>
      <c r="AR304" s="8" t="s">
        <v>101</v>
      </c>
      <c r="AS304" s="8" t="s">
        <v>102</v>
      </c>
      <c r="AT304" s="8" t="s">
        <v>103</v>
      </c>
      <c r="AU304" s="8" t="s">
        <v>103</v>
      </c>
      <c r="AX304" s="8" t="s">
        <v>104</v>
      </c>
      <c r="AY304" s="8" t="s">
        <v>105</v>
      </c>
      <c r="AZ304" s="8" t="s">
        <v>100</v>
      </c>
      <c r="BA304" s="8" t="s">
        <v>101</v>
      </c>
      <c r="BB304" s="8" t="s">
        <v>102</v>
      </c>
      <c r="BC304" s="8" t="s">
        <v>103</v>
      </c>
      <c r="BD304" s="8" t="s">
        <v>106</v>
      </c>
      <c r="BF304" s="8" t="s">
        <v>107</v>
      </c>
      <c r="BG304" s="8">
        <v>16700</v>
      </c>
      <c r="BH304" s="8" t="s">
        <v>108</v>
      </c>
      <c r="BO304" s="8">
        <v>0</v>
      </c>
      <c r="BR304" s="8" t="s">
        <v>100</v>
      </c>
      <c r="BS304" s="8" t="s">
        <v>109</v>
      </c>
      <c r="BT304" s="8" t="s">
        <v>102</v>
      </c>
      <c r="BU304" s="8" t="s">
        <v>103</v>
      </c>
      <c r="BV304" s="8" t="s">
        <v>106</v>
      </c>
      <c r="BW304" s="8" t="s">
        <v>110</v>
      </c>
    </row>
    <row r="305" spans="1:75" s="8" customFormat="1" x14ac:dyDescent="0.35">
      <c r="A305" s="8" t="s">
        <v>1251</v>
      </c>
      <c r="B305" s="9">
        <v>45985</v>
      </c>
      <c r="C305" s="10">
        <v>0.36157407407407405</v>
      </c>
      <c r="D305" s="8" t="s">
        <v>220</v>
      </c>
      <c r="E305" s="8" t="s">
        <v>221</v>
      </c>
      <c r="F305" s="11" t="s">
        <v>172</v>
      </c>
      <c r="G305" s="8">
        <f>COUNTIF($F$2:$F$350,F305)</f>
        <v>213</v>
      </c>
      <c r="H305" s="8" t="s">
        <v>115</v>
      </c>
      <c r="I305" s="8" t="s">
        <v>82</v>
      </c>
      <c r="J305" s="8" t="s">
        <v>83</v>
      </c>
      <c r="K305" s="8" t="s">
        <v>84</v>
      </c>
      <c r="M305" s="8" t="s">
        <v>85</v>
      </c>
      <c r="N305" s="8" t="s">
        <v>86</v>
      </c>
      <c r="O305" s="8" t="s">
        <v>87</v>
      </c>
      <c r="P305" s="8" t="s">
        <v>88</v>
      </c>
      <c r="Q305" s="8" t="s">
        <v>89</v>
      </c>
      <c r="R305" s="8" t="s">
        <v>90</v>
      </c>
      <c r="S305" s="8" t="s">
        <v>91</v>
      </c>
      <c r="T305" s="8" t="s">
        <v>92</v>
      </c>
      <c r="U305" s="8" t="s">
        <v>93</v>
      </c>
      <c r="V305" s="8" t="s">
        <v>22</v>
      </c>
      <c r="X305" s="8" t="s">
        <v>1223</v>
      </c>
      <c r="Y305" s="8" t="s">
        <v>1224</v>
      </c>
      <c r="Z305" s="8" t="s">
        <v>1225</v>
      </c>
      <c r="AA305" s="8" t="b">
        <v>0</v>
      </c>
      <c r="AC305" s="8">
        <v>0</v>
      </c>
      <c r="AD305" s="8">
        <v>109</v>
      </c>
      <c r="AI305" s="8" t="s">
        <v>1226</v>
      </c>
      <c r="AJ305" s="8" t="s">
        <v>88</v>
      </c>
      <c r="AK305" s="8" t="s">
        <v>1252</v>
      </c>
      <c r="AL305" s="8" t="s">
        <v>88</v>
      </c>
      <c r="AM305" s="8" t="s">
        <v>88</v>
      </c>
      <c r="AN305" s="8" t="s">
        <v>88</v>
      </c>
      <c r="AO305" s="8">
        <v>1002</v>
      </c>
      <c r="AP305" s="8" t="s">
        <v>1253</v>
      </c>
      <c r="AQ305" s="8" t="s">
        <v>100</v>
      </c>
      <c r="AR305" s="8" t="s">
        <v>101</v>
      </c>
      <c r="AS305" s="8" t="s">
        <v>120</v>
      </c>
      <c r="AT305" s="8" t="s">
        <v>103</v>
      </c>
      <c r="AU305" s="8" t="s">
        <v>103</v>
      </c>
      <c r="AX305" s="8" t="s">
        <v>104</v>
      </c>
      <c r="AY305" s="8" t="s">
        <v>121</v>
      </c>
      <c r="AZ305" s="8" t="s">
        <v>100</v>
      </c>
      <c r="BA305" s="8" t="s">
        <v>101</v>
      </c>
      <c r="BB305" s="8" t="s">
        <v>102</v>
      </c>
      <c r="BC305" s="8" t="s">
        <v>103</v>
      </c>
      <c r="BD305" s="8" t="s">
        <v>103</v>
      </c>
      <c r="BF305" s="8" t="s">
        <v>107</v>
      </c>
      <c r="BG305" s="8">
        <v>16700</v>
      </c>
      <c r="BH305" s="8" t="s">
        <v>122</v>
      </c>
      <c r="BO305" s="8">
        <v>12</v>
      </c>
      <c r="BR305" s="8" t="s">
        <v>100</v>
      </c>
      <c r="BS305" s="8" t="s">
        <v>182</v>
      </c>
      <c r="BT305" s="8" t="s">
        <v>183</v>
      </c>
      <c r="BU305" s="8" t="s">
        <v>106</v>
      </c>
      <c r="BV305" s="8" t="s">
        <v>123</v>
      </c>
      <c r="BW305" s="8" t="s">
        <v>110</v>
      </c>
    </row>
    <row r="306" spans="1:75" x14ac:dyDescent="0.35">
      <c r="A306" t="s">
        <v>1254</v>
      </c>
      <c r="B306" s="1">
        <v>45985</v>
      </c>
      <c r="C306" s="2">
        <v>0.2933912037037037</v>
      </c>
      <c r="D306" t="s">
        <v>112</v>
      </c>
      <c r="E306" t="s">
        <v>113</v>
      </c>
      <c r="F306" t="s">
        <v>114</v>
      </c>
      <c r="G306">
        <f>COUNTIF($F$2:$F$350,F306)</f>
        <v>42</v>
      </c>
      <c r="H306" t="s">
        <v>115</v>
      </c>
      <c r="I306" t="s">
        <v>82</v>
      </c>
      <c r="J306" t="s">
        <v>83</v>
      </c>
      <c r="K306" t="s">
        <v>84</v>
      </c>
      <c r="M306" t="s">
        <v>85</v>
      </c>
      <c r="N306" t="s">
        <v>116</v>
      </c>
      <c r="O306" t="s">
        <v>87</v>
      </c>
      <c r="P306" t="s">
        <v>88</v>
      </c>
      <c r="Q306" t="s">
        <v>89</v>
      </c>
      <c r="R306" t="s">
        <v>90</v>
      </c>
      <c r="S306" t="s">
        <v>91</v>
      </c>
      <c r="T306" t="s">
        <v>92</v>
      </c>
      <c r="U306" t="s">
        <v>93</v>
      </c>
      <c r="V306" t="s">
        <v>22</v>
      </c>
      <c r="X306" t="s">
        <v>94</v>
      </c>
      <c r="Y306" t="s">
        <v>95</v>
      </c>
      <c r="Z306" t="s">
        <v>96</v>
      </c>
      <c r="AA306" t="b">
        <v>0</v>
      </c>
      <c r="AC306">
        <v>0</v>
      </c>
      <c r="AD306">
        <v>75</v>
      </c>
      <c r="AI306" t="s">
        <v>117</v>
      </c>
      <c r="AJ306" t="s">
        <v>88</v>
      </c>
      <c r="AK306" t="s">
        <v>1255</v>
      </c>
      <c r="AL306" t="s">
        <v>88</v>
      </c>
      <c r="AM306" t="s">
        <v>88</v>
      </c>
      <c r="AN306" t="s">
        <v>88</v>
      </c>
      <c r="AO306">
        <v>1002</v>
      </c>
      <c r="AP306" t="s">
        <v>1256</v>
      </c>
      <c r="AQ306" t="s">
        <v>100</v>
      </c>
      <c r="AR306" t="s">
        <v>101</v>
      </c>
      <c r="AS306" t="s">
        <v>120</v>
      </c>
      <c r="AT306" t="s">
        <v>103</v>
      </c>
      <c r="AU306" t="s">
        <v>103</v>
      </c>
      <c r="AX306" t="s">
        <v>104</v>
      </c>
      <c r="AY306" t="s">
        <v>121</v>
      </c>
      <c r="AZ306" t="s">
        <v>100</v>
      </c>
      <c r="BA306" t="s">
        <v>101</v>
      </c>
      <c r="BB306" t="s">
        <v>102</v>
      </c>
      <c r="BC306" t="s">
        <v>103</v>
      </c>
      <c r="BD306" t="s">
        <v>103</v>
      </c>
      <c r="BF306" t="s">
        <v>107</v>
      </c>
      <c r="BG306">
        <v>16700</v>
      </c>
      <c r="BH306" t="s">
        <v>122</v>
      </c>
      <c r="BO306">
        <v>12</v>
      </c>
      <c r="BR306" t="s">
        <v>100</v>
      </c>
      <c r="BS306" t="s">
        <v>109</v>
      </c>
      <c r="BT306" t="s">
        <v>102</v>
      </c>
      <c r="BU306" t="s">
        <v>106</v>
      </c>
      <c r="BV306" t="s">
        <v>123</v>
      </c>
      <c r="BW306" t="s">
        <v>110</v>
      </c>
    </row>
    <row r="307" spans="1:75" s="8" customFormat="1" x14ac:dyDescent="0.35">
      <c r="A307" s="8" t="s">
        <v>1257</v>
      </c>
      <c r="B307" s="9">
        <v>45985</v>
      </c>
      <c r="C307" s="10">
        <v>0.2807175925925926</v>
      </c>
      <c r="D307" s="8" t="s">
        <v>549</v>
      </c>
      <c r="E307" s="8" t="s">
        <v>550</v>
      </c>
      <c r="F307" s="11" t="s">
        <v>172</v>
      </c>
      <c r="G307" s="8">
        <f>COUNTIF($F$2:$F$350,F307)</f>
        <v>213</v>
      </c>
      <c r="H307" s="8" t="s">
        <v>115</v>
      </c>
      <c r="I307" s="8" t="s">
        <v>82</v>
      </c>
      <c r="J307" s="8" t="s">
        <v>83</v>
      </c>
      <c r="K307" s="8" t="s">
        <v>84</v>
      </c>
      <c r="M307" s="8" t="s">
        <v>85</v>
      </c>
      <c r="N307" s="8" t="s">
        <v>86</v>
      </c>
      <c r="O307" s="8" t="s">
        <v>87</v>
      </c>
      <c r="P307" s="8" t="s">
        <v>173</v>
      </c>
      <c r="Q307" s="8" t="s">
        <v>89</v>
      </c>
      <c r="R307" s="8" t="s">
        <v>90</v>
      </c>
      <c r="S307" s="8" t="s">
        <v>91</v>
      </c>
      <c r="T307" s="8" t="s">
        <v>92</v>
      </c>
      <c r="U307" s="8" t="s">
        <v>93</v>
      </c>
      <c r="V307" s="8" t="s">
        <v>22</v>
      </c>
      <c r="W307" s="8" t="s">
        <v>731</v>
      </c>
      <c r="X307" s="8" t="s">
        <v>177</v>
      </c>
      <c r="Y307" s="8" t="s">
        <v>95</v>
      </c>
      <c r="Z307" s="8" t="s">
        <v>189</v>
      </c>
      <c r="AA307" s="8" t="b">
        <v>0</v>
      </c>
      <c r="AC307" s="8">
        <v>0</v>
      </c>
      <c r="AD307" s="8">
        <v>100</v>
      </c>
      <c r="AI307" s="8" t="s">
        <v>732</v>
      </c>
      <c r="AJ307" s="8" t="s">
        <v>88</v>
      </c>
      <c r="AK307" s="8" t="s">
        <v>1258</v>
      </c>
      <c r="AL307" s="8" t="s">
        <v>88</v>
      </c>
      <c r="AM307" s="8" t="s">
        <v>88</v>
      </c>
      <c r="AN307" s="8" t="s">
        <v>88</v>
      </c>
      <c r="AP307" s="8" t="s">
        <v>1259</v>
      </c>
      <c r="AQ307" s="8" t="s">
        <v>100</v>
      </c>
      <c r="AR307" s="8" t="s">
        <v>101</v>
      </c>
      <c r="AS307" s="8" t="s">
        <v>120</v>
      </c>
      <c r="AT307" s="8" t="s">
        <v>103</v>
      </c>
      <c r="AU307" s="8" t="s">
        <v>103</v>
      </c>
      <c r="AX307" s="8" t="s">
        <v>104</v>
      </c>
      <c r="AY307" s="8" t="s">
        <v>121</v>
      </c>
      <c r="AZ307" s="8" t="s">
        <v>100</v>
      </c>
      <c r="BA307" s="8" t="s">
        <v>101</v>
      </c>
      <c r="BB307" s="8" t="s">
        <v>102</v>
      </c>
      <c r="BC307" s="8" t="s">
        <v>103</v>
      </c>
      <c r="BD307" s="8" t="s">
        <v>103</v>
      </c>
      <c r="BF307" s="8" t="s">
        <v>107</v>
      </c>
      <c r="BG307" s="8">
        <v>16700</v>
      </c>
      <c r="BH307" s="8" t="s">
        <v>122</v>
      </c>
      <c r="BO307" s="8">
        <v>12</v>
      </c>
      <c r="BR307" s="8" t="s">
        <v>100</v>
      </c>
      <c r="BS307" s="8" t="s">
        <v>182</v>
      </c>
      <c r="BT307" s="8" t="s">
        <v>183</v>
      </c>
      <c r="BU307" s="8" t="s">
        <v>106</v>
      </c>
      <c r="BV307" s="8" t="s">
        <v>123</v>
      </c>
      <c r="BW307" s="8" t="s">
        <v>110</v>
      </c>
    </row>
    <row r="308" spans="1:75" s="8" customFormat="1" x14ac:dyDescent="0.35">
      <c r="A308" s="8" t="s">
        <v>1260</v>
      </c>
      <c r="B308" s="9">
        <v>45985</v>
      </c>
      <c r="C308" s="10">
        <v>0.25327546296296294</v>
      </c>
      <c r="D308" s="8" t="s">
        <v>78</v>
      </c>
      <c r="E308" s="8" t="s">
        <v>79</v>
      </c>
      <c r="F308" s="11" t="s">
        <v>80</v>
      </c>
      <c r="G308" s="8">
        <f>COUNTIF($F$2:$F$350,F308)</f>
        <v>38</v>
      </c>
      <c r="H308" s="8" t="s">
        <v>81</v>
      </c>
      <c r="I308" s="8" t="s">
        <v>82</v>
      </c>
      <c r="J308" s="8" t="s">
        <v>83</v>
      </c>
      <c r="K308" s="8" t="s">
        <v>84</v>
      </c>
      <c r="M308" s="8" t="s">
        <v>85</v>
      </c>
      <c r="N308" s="8" t="s">
        <v>86</v>
      </c>
      <c r="O308" s="8" t="s">
        <v>87</v>
      </c>
      <c r="P308" s="8" t="s">
        <v>88</v>
      </c>
      <c r="Q308" s="8" t="s">
        <v>89</v>
      </c>
      <c r="R308" s="8" t="s">
        <v>90</v>
      </c>
      <c r="S308" s="8" t="s">
        <v>91</v>
      </c>
      <c r="T308" s="8" t="s">
        <v>92</v>
      </c>
      <c r="U308" s="8" t="s">
        <v>93</v>
      </c>
      <c r="V308" s="8" t="s">
        <v>22</v>
      </c>
      <c r="X308" s="8" t="s">
        <v>94</v>
      </c>
      <c r="Y308" s="8" t="s">
        <v>95</v>
      </c>
      <c r="Z308" s="8" t="s">
        <v>96</v>
      </c>
      <c r="AA308" s="8" t="b">
        <v>0</v>
      </c>
      <c r="AC308" s="8">
        <v>0</v>
      </c>
      <c r="AD308" s="8">
        <v>114</v>
      </c>
      <c r="AI308" s="8" t="s">
        <v>97</v>
      </c>
      <c r="AJ308" s="8" t="s">
        <v>88</v>
      </c>
      <c r="AK308" s="8" t="s">
        <v>1261</v>
      </c>
      <c r="AL308" s="8" t="s">
        <v>88</v>
      </c>
      <c r="AM308" s="8" t="s">
        <v>88</v>
      </c>
      <c r="AN308" s="8" t="s">
        <v>88</v>
      </c>
      <c r="AO308" s="8">
        <v>1002</v>
      </c>
      <c r="AP308" s="8" t="s">
        <v>1262</v>
      </c>
      <c r="AQ308" s="8" t="s">
        <v>100</v>
      </c>
      <c r="AR308" s="8" t="s">
        <v>101</v>
      </c>
      <c r="AS308" s="8" t="s">
        <v>102</v>
      </c>
      <c r="AT308" s="8" t="s">
        <v>103</v>
      </c>
      <c r="AU308" s="8" t="s">
        <v>103</v>
      </c>
      <c r="AX308" s="8" t="s">
        <v>104</v>
      </c>
      <c r="AY308" s="8" t="s">
        <v>105</v>
      </c>
      <c r="AZ308" s="8" t="s">
        <v>100</v>
      </c>
      <c r="BA308" s="8" t="s">
        <v>101</v>
      </c>
      <c r="BB308" s="8" t="s">
        <v>102</v>
      </c>
      <c r="BC308" s="8" t="s">
        <v>103</v>
      </c>
      <c r="BD308" s="8" t="s">
        <v>106</v>
      </c>
      <c r="BF308" s="8" t="s">
        <v>107</v>
      </c>
      <c r="BG308" s="8">
        <v>16700</v>
      </c>
      <c r="BH308" s="8" t="s">
        <v>108</v>
      </c>
      <c r="BO308" s="8">
        <v>0</v>
      </c>
      <c r="BR308" s="8" t="s">
        <v>100</v>
      </c>
      <c r="BS308" s="8" t="s">
        <v>109</v>
      </c>
      <c r="BT308" s="8" t="s">
        <v>102</v>
      </c>
      <c r="BU308" s="8" t="s">
        <v>103</v>
      </c>
      <c r="BV308" s="8" t="s">
        <v>106</v>
      </c>
      <c r="BW308" s="8" t="s">
        <v>110</v>
      </c>
    </row>
    <row r="309" spans="1:75" s="8" customFormat="1" x14ac:dyDescent="0.35">
      <c r="A309" s="8" t="s">
        <v>1263</v>
      </c>
      <c r="B309" s="9">
        <v>45985</v>
      </c>
      <c r="C309" s="10">
        <v>0.18829861111111112</v>
      </c>
      <c r="D309" s="8" t="s">
        <v>220</v>
      </c>
      <c r="E309" s="8" t="s">
        <v>221</v>
      </c>
      <c r="F309" s="11" t="s">
        <v>172</v>
      </c>
      <c r="G309" s="8">
        <f>COUNTIF($F$2:$F$350,F309)</f>
        <v>213</v>
      </c>
      <c r="H309" s="8" t="s">
        <v>115</v>
      </c>
      <c r="I309" s="8" t="s">
        <v>82</v>
      </c>
      <c r="J309" s="8" t="s">
        <v>83</v>
      </c>
      <c r="K309" s="8" t="s">
        <v>84</v>
      </c>
      <c r="M309" s="8" t="s">
        <v>85</v>
      </c>
      <c r="N309" s="8" t="s">
        <v>86</v>
      </c>
      <c r="O309" s="8" t="s">
        <v>87</v>
      </c>
      <c r="P309" s="8" t="s">
        <v>88</v>
      </c>
      <c r="Q309" s="8" t="s">
        <v>89</v>
      </c>
      <c r="R309" s="8" t="s">
        <v>90</v>
      </c>
      <c r="S309" s="8" t="s">
        <v>91</v>
      </c>
      <c r="T309" s="8" t="s">
        <v>92</v>
      </c>
      <c r="U309" s="8" t="s">
        <v>93</v>
      </c>
      <c r="V309" s="8" t="s">
        <v>22</v>
      </c>
      <c r="X309" s="8" t="s">
        <v>1223</v>
      </c>
      <c r="Y309" s="8" t="s">
        <v>1224</v>
      </c>
      <c r="Z309" s="8" t="s">
        <v>1225</v>
      </c>
      <c r="AA309" s="8" t="b">
        <v>0</v>
      </c>
      <c r="AC309" s="8">
        <v>0</v>
      </c>
      <c r="AD309" s="8">
        <v>80</v>
      </c>
      <c r="AI309" s="8" t="s">
        <v>1226</v>
      </c>
      <c r="AJ309" s="8" t="s">
        <v>88</v>
      </c>
      <c r="AK309" s="8" t="s">
        <v>1264</v>
      </c>
      <c r="AL309" s="8" t="s">
        <v>88</v>
      </c>
      <c r="AM309" s="8" t="s">
        <v>88</v>
      </c>
      <c r="AN309" s="8" t="s">
        <v>88</v>
      </c>
      <c r="AO309" s="8">
        <v>1002</v>
      </c>
      <c r="AP309" s="8" t="s">
        <v>1265</v>
      </c>
      <c r="AQ309" s="8" t="s">
        <v>100</v>
      </c>
      <c r="AR309" s="8" t="s">
        <v>101</v>
      </c>
      <c r="AS309" s="8" t="s">
        <v>120</v>
      </c>
      <c r="AT309" s="8" t="s">
        <v>103</v>
      </c>
      <c r="AU309" s="8" t="s">
        <v>103</v>
      </c>
      <c r="AX309" s="8" t="s">
        <v>104</v>
      </c>
      <c r="AY309" s="8" t="s">
        <v>121</v>
      </c>
      <c r="AZ309" s="8" t="s">
        <v>100</v>
      </c>
      <c r="BA309" s="8" t="s">
        <v>101</v>
      </c>
      <c r="BB309" s="8" t="s">
        <v>102</v>
      </c>
      <c r="BC309" s="8" t="s">
        <v>103</v>
      </c>
      <c r="BD309" s="8" t="s">
        <v>103</v>
      </c>
      <c r="BF309" s="8" t="s">
        <v>107</v>
      </c>
      <c r="BG309" s="8">
        <v>16700</v>
      </c>
      <c r="BH309" s="8" t="s">
        <v>122</v>
      </c>
      <c r="BO309" s="8">
        <v>12</v>
      </c>
      <c r="BR309" s="8" t="s">
        <v>100</v>
      </c>
      <c r="BS309" s="8" t="s">
        <v>182</v>
      </c>
      <c r="BT309" s="8" t="s">
        <v>183</v>
      </c>
      <c r="BU309" s="8" t="s">
        <v>106</v>
      </c>
      <c r="BV309" s="8" t="s">
        <v>123</v>
      </c>
      <c r="BW309" s="8" t="s">
        <v>110</v>
      </c>
    </row>
    <row r="310" spans="1:75" x14ac:dyDescent="0.35">
      <c r="A310" t="s">
        <v>1266</v>
      </c>
      <c r="B310" s="1">
        <v>45985</v>
      </c>
      <c r="C310" s="2">
        <v>0.12465277777777778</v>
      </c>
      <c r="D310" t="s">
        <v>112</v>
      </c>
      <c r="E310" t="s">
        <v>113</v>
      </c>
      <c r="F310" t="s">
        <v>114</v>
      </c>
      <c r="G310">
        <f>COUNTIF($F$2:$F$350,F310)</f>
        <v>42</v>
      </c>
      <c r="H310" t="s">
        <v>115</v>
      </c>
      <c r="I310" t="s">
        <v>82</v>
      </c>
      <c r="J310" t="s">
        <v>83</v>
      </c>
      <c r="K310" t="s">
        <v>84</v>
      </c>
      <c r="M310" t="s">
        <v>85</v>
      </c>
      <c r="N310" t="s">
        <v>116</v>
      </c>
      <c r="O310" t="s">
        <v>87</v>
      </c>
      <c r="P310" t="s">
        <v>88</v>
      </c>
      <c r="Q310" t="s">
        <v>89</v>
      </c>
      <c r="R310" t="s">
        <v>90</v>
      </c>
      <c r="S310" t="s">
        <v>91</v>
      </c>
      <c r="T310" t="s">
        <v>92</v>
      </c>
      <c r="U310" t="s">
        <v>93</v>
      </c>
      <c r="V310" t="s">
        <v>22</v>
      </c>
      <c r="X310" t="s">
        <v>94</v>
      </c>
      <c r="Y310" t="s">
        <v>95</v>
      </c>
      <c r="Z310" t="s">
        <v>96</v>
      </c>
      <c r="AA310" t="b">
        <v>0</v>
      </c>
      <c r="AC310">
        <v>0</v>
      </c>
      <c r="AD310">
        <v>109</v>
      </c>
      <c r="AI310" t="s">
        <v>117</v>
      </c>
      <c r="AJ310" t="s">
        <v>88</v>
      </c>
      <c r="AK310" t="s">
        <v>1267</v>
      </c>
      <c r="AL310" t="s">
        <v>88</v>
      </c>
      <c r="AM310" t="s">
        <v>88</v>
      </c>
      <c r="AN310" t="s">
        <v>88</v>
      </c>
      <c r="AO310">
        <v>1002</v>
      </c>
      <c r="AP310" s="3" t="s">
        <v>1268</v>
      </c>
      <c r="AQ310" t="s">
        <v>100</v>
      </c>
      <c r="AR310" t="s">
        <v>101</v>
      </c>
      <c r="AS310" t="s">
        <v>120</v>
      </c>
      <c r="AT310" t="s">
        <v>103</v>
      </c>
      <c r="AU310" t="s">
        <v>103</v>
      </c>
      <c r="AX310" t="s">
        <v>104</v>
      </c>
      <c r="AY310" t="s">
        <v>121</v>
      </c>
      <c r="AZ310" t="s">
        <v>100</v>
      </c>
      <c r="BA310" t="s">
        <v>101</v>
      </c>
      <c r="BB310" t="s">
        <v>102</v>
      </c>
      <c r="BC310" t="s">
        <v>103</v>
      </c>
      <c r="BD310" t="s">
        <v>103</v>
      </c>
      <c r="BF310" t="s">
        <v>107</v>
      </c>
      <c r="BG310">
        <v>16700</v>
      </c>
      <c r="BH310" t="s">
        <v>122</v>
      </c>
      <c r="BO310">
        <v>12</v>
      </c>
      <c r="BR310" t="s">
        <v>100</v>
      </c>
      <c r="BS310" t="s">
        <v>109</v>
      </c>
      <c r="BT310" t="s">
        <v>102</v>
      </c>
      <c r="BU310" t="s">
        <v>106</v>
      </c>
      <c r="BV310" t="s">
        <v>123</v>
      </c>
      <c r="BW310" t="s">
        <v>110</v>
      </c>
    </row>
    <row r="311" spans="1:75" s="8" customFormat="1" x14ac:dyDescent="0.35">
      <c r="A311" s="8" t="s">
        <v>1269</v>
      </c>
      <c r="B311" s="9">
        <v>45985</v>
      </c>
      <c r="C311" s="10">
        <v>0.11157407407407406</v>
      </c>
      <c r="D311" s="8" t="s">
        <v>549</v>
      </c>
      <c r="E311" s="8" t="s">
        <v>550</v>
      </c>
      <c r="F311" s="11" t="s">
        <v>172</v>
      </c>
      <c r="G311" s="8">
        <f>COUNTIF($F$2:$F$350,F311)</f>
        <v>213</v>
      </c>
      <c r="H311" s="8" t="s">
        <v>115</v>
      </c>
      <c r="I311" s="8" t="s">
        <v>82</v>
      </c>
      <c r="J311" s="8" t="s">
        <v>83</v>
      </c>
      <c r="K311" s="8" t="s">
        <v>84</v>
      </c>
      <c r="M311" s="8" t="s">
        <v>85</v>
      </c>
      <c r="N311" s="8" t="s">
        <v>86</v>
      </c>
      <c r="O311" s="8" t="s">
        <v>87</v>
      </c>
      <c r="P311" s="8" t="s">
        <v>173</v>
      </c>
      <c r="Q311" s="8" t="s">
        <v>89</v>
      </c>
      <c r="R311" s="8" t="s">
        <v>90</v>
      </c>
      <c r="S311" s="8" t="s">
        <v>91</v>
      </c>
      <c r="T311" s="8" t="s">
        <v>92</v>
      </c>
      <c r="U311" s="8" t="s">
        <v>93</v>
      </c>
      <c r="V311" s="8" t="s">
        <v>22</v>
      </c>
      <c r="W311" s="8" t="s">
        <v>731</v>
      </c>
      <c r="X311" s="8" t="s">
        <v>177</v>
      </c>
      <c r="Y311" s="8" t="s">
        <v>95</v>
      </c>
      <c r="Z311" s="8" t="s">
        <v>189</v>
      </c>
      <c r="AA311" s="8" t="b">
        <v>0</v>
      </c>
      <c r="AC311" s="8">
        <v>0</v>
      </c>
      <c r="AD311" s="8">
        <v>130</v>
      </c>
      <c r="AI311" s="8" t="s">
        <v>732</v>
      </c>
      <c r="AJ311" s="8" t="s">
        <v>88</v>
      </c>
      <c r="AK311" s="8" t="s">
        <v>1270</v>
      </c>
      <c r="AL311" s="8" t="s">
        <v>88</v>
      </c>
      <c r="AM311" s="8" t="s">
        <v>88</v>
      </c>
      <c r="AN311" s="8" t="s">
        <v>88</v>
      </c>
      <c r="AP311" s="8" t="s">
        <v>1271</v>
      </c>
      <c r="AQ311" s="8" t="s">
        <v>100</v>
      </c>
      <c r="AR311" s="8" t="s">
        <v>101</v>
      </c>
      <c r="AS311" s="8" t="s">
        <v>120</v>
      </c>
      <c r="AT311" s="8" t="s">
        <v>103</v>
      </c>
      <c r="AU311" s="8" t="s">
        <v>103</v>
      </c>
      <c r="AX311" s="8" t="s">
        <v>104</v>
      </c>
      <c r="AY311" s="8" t="s">
        <v>121</v>
      </c>
      <c r="AZ311" s="8" t="s">
        <v>100</v>
      </c>
      <c r="BA311" s="8" t="s">
        <v>101</v>
      </c>
      <c r="BB311" s="8" t="s">
        <v>102</v>
      </c>
      <c r="BC311" s="8" t="s">
        <v>103</v>
      </c>
      <c r="BD311" s="8" t="s">
        <v>103</v>
      </c>
      <c r="BF311" s="8" t="s">
        <v>107</v>
      </c>
      <c r="BG311" s="8">
        <v>16700</v>
      </c>
      <c r="BH311" s="8" t="s">
        <v>122</v>
      </c>
      <c r="BO311" s="8">
        <v>12</v>
      </c>
      <c r="BR311" s="8" t="s">
        <v>100</v>
      </c>
      <c r="BS311" s="8" t="s">
        <v>182</v>
      </c>
      <c r="BT311" s="8" t="s">
        <v>183</v>
      </c>
      <c r="BU311" s="8" t="s">
        <v>106</v>
      </c>
      <c r="BV311" s="8" t="s">
        <v>123</v>
      </c>
      <c r="BW311" s="8" t="s">
        <v>110</v>
      </c>
    </row>
    <row r="312" spans="1:75" s="8" customFormat="1" x14ac:dyDescent="0.35">
      <c r="A312" s="8" t="s">
        <v>1272</v>
      </c>
      <c r="B312" s="9">
        <v>45985</v>
      </c>
      <c r="C312" s="10">
        <v>8.3009259259259269E-2</v>
      </c>
      <c r="D312" s="8" t="s">
        <v>78</v>
      </c>
      <c r="E312" s="8" t="s">
        <v>79</v>
      </c>
      <c r="F312" s="11" t="s">
        <v>80</v>
      </c>
      <c r="G312" s="8">
        <f>COUNTIF($F$2:$F$350,F312)</f>
        <v>38</v>
      </c>
      <c r="H312" s="8" t="s">
        <v>81</v>
      </c>
      <c r="I312" s="8" t="s">
        <v>82</v>
      </c>
      <c r="J312" s="8" t="s">
        <v>83</v>
      </c>
      <c r="K312" s="8" t="s">
        <v>84</v>
      </c>
      <c r="M312" s="8" t="s">
        <v>85</v>
      </c>
      <c r="N312" s="8" t="s">
        <v>86</v>
      </c>
      <c r="O312" s="8" t="s">
        <v>87</v>
      </c>
      <c r="P312" s="8" t="s">
        <v>88</v>
      </c>
      <c r="Q312" s="8" t="s">
        <v>89</v>
      </c>
      <c r="R312" s="8" t="s">
        <v>90</v>
      </c>
      <c r="S312" s="8" t="s">
        <v>91</v>
      </c>
      <c r="T312" s="8" t="s">
        <v>92</v>
      </c>
      <c r="U312" s="8" t="s">
        <v>93</v>
      </c>
      <c r="V312" s="8" t="s">
        <v>22</v>
      </c>
      <c r="X312" s="8" t="s">
        <v>94</v>
      </c>
      <c r="Y312" s="8" t="s">
        <v>95</v>
      </c>
      <c r="Z312" s="8" t="s">
        <v>96</v>
      </c>
      <c r="AA312" s="8" t="b">
        <v>0</v>
      </c>
      <c r="AC312" s="8">
        <v>0</v>
      </c>
      <c r="AD312" s="8">
        <v>106</v>
      </c>
      <c r="AI312" s="8" t="s">
        <v>97</v>
      </c>
      <c r="AJ312" s="8" t="s">
        <v>88</v>
      </c>
      <c r="AK312" s="8" t="s">
        <v>1273</v>
      </c>
      <c r="AL312" s="8" t="s">
        <v>88</v>
      </c>
      <c r="AM312" s="8" t="s">
        <v>88</v>
      </c>
      <c r="AN312" s="8" t="s">
        <v>88</v>
      </c>
      <c r="AO312" s="8">
        <v>1002</v>
      </c>
      <c r="AP312" s="8" t="s">
        <v>1274</v>
      </c>
      <c r="AQ312" s="8" t="s">
        <v>100</v>
      </c>
      <c r="AR312" s="8" t="s">
        <v>101</v>
      </c>
      <c r="AS312" s="8" t="s">
        <v>102</v>
      </c>
      <c r="AT312" s="8" t="s">
        <v>103</v>
      </c>
      <c r="AU312" s="8" t="s">
        <v>103</v>
      </c>
      <c r="AX312" s="8" t="s">
        <v>104</v>
      </c>
      <c r="AY312" s="8" t="s">
        <v>105</v>
      </c>
      <c r="AZ312" s="8" t="s">
        <v>100</v>
      </c>
      <c r="BA312" s="8" t="s">
        <v>101</v>
      </c>
      <c r="BB312" s="8" t="s">
        <v>102</v>
      </c>
      <c r="BC312" s="8" t="s">
        <v>103</v>
      </c>
      <c r="BD312" s="8" t="s">
        <v>106</v>
      </c>
      <c r="BF312" s="8" t="s">
        <v>107</v>
      </c>
      <c r="BG312" s="8">
        <v>16700</v>
      </c>
      <c r="BH312" s="8" t="s">
        <v>108</v>
      </c>
      <c r="BO312" s="8">
        <v>0</v>
      </c>
      <c r="BR312" s="8" t="s">
        <v>100</v>
      </c>
      <c r="BS312" s="8" t="s">
        <v>109</v>
      </c>
      <c r="BT312" s="8" t="s">
        <v>102</v>
      </c>
      <c r="BU312" s="8" t="s">
        <v>103</v>
      </c>
      <c r="BV312" s="8" t="s">
        <v>106</v>
      </c>
      <c r="BW312" s="8" t="s">
        <v>110</v>
      </c>
    </row>
    <row r="313" spans="1:75" s="8" customFormat="1" x14ac:dyDescent="0.35">
      <c r="A313" s="8" t="s">
        <v>1275</v>
      </c>
      <c r="B313" s="9">
        <v>45985</v>
      </c>
      <c r="C313" s="10">
        <v>1.5023148148148148E-2</v>
      </c>
      <c r="D313" s="8" t="s">
        <v>220</v>
      </c>
      <c r="E313" s="8" t="s">
        <v>221</v>
      </c>
      <c r="F313" s="11" t="s">
        <v>172</v>
      </c>
      <c r="G313" s="8">
        <f>COUNTIF($F$2:$F$350,F313)</f>
        <v>213</v>
      </c>
      <c r="H313" s="8" t="s">
        <v>115</v>
      </c>
      <c r="I313" s="8" t="s">
        <v>82</v>
      </c>
      <c r="J313" s="8" t="s">
        <v>83</v>
      </c>
      <c r="K313" s="8" t="s">
        <v>84</v>
      </c>
      <c r="M313" s="8" t="s">
        <v>85</v>
      </c>
      <c r="N313" s="8" t="s">
        <v>86</v>
      </c>
      <c r="O313" s="8" t="s">
        <v>87</v>
      </c>
      <c r="P313" s="8" t="s">
        <v>88</v>
      </c>
      <c r="Q313" s="8" t="s">
        <v>89</v>
      </c>
      <c r="R313" s="8" t="s">
        <v>90</v>
      </c>
      <c r="S313" s="8" t="s">
        <v>91</v>
      </c>
      <c r="T313" s="8" t="s">
        <v>92</v>
      </c>
      <c r="U313" s="8" t="s">
        <v>93</v>
      </c>
      <c r="V313" s="8" t="s">
        <v>22</v>
      </c>
      <c r="X313" s="8" t="s">
        <v>1223</v>
      </c>
      <c r="Y313" s="8" t="s">
        <v>1224</v>
      </c>
      <c r="Z313" s="8" t="s">
        <v>1225</v>
      </c>
      <c r="AA313" s="8" t="b">
        <v>0</v>
      </c>
      <c r="AC313" s="8">
        <v>0</v>
      </c>
      <c r="AD313" s="8">
        <v>88</v>
      </c>
      <c r="AI313" s="8" t="s">
        <v>1226</v>
      </c>
      <c r="AJ313" s="8" t="s">
        <v>88</v>
      </c>
      <c r="AK313" s="8" t="s">
        <v>1276</v>
      </c>
      <c r="AL313" s="8" t="s">
        <v>88</v>
      </c>
      <c r="AM313" s="8" t="s">
        <v>88</v>
      </c>
      <c r="AN313" s="8" t="s">
        <v>88</v>
      </c>
      <c r="AO313" s="8">
        <v>1002</v>
      </c>
      <c r="AP313" s="8" t="s">
        <v>1277</v>
      </c>
      <c r="AQ313" s="8" t="s">
        <v>100</v>
      </c>
      <c r="AR313" s="8" t="s">
        <v>101</v>
      </c>
      <c r="AS313" s="8" t="s">
        <v>120</v>
      </c>
      <c r="AT313" s="8" t="s">
        <v>103</v>
      </c>
      <c r="AU313" s="8" t="s">
        <v>103</v>
      </c>
      <c r="AX313" s="8" t="s">
        <v>104</v>
      </c>
      <c r="AY313" s="8" t="s">
        <v>121</v>
      </c>
      <c r="AZ313" s="8" t="s">
        <v>100</v>
      </c>
      <c r="BA313" s="8" t="s">
        <v>101</v>
      </c>
      <c r="BB313" s="8" t="s">
        <v>102</v>
      </c>
      <c r="BC313" s="8" t="s">
        <v>103</v>
      </c>
      <c r="BD313" s="8" t="s">
        <v>103</v>
      </c>
      <c r="BF313" s="8" t="s">
        <v>107</v>
      </c>
      <c r="BG313" s="8">
        <v>16700</v>
      </c>
      <c r="BH313" s="8" t="s">
        <v>122</v>
      </c>
      <c r="BO313" s="8">
        <v>12</v>
      </c>
      <c r="BR313" s="8" t="s">
        <v>100</v>
      </c>
      <c r="BS313" s="8" t="s">
        <v>182</v>
      </c>
      <c r="BT313" s="8" t="s">
        <v>183</v>
      </c>
      <c r="BU313" s="8" t="s">
        <v>106</v>
      </c>
      <c r="BV313" s="8" t="s">
        <v>123</v>
      </c>
      <c r="BW313" s="8" t="s">
        <v>110</v>
      </c>
    </row>
    <row r="314" spans="1:75" x14ac:dyDescent="0.35">
      <c r="A314" t="s">
        <v>1278</v>
      </c>
      <c r="B314" s="1">
        <v>45984</v>
      </c>
      <c r="C314" s="2">
        <v>0.95519675925925929</v>
      </c>
      <c r="D314" t="s">
        <v>112</v>
      </c>
      <c r="E314" t="s">
        <v>113</v>
      </c>
      <c r="F314" t="s">
        <v>114</v>
      </c>
      <c r="G314">
        <f>COUNTIF($F$2:$F$350,F314)</f>
        <v>42</v>
      </c>
      <c r="H314" t="s">
        <v>115</v>
      </c>
      <c r="I314" t="s">
        <v>82</v>
      </c>
      <c r="J314" t="s">
        <v>83</v>
      </c>
      <c r="K314" t="s">
        <v>84</v>
      </c>
      <c r="M314" t="s">
        <v>85</v>
      </c>
      <c r="N314" t="s">
        <v>116</v>
      </c>
      <c r="O314" t="s">
        <v>87</v>
      </c>
      <c r="P314" t="s">
        <v>88</v>
      </c>
      <c r="Q314" t="s">
        <v>89</v>
      </c>
      <c r="R314" t="s">
        <v>90</v>
      </c>
      <c r="S314" t="s">
        <v>91</v>
      </c>
      <c r="T314" t="s">
        <v>92</v>
      </c>
      <c r="U314" t="s">
        <v>93</v>
      </c>
      <c r="V314" t="s">
        <v>22</v>
      </c>
      <c r="X314" t="s">
        <v>94</v>
      </c>
      <c r="Y314" t="s">
        <v>95</v>
      </c>
      <c r="Z314" t="s">
        <v>96</v>
      </c>
      <c r="AA314" t="b">
        <v>0</v>
      </c>
      <c r="AC314">
        <v>0</v>
      </c>
      <c r="AD314">
        <v>70</v>
      </c>
      <c r="AI314" t="s">
        <v>117</v>
      </c>
      <c r="AJ314" t="s">
        <v>88</v>
      </c>
      <c r="AK314" t="s">
        <v>1279</v>
      </c>
      <c r="AL314" t="s">
        <v>88</v>
      </c>
      <c r="AM314" t="s">
        <v>88</v>
      </c>
      <c r="AN314" t="s">
        <v>88</v>
      </c>
      <c r="AO314">
        <v>1002</v>
      </c>
      <c r="AP314" t="s">
        <v>1280</v>
      </c>
      <c r="AQ314" t="s">
        <v>100</v>
      </c>
      <c r="AR314" t="s">
        <v>101</v>
      </c>
      <c r="AS314" t="s">
        <v>120</v>
      </c>
      <c r="AT314" t="s">
        <v>103</v>
      </c>
      <c r="AU314" t="s">
        <v>103</v>
      </c>
      <c r="AX314" t="s">
        <v>104</v>
      </c>
      <c r="AY314" t="s">
        <v>121</v>
      </c>
      <c r="AZ314" t="s">
        <v>100</v>
      </c>
      <c r="BA314" t="s">
        <v>101</v>
      </c>
      <c r="BB314" t="s">
        <v>102</v>
      </c>
      <c r="BC314" t="s">
        <v>103</v>
      </c>
      <c r="BD314" t="s">
        <v>103</v>
      </c>
      <c r="BF314" t="s">
        <v>107</v>
      </c>
      <c r="BG314">
        <v>16700</v>
      </c>
      <c r="BH314" t="s">
        <v>122</v>
      </c>
      <c r="BO314">
        <v>12</v>
      </c>
      <c r="BR314" t="s">
        <v>100</v>
      </c>
      <c r="BS314" t="s">
        <v>109</v>
      </c>
      <c r="BT314" t="s">
        <v>102</v>
      </c>
      <c r="BU314" t="s">
        <v>106</v>
      </c>
      <c r="BV314" t="s">
        <v>123</v>
      </c>
      <c r="BW314" t="s">
        <v>110</v>
      </c>
    </row>
    <row r="315" spans="1:75" s="8" customFormat="1" x14ac:dyDescent="0.35">
      <c r="A315" s="8" t="s">
        <v>1281</v>
      </c>
      <c r="B315" s="9">
        <v>45984</v>
      </c>
      <c r="C315" s="10">
        <v>0.94243055555555555</v>
      </c>
      <c r="D315" s="8" t="s">
        <v>549</v>
      </c>
      <c r="E315" s="8" t="s">
        <v>550</v>
      </c>
      <c r="F315" s="11" t="s">
        <v>172</v>
      </c>
      <c r="G315" s="8">
        <f>COUNTIF($F$2:$F$350,F315)</f>
        <v>213</v>
      </c>
      <c r="H315" s="8" t="s">
        <v>115</v>
      </c>
      <c r="I315" s="8" t="s">
        <v>82</v>
      </c>
      <c r="J315" s="8" t="s">
        <v>83</v>
      </c>
      <c r="K315" s="8" t="s">
        <v>84</v>
      </c>
      <c r="M315" s="8" t="s">
        <v>85</v>
      </c>
      <c r="N315" s="8" t="s">
        <v>86</v>
      </c>
      <c r="O315" s="8" t="s">
        <v>87</v>
      </c>
      <c r="P315" s="8" t="s">
        <v>173</v>
      </c>
      <c r="Q315" s="8" t="s">
        <v>89</v>
      </c>
      <c r="R315" s="8" t="s">
        <v>90</v>
      </c>
      <c r="S315" s="8" t="s">
        <v>91</v>
      </c>
      <c r="T315" s="8" t="s">
        <v>92</v>
      </c>
      <c r="U315" s="8" t="s">
        <v>93</v>
      </c>
      <c r="V315" s="8" t="s">
        <v>22</v>
      </c>
      <c r="W315" s="8" t="s">
        <v>731</v>
      </c>
      <c r="X315" s="8" t="s">
        <v>177</v>
      </c>
      <c r="Y315" s="8" t="s">
        <v>95</v>
      </c>
      <c r="Z315" s="8" t="s">
        <v>189</v>
      </c>
      <c r="AA315" s="8" t="b">
        <v>0</v>
      </c>
      <c r="AC315" s="8">
        <v>0</v>
      </c>
      <c r="AD315" s="8">
        <v>382</v>
      </c>
      <c r="AI315" s="8" t="s">
        <v>732</v>
      </c>
      <c r="AJ315" s="8" t="s">
        <v>88</v>
      </c>
      <c r="AK315" s="8" t="s">
        <v>1282</v>
      </c>
      <c r="AL315" s="8" t="s">
        <v>88</v>
      </c>
      <c r="AM315" s="8" t="s">
        <v>88</v>
      </c>
      <c r="AN315" s="8" t="s">
        <v>88</v>
      </c>
      <c r="AP315" s="8" t="s">
        <v>1283</v>
      </c>
      <c r="AQ315" s="8" t="s">
        <v>100</v>
      </c>
      <c r="AR315" s="8" t="s">
        <v>101</v>
      </c>
      <c r="AS315" s="8" t="s">
        <v>120</v>
      </c>
      <c r="AT315" s="8" t="s">
        <v>103</v>
      </c>
      <c r="AU315" s="8" t="s">
        <v>103</v>
      </c>
      <c r="AX315" s="8" t="s">
        <v>104</v>
      </c>
      <c r="AY315" s="8" t="s">
        <v>121</v>
      </c>
      <c r="AZ315" s="8" t="s">
        <v>100</v>
      </c>
      <c r="BA315" s="8" t="s">
        <v>101</v>
      </c>
      <c r="BB315" s="8" t="s">
        <v>102</v>
      </c>
      <c r="BC315" s="8" t="s">
        <v>103</v>
      </c>
      <c r="BD315" s="8" t="s">
        <v>103</v>
      </c>
      <c r="BF315" s="8" t="s">
        <v>107</v>
      </c>
      <c r="BG315" s="8">
        <v>16700</v>
      </c>
      <c r="BH315" s="8" t="s">
        <v>122</v>
      </c>
      <c r="BO315" s="8">
        <v>12</v>
      </c>
      <c r="BR315" s="8" t="s">
        <v>100</v>
      </c>
      <c r="BS315" s="8" t="s">
        <v>182</v>
      </c>
      <c r="BT315" s="8" t="s">
        <v>183</v>
      </c>
      <c r="BU315" s="8" t="s">
        <v>106</v>
      </c>
      <c r="BV315" s="8" t="s">
        <v>123</v>
      </c>
      <c r="BW315" s="8" t="s">
        <v>110</v>
      </c>
    </row>
    <row r="316" spans="1:75" s="8" customFormat="1" x14ac:dyDescent="0.35">
      <c r="A316" s="8" t="s">
        <v>1284</v>
      </c>
      <c r="B316" s="9">
        <v>45984</v>
      </c>
      <c r="C316" s="10">
        <v>0.91273148148148142</v>
      </c>
      <c r="D316" s="8" t="s">
        <v>78</v>
      </c>
      <c r="E316" s="8" t="s">
        <v>79</v>
      </c>
      <c r="F316" s="11" t="s">
        <v>80</v>
      </c>
      <c r="G316" s="8">
        <f>COUNTIF($F$2:$F$350,F316)</f>
        <v>38</v>
      </c>
      <c r="H316" s="8" t="s">
        <v>81</v>
      </c>
      <c r="I316" s="8" t="s">
        <v>82</v>
      </c>
      <c r="J316" s="8" t="s">
        <v>83</v>
      </c>
      <c r="K316" s="8" t="s">
        <v>84</v>
      </c>
      <c r="M316" s="8" t="s">
        <v>85</v>
      </c>
      <c r="N316" s="8" t="s">
        <v>86</v>
      </c>
      <c r="O316" s="8" t="s">
        <v>87</v>
      </c>
      <c r="P316" s="8" t="s">
        <v>88</v>
      </c>
      <c r="Q316" s="8" t="s">
        <v>89</v>
      </c>
      <c r="R316" s="8" t="s">
        <v>90</v>
      </c>
      <c r="S316" s="8" t="s">
        <v>91</v>
      </c>
      <c r="T316" s="8" t="s">
        <v>92</v>
      </c>
      <c r="U316" s="8" t="s">
        <v>93</v>
      </c>
      <c r="V316" s="8" t="s">
        <v>22</v>
      </c>
      <c r="X316" s="8" t="s">
        <v>94</v>
      </c>
      <c r="Y316" s="8" t="s">
        <v>95</v>
      </c>
      <c r="Z316" s="8" t="s">
        <v>96</v>
      </c>
      <c r="AA316" s="8" t="b">
        <v>0</v>
      </c>
      <c r="AC316" s="8">
        <v>0</v>
      </c>
      <c r="AD316" s="8">
        <v>81</v>
      </c>
      <c r="AI316" s="8" t="s">
        <v>97</v>
      </c>
      <c r="AJ316" s="8" t="s">
        <v>88</v>
      </c>
      <c r="AK316" s="8" t="s">
        <v>1285</v>
      </c>
      <c r="AL316" s="8" t="s">
        <v>88</v>
      </c>
      <c r="AM316" s="8" t="s">
        <v>88</v>
      </c>
      <c r="AN316" s="8" t="s">
        <v>88</v>
      </c>
      <c r="AO316" s="8">
        <v>1002</v>
      </c>
      <c r="AP316" s="8" t="s">
        <v>1286</v>
      </c>
      <c r="AQ316" s="8" t="s">
        <v>100</v>
      </c>
      <c r="AR316" s="8" t="s">
        <v>101</v>
      </c>
      <c r="AS316" s="8" t="s">
        <v>102</v>
      </c>
      <c r="AT316" s="8" t="s">
        <v>103</v>
      </c>
      <c r="AU316" s="8" t="s">
        <v>103</v>
      </c>
      <c r="AX316" s="8" t="s">
        <v>104</v>
      </c>
      <c r="AY316" s="8" t="s">
        <v>105</v>
      </c>
      <c r="AZ316" s="8" t="s">
        <v>100</v>
      </c>
      <c r="BA316" s="8" t="s">
        <v>101</v>
      </c>
      <c r="BB316" s="8" t="s">
        <v>102</v>
      </c>
      <c r="BC316" s="8" t="s">
        <v>103</v>
      </c>
      <c r="BD316" s="8" t="s">
        <v>106</v>
      </c>
      <c r="BF316" s="8" t="s">
        <v>107</v>
      </c>
      <c r="BG316" s="8">
        <v>16700</v>
      </c>
      <c r="BH316" s="8" t="s">
        <v>108</v>
      </c>
      <c r="BO316" s="8">
        <v>0</v>
      </c>
      <c r="BR316" s="8" t="s">
        <v>100</v>
      </c>
      <c r="BS316" s="8" t="s">
        <v>109</v>
      </c>
      <c r="BT316" s="8" t="s">
        <v>102</v>
      </c>
      <c r="BU316" s="8" t="s">
        <v>103</v>
      </c>
      <c r="BV316" s="8" t="s">
        <v>106</v>
      </c>
      <c r="BW316" s="8" t="s">
        <v>110</v>
      </c>
    </row>
    <row r="317" spans="1:75" s="8" customFormat="1" x14ac:dyDescent="0.35">
      <c r="A317" s="8" t="s">
        <v>1287</v>
      </c>
      <c r="B317" s="9">
        <v>45984</v>
      </c>
      <c r="C317" s="10">
        <v>0.84174768518518517</v>
      </c>
      <c r="D317" s="8" t="s">
        <v>220</v>
      </c>
      <c r="E317" s="8" t="s">
        <v>221</v>
      </c>
      <c r="F317" s="11" t="s">
        <v>172</v>
      </c>
      <c r="G317" s="8">
        <f>COUNTIF($F$2:$F$350,F317)</f>
        <v>213</v>
      </c>
      <c r="H317" s="8" t="s">
        <v>115</v>
      </c>
      <c r="I317" s="8" t="s">
        <v>82</v>
      </c>
      <c r="J317" s="8" t="s">
        <v>83</v>
      </c>
      <c r="K317" s="8" t="s">
        <v>84</v>
      </c>
      <c r="M317" s="8" t="s">
        <v>85</v>
      </c>
      <c r="N317" s="8" t="s">
        <v>86</v>
      </c>
      <c r="O317" s="8" t="s">
        <v>87</v>
      </c>
      <c r="P317" s="8" t="s">
        <v>88</v>
      </c>
      <c r="Q317" s="8" t="s">
        <v>89</v>
      </c>
      <c r="R317" s="8" t="s">
        <v>90</v>
      </c>
      <c r="S317" s="8" t="s">
        <v>91</v>
      </c>
      <c r="T317" s="8" t="s">
        <v>92</v>
      </c>
      <c r="U317" s="8" t="s">
        <v>93</v>
      </c>
      <c r="V317" s="8" t="s">
        <v>22</v>
      </c>
      <c r="X317" s="8" t="s">
        <v>1223</v>
      </c>
      <c r="Y317" s="8" t="s">
        <v>1224</v>
      </c>
      <c r="Z317" s="8" t="s">
        <v>1225</v>
      </c>
      <c r="AA317" s="8" t="b">
        <v>0</v>
      </c>
      <c r="AC317" s="8">
        <v>0</v>
      </c>
      <c r="AD317" s="8">
        <v>141</v>
      </c>
      <c r="AI317" s="8" t="s">
        <v>1226</v>
      </c>
      <c r="AJ317" s="8" t="s">
        <v>88</v>
      </c>
      <c r="AK317" s="8" t="s">
        <v>1288</v>
      </c>
      <c r="AL317" s="8" t="s">
        <v>88</v>
      </c>
      <c r="AM317" s="8" t="s">
        <v>88</v>
      </c>
      <c r="AN317" s="8" t="s">
        <v>88</v>
      </c>
      <c r="AO317" s="8">
        <v>1002</v>
      </c>
      <c r="AP317" s="8" t="s">
        <v>1289</v>
      </c>
      <c r="AQ317" s="8" t="s">
        <v>100</v>
      </c>
      <c r="AR317" s="8" t="s">
        <v>101</v>
      </c>
      <c r="AS317" s="8" t="s">
        <v>120</v>
      </c>
      <c r="AT317" s="8" t="s">
        <v>103</v>
      </c>
      <c r="AU317" s="8" t="s">
        <v>103</v>
      </c>
      <c r="AX317" s="8" t="s">
        <v>104</v>
      </c>
      <c r="AY317" s="8" t="s">
        <v>121</v>
      </c>
      <c r="AZ317" s="8" t="s">
        <v>100</v>
      </c>
      <c r="BA317" s="8" t="s">
        <v>101</v>
      </c>
      <c r="BB317" s="8" t="s">
        <v>102</v>
      </c>
      <c r="BC317" s="8" t="s">
        <v>103</v>
      </c>
      <c r="BD317" s="8" t="s">
        <v>103</v>
      </c>
      <c r="BF317" s="8" t="s">
        <v>107</v>
      </c>
      <c r="BG317" s="8">
        <v>16700</v>
      </c>
      <c r="BH317" s="8" t="s">
        <v>122</v>
      </c>
      <c r="BO317" s="8">
        <v>12</v>
      </c>
      <c r="BR317" s="8" t="s">
        <v>100</v>
      </c>
      <c r="BS317" s="8" t="s">
        <v>182</v>
      </c>
      <c r="BT317" s="8" t="s">
        <v>183</v>
      </c>
      <c r="BU317" s="8" t="s">
        <v>106</v>
      </c>
      <c r="BV317" s="8" t="s">
        <v>123</v>
      </c>
      <c r="BW317" s="8" t="s">
        <v>110</v>
      </c>
    </row>
    <row r="318" spans="1:75" s="8" customFormat="1" x14ac:dyDescent="0.35">
      <c r="A318" s="8" t="s">
        <v>1290</v>
      </c>
      <c r="B318" s="9">
        <v>45984</v>
      </c>
      <c r="C318" s="10">
        <v>0.8135648148148148</v>
      </c>
      <c r="D318" s="8" t="s">
        <v>460</v>
      </c>
      <c r="E318" s="8" t="s">
        <v>461</v>
      </c>
      <c r="F318" s="11" t="s">
        <v>172</v>
      </c>
      <c r="G318" s="8">
        <f>COUNTIF($F$2:$F$350,F318)</f>
        <v>213</v>
      </c>
      <c r="H318" s="8" t="s">
        <v>115</v>
      </c>
      <c r="I318" s="8" t="s">
        <v>82</v>
      </c>
      <c r="J318" s="8" t="s">
        <v>83</v>
      </c>
      <c r="K318" s="8" t="s">
        <v>84</v>
      </c>
      <c r="M318" s="8" t="s">
        <v>85</v>
      </c>
      <c r="N318" s="8" t="s">
        <v>116</v>
      </c>
      <c r="O318" s="8" t="s">
        <v>87</v>
      </c>
      <c r="P318" s="8" t="s">
        <v>88</v>
      </c>
      <c r="Q318" s="8" t="s">
        <v>89</v>
      </c>
      <c r="R318" s="8" t="s">
        <v>90</v>
      </c>
      <c r="S318" s="8" t="s">
        <v>91</v>
      </c>
      <c r="T318" s="8" t="s">
        <v>92</v>
      </c>
      <c r="U318" s="8" t="s">
        <v>93</v>
      </c>
      <c r="V318" s="8" t="s">
        <v>22</v>
      </c>
      <c r="X318" s="8" t="s">
        <v>94</v>
      </c>
      <c r="Y318" s="8" t="s">
        <v>95</v>
      </c>
      <c r="Z318" s="8" t="s">
        <v>96</v>
      </c>
      <c r="AA318" s="8" t="b">
        <v>0</v>
      </c>
      <c r="AC318" s="8">
        <v>0</v>
      </c>
      <c r="AD318" s="8">
        <v>98</v>
      </c>
      <c r="AI318" s="8" t="s">
        <v>464</v>
      </c>
      <c r="AJ318" s="8" t="s">
        <v>88</v>
      </c>
      <c r="AK318" s="8" t="s">
        <v>1291</v>
      </c>
      <c r="AL318" s="8" t="s">
        <v>88</v>
      </c>
      <c r="AM318" s="8" t="s">
        <v>88</v>
      </c>
      <c r="AN318" s="8" t="s">
        <v>88</v>
      </c>
      <c r="AO318" s="8">
        <v>1002</v>
      </c>
      <c r="AP318" s="8" t="s">
        <v>1292</v>
      </c>
      <c r="AQ318" s="8" t="s">
        <v>100</v>
      </c>
      <c r="AR318" s="8" t="s">
        <v>101</v>
      </c>
      <c r="AS318" s="8" t="s">
        <v>120</v>
      </c>
      <c r="AT318" s="8" t="s">
        <v>103</v>
      </c>
      <c r="AU318" s="8" t="s">
        <v>103</v>
      </c>
      <c r="AX318" s="8" t="s">
        <v>104</v>
      </c>
      <c r="AY318" s="8" t="s">
        <v>121</v>
      </c>
      <c r="AZ318" s="8" t="s">
        <v>100</v>
      </c>
      <c r="BA318" s="8" t="s">
        <v>101</v>
      </c>
      <c r="BB318" s="8" t="s">
        <v>102</v>
      </c>
      <c r="BC318" s="8" t="s">
        <v>103</v>
      </c>
      <c r="BD318" s="8" t="s">
        <v>103</v>
      </c>
      <c r="BF318" s="8" t="s">
        <v>107</v>
      </c>
      <c r="BG318" s="8">
        <v>16700</v>
      </c>
      <c r="BH318" s="8" t="s">
        <v>122</v>
      </c>
      <c r="BO318" s="8">
        <v>12</v>
      </c>
      <c r="BR318" s="8" t="s">
        <v>100</v>
      </c>
      <c r="BS318" s="8" t="s">
        <v>182</v>
      </c>
      <c r="BT318" s="8" t="s">
        <v>183</v>
      </c>
      <c r="BU318" s="8" t="s">
        <v>106</v>
      </c>
      <c r="BV318" s="8" t="s">
        <v>123</v>
      </c>
      <c r="BW318" s="8" t="s">
        <v>110</v>
      </c>
    </row>
    <row r="319" spans="1:75" s="8" customFormat="1" x14ac:dyDescent="0.35">
      <c r="A319" s="8" t="s">
        <v>1293</v>
      </c>
      <c r="B319" s="9">
        <v>45984</v>
      </c>
      <c r="C319" s="10">
        <v>0.81349537037037034</v>
      </c>
      <c r="D319" s="8" t="s">
        <v>460</v>
      </c>
      <c r="E319" s="8" t="s">
        <v>461</v>
      </c>
      <c r="F319" s="11" t="s">
        <v>172</v>
      </c>
      <c r="G319" s="8">
        <f>COUNTIF($F$2:$F$350,F319)</f>
        <v>213</v>
      </c>
      <c r="H319" s="8" t="s">
        <v>115</v>
      </c>
      <c r="I319" s="8" t="s">
        <v>82</v>
      </c>
      <c r="J319" s="8" t="s">
        <v>83</v>
      </c>
      <c r="K319" s="8" t="s">
        <v>84</v>
      </c>
      <c r="M319" s="8" t="s">
        <v>85</v>
      </c>
      <c r="N319" s="8" t="s">
        <v>116</v>
      </c>
      <c r="O319" s="8" t="s">
        <v>87</v>
      </c>
      <c r="P319" s="8" t="s">
        <v>88</v>
      </c>
      <c r="Q319" s="8" t="s">
        <v>155</v>
      </c>
      <c r="R319" s="8" t="s">
        <v>156</v>
      </c>
      <c r="S319" s="8" t="s">
        <v>155</v>
      </c>
      <c r="T319" s="8" t="s">
        <v>156</v>
      </c>
      <c r="U319" s="8" t="s">
        <v>93</v>
      </c>
      <c r="V319" s="8" t="s">
        <v>22</v>
      </c>
      <c r="X319" s="8" t="s">
        <v>94</v>
      </c>
      <c r="Y319" s="8" t="s">
        <v>95</v>
      </c>
      <c r="Z319" s="8" t="s">
        <v>96</v>
      </c>
      <c r="AA319" s="8" t="b">
        <v>0</v>
      </c>
      <c r="AC319" s="8">
        <v>0</v>
      </c>
      <c r="AD319" s="8">
        <v>63</v>
      </c>
      <c r="AI319" s="8" t="s">
        <v>464</v>
      </c>
      <c r="AJ319" s="8" t="s">
        <v>88</v>
      </c>
      <c r="AK319" s="8" t="s">
        <v>1294</v>
      </c>
      <c r="AL319" s="8" t="s">
        <v>88</v>
      </c>
      <c r="AM319" s="8" t="s">
        <v>88</v>
      </c>
      <c r="AN319" s="8" t="s">
        <v>88</v>
      </c>
      <c r="AO319" s="8">
        <v>1002</v>
      </c>
      <c r="AP319" s="8" t="s">
        <v>1295</v>
      </c>
      <c r="AQ319" s="8" t="s">
        <v>100</v>
      </c>
      <c r="AR319" s="8" t="s">
        <v>101</v>
      </c>
      <c r="AS319" s="8" t="s">
        <v>120</v>
      </c>
      <c r="AT319" s="8" t="s">
        <v>103</v>
      </c>
      <c r="AU319" s="8" t="s">
        <v>103</v>
      </c>
      <c r="AX319" s="8" t="s">
        <v>104</v>
      </c>
      <c r="AY319" s="8" t="s">
        <v>121</v>
      </c>
      <c r="AZ319" s="8" t="s">
        <v>100</v>
      </c>
      <c r="BA319" s="8" t="s">
        <v>101</v>
      </c>
      <c r="BB319" s="8" t="s">
        <v>102</v>
      </c>
      <c r="BC319" s="8" t="s">
        <v>103</v>
      </c>
      <c r="BD319" s="8" t="s">
        <v>103</v>
      </c>
      <c r="BF319" s="8" t="s">
        <v>107</v>
      </c>
      <c r="BG319" s="8">
        <v>16700</v>
      </c>
      <c r="BH319" s="8" t="s">
        <v>122</v>
      </c>
      <c r="BO319" s="8">
        <v>12</v>
      </c>
      <c r="BR319" s="8" t="s">
        <v>100</v>
      </c>
      <c r="BS319" s="8" t="s">
        <v>182</v>
      </c>
      <c r="BT319" s="8" t="s">
        <v>183</v>
      </c>
      <c r="BU319" s="8" t="s">
        <v>106</v>
      </c>
      <c r="BV319" s="8" t="s">
        <v>123</v>
      </c>
      <c r="BW319" s="8" t="s">
        <v>110</v>
      </c>
    </row>
    <row r="320" spans="1:75" x14ac:dyDescent="0.35">
      <c r="A320" t="s">
        <v>1296</v>
      </c>
      <c r="B320" s="1">
        <v>45984</v>
      </c>
      <c r="C320" s="2">
        <v>0.78644675925925922</v>
      </c>
      <c r="D320" t="s">
        <v>112</v>
      </c>
      <c r="E320" t="s">
        <v>113</v>
      </c>
      <c r="F320" t="s">
        <v>114</v>
      </c>
      <c r="G320">
        <f>COUNTIF($F$2:$F$350,F320)</f>
        <v>42</v>
      </c>
      <c r="H320" t="s">
        <v>115</v>
      </c>
      <c r="I320" t="s">
        <v>82</v>
      </c>
      <c r="J320" t="s">
        <v>83</v>
      </c>
      <c r="K320" t="s">
        <v>84</v>
      </c>
      <c r="M320" t="s">
        <v>85</v>
      </c>
      <c r="N320" t="s">
        <v>116</v>
      </c>
      <c r="O320" t="s">
        <v>87</v>
      </c>
      <c r="P320" t="s">
        <v>88</v>
      </c>
      <c r="Q320" t="s">
        <v>89</v>
      </c>
      <c r="R320" t="s">
        <v>90</v>
      </c>
      <c r="S320" t="s">
        <v>91</v>
      </c>
      <c r="T320" t="s">
        <v>92</v>
      </c>
      <c r="U320" t="s">
        <v>93</v>
      </c>
      <c r="V320" t="s">
        <v>22</v>
      </c>
      <c r="X320" t="s">
        <v>94</v>
      </c>
      <c r="Y320" t="s">
        <v>95</v>
      </c>
      <c r="Z320" t="s">
        <v>96</v>
      </c>
      <c r="AA320" t="b">
        <v>0</v>
      </c>
      <c r="AC320">
        <v>0</v>
      </c>
      <c r="AD320">
        <v>90</v>
      </c>
      <c r="AI320" t="s">
        <v>117</v>
      </c>
      <c r="AJ320" t="s">
        <v>88</v>
      </c>
      <c r="AK320" t="s">
        <v>1297</v>
      </c>
      <c r="AL320" t="s">
        <v>88</v>
      </c>
      <c r="AM320" t="s">
        <v>88</v>
      </c>
      <c r="AN320" t="s">
        <v>88</v>
      </c>
      <c r="AO320">
        <v>1002</v>
      </c>
      <c r="AP320" t="s">
        <v>1298</v>
      </c>
      <c r="AQ320" t="s">
        <v>100</v>
      </c>
      <c r="AR320" t="s">
        <v>101</v>
      </c>
      <c r="AS320" t="s">
        <v>120</v>
      </c>
      <c r="AT320" t="s">
        <v>103</v>
      </c>
      <c r="AU320" t="s">
        <v>103</v>
      </c>
      <c r="AX320" t="s">
        <v>104</v>
      </c>
      <c r="AY320" t="s">
        <v>121</v>
      </c>
      <c r="AZ320" t="s">
        <v>100</v>
      </c>
      <c r="BA320" t="s">
        <v>101</v>
      </c>
      <c r="BB320" t="s">
        <v>102</v>
      </c>
      <c r="BC320" t="s">
        <v>103</v>
      </c>
      <c r="BD320" t="s">
        <v>103</v>
      </c>
      <c r="BF320" t="s">
        <v>107</v>
      </c>
      <c r="BG320">
        <v>16700</v>
      </c>
      <c r="BH320" t="s">
        <v>122</v>
      </c>
      <c r="BO320">
        <v>12</v>
      </c>
      <c r="BR320" t="s">
        <v>100</v>
      </c>
      <c r="BS320" t="s">
        <v>109</v>
      </c>
      <c r="BT320" t="s">
        <v>102</v>
      </c>
      <c r="BU320" t="s">
        <v>106</v>
      </c>
      <c r="BV320" t="s">
        <v>123</v>
      </c>
      <c r="BW320" t="s">
        <v>110</v>
      </c>
    </row>
    <row r="321" spans="1:75" s="8" customFormat="1" x14ac:dyDescent="0.35">
      <c r="A321" s="8" t="s">
        <v>1299</v>
      </c>
      <c r="B321" s="9">
        <v>45984</v>
      </c>
      <c r="C321" s="10">
        <v>0.77335648148148151</v>
      </c>
      <c r="D321" s="8" t="s">
        <v>549</v>
      </c>
      <c r="E321" s="8" t="s">
        <v>550</v>
      </c>
      <c r="F321" s="11" t="s">
        <v>172</v>
      </c>
      <c r="G321" s="8">
        <f>COUNTIF($F$2:$F$350,F321)</f>
        <v>213</v>
      </c>
      <c r="H321" s="8" t="s">
        <v>115</v>
      </c>
      <c r="I321" s="8" t="s">
        <v>82</v>
      </c>
      <c r="J321" s="8" t="s">
        <v>83</v>
      </c>
      <c r="K321" s="8" t="s">
        <v>84</v>
      </c>
      <c r="M321" s="8" t="s">
        <v>85</v>
      </c>
      <c r="N321" s="8" t="s">
        <v>86</v>
      </c>
      <c r="O321" s="8" t="s">
        <v>87</v>
      </c>
      <c r="P321" s="8" t="s">
        <v>173</v>
      </c>
      <c r="Q321" s="8" t="s">
        <v>89</v>
      </c>
      <c r="R321" s="8" t="s">
        <v>90</v>
      </c>
      <c r="S321" s="8" t="s">
        <v>91</v>
      </c>
      <c r="T321" s="8" t="s">
        <v>92</v>
      </c>
      <c r="U321" s="8" t="s">
        <v>93</v>
      </c>
      <c r="V321" s="8" t="s">
        <v>22</v>
      </c>
      <c r="W321" s="8" t="s">
        <v>731</v>
      </c>
      <c r="X321" s="8" t="s">
        <v>177</v>
      </c>
      <c r="Y321" s="8" t="s">
        <v>95</v>
      </c>
      <c r="Z321" s="8" t="s">
        <v>189</v>
      </c>
      <c r="AA321" s="8" t="b">
        <v>0</v>
      </c>
      <c r="AC321" s="8">
        <v>0</v>
      </c>
      <c r="AD321" s="8">
        <v>108</v>
      </c>
      <c r="AI321" s="8" t="s">
        <v>732</v>
      </c>
      <c r="AJ321" s="8" t="s">
        <v>88</v>
      </c>
      <c r="AK321" s="8" t="s">
        <v>1300</v>
      </c>
      <c r="AL321" s="8" t="s">
        <v>88</v>
      </c>
      <c r="AM321" s="8" t="s">
        <v>88</v>
      </c>
      <c r="AN321" s="8" t="s">
        <v>88</v>
      </c>
      <c r="AP321" s="8" t="s">
        <v>1301</v>
      </c>
      <c r="AQ321" s="8" t="s">
        <v>100</v>
      </c>
      <c r="AR321" s="8" t="s">
        <v>101</v>
      </c>
      <c r="AS321" s="8" t="s">
        <v>120</v>
      </c>
      <c r="AT321" s="8" t="s">
        <v>103</v>
      </c>
      <c r="AU321" s="8" t="s">
        <v>103</v>
      </c>
      <c r="AX321" s="8" t="s">
        <v>104</v>
      </c>
      <c r="AY321" s="8" t="s">
        <v>121</v>
      </c>
      <c r="AZ321" s="8" t="s">
        <v>100</v>
      </c>
      <c r="BA321" s="8" t="s">
        <v>101</v>
      </c>
      <c r="BB321" s="8" t="s">
        <v>102</v>
      </c>
      <c r="BC321" s="8" t="s">
        <v>103</v>
      </c>
      <c r="BD321" s="8" t="s">
        <v>103</v>
      </c>
      <c r="BF321" s="8" t="s">
        <v>107</v>
      </c>
      <c r="BG321" s="8">
        <v>16700</v>
      </c>
      <c r="BH321" s="8" t="s">
        <v>122</v>
      </c>
      <c r="BO321" s="8">
        <v>12</v>
      </c>
      <c r="BR321" s="8" t="s">
        <v>100</v>
      </c>
      <c r="BS321" s="8" t="s">
        <v>182</v>
      </c>
      <c r="BT321" s="8" t="s">
        <v>183</v>
      </c>
      <c r="BU321" s="8" t="s">
        <v>106</v>
      </c>
      <c r="BV321" s="8" t="s">
        <v>123</v>
      </c>
      <c r="BW321" s="8" t="s">
        <v>110</v>
      </c>
    </row>
    <row r="322" spans="1:75" s="8" customFormat="1" x14ac:dyDescent="0.35">
      <c r="A322" s="8" t="s">
        <v>1302</v>
      </c>
      <c r="B322" s="9">
        <v>45984</v>
      </c>
      <c r="C322" s="10">
        <v>0.76927083333333324</v>
      </c>
      <c r="D322" s="8" t="s">
        <v>659</v>
      </c>
      <c r="E322" s="8" t="s">
        <v>660</v>
      </c>
      <c r="F322" s="11" t="s">
        <v>172</v>
      </c>
      <c r="G322" s="8">
        <f>COUNTIF($F$2:$F$350,F322)</f>
        <v>213</v>
      </c>
      <c r="H322" s="8" t="s">
        <v>115</v>
      </c>
      <c r="I322" s="8" t="s">
        <v>82</v>
      </c>
      <c r="J322" s="8" t="s">
        <v>83</v>
      </c>
      <c r="K322" s="8" t="s">
        <v>165</v>
      </c>
      <c r="L322" s="8">
        <v>16003</v>
      </c>
      <c r="N322" s="8" t="s">
        <v>86</v>
      </c>
      <c r="O322" s="8" t="s">
        <v>87</v>
      </c>
      <c r="P322" s="8" t="s">
        <v>173</v>
      </c>
      <c r="Q322" s="8" t="s">
        <v>328</v>
      </c>
      <c r="R322" s="8" t="s">
        <v>329</v>
      </c>
      <c r="S322" s="8" t="s">
        <v>328</v>
      </c>
      <c r="T322" s="8" t="s">
        <v>329</v>
      </c>
      <c r="U322" s="8" t="s">
        <v>1303</v>
      </c>
      <c r="V322" s="8" t="s">
        <v>1304</v>
      </c>
      <c r="W322" s="8" t="s">
        <v>661</v>
      </c>
      <c r="X322" s="8" t="s">
        <v>177</v>
      </c>
      <c r="Y322" s="8" t="s">
        <v>95</v>
      </c>
      <c r="Z322" s="8" t="s">
        <v>222</v>
      </c>
      <c r="AA322" s="8" t="b">
        <v>0</v>
      </c>
      <c r="AC322" s="8">
        <v>0</v>
      </c>
      <c r="AD322" s="8">
        <v>349</v>
      </c>
      <c r="AE322" s="8" t="s">
        <v>1305</v>
      </c>
      <c r="AI322" s="8" t="s">
        <v>662</v>
      </c>
      <c r="AJ322" s="8" t="s">
        <v>88</v>
      </c>
      <c r="AK322" s="8" t="s">
        <v>1306</v>
      </c>
      <c r="AL322" s="8" t="s">
        <v>88</v>
      </c>
      <c r="AM322" s="8" t="s">
        <v>88</v>
      </c>
      <c r="AN322" s="8" t="s">
        <v>88</v>
      </c>
      <c r="AP322" s="8" t="s">
        <v>1307</v>
      </c>
      <c r="AQ322" s="8" t="s">
        <v>100</v>
      </c>
      <c r="AR322" s="8" t="s">
        <v>101</v>
      </c>
      <c r="AS322" s="8" t="s">
        <v>120</v>
      </c>
      <c r="AT322" s="8" t="s">
        <v>103</v>
      </c>
      <c r="AU322" s="8" t="s">
        <v>103</v>
      </c>
      <c r="AX322" s="8" t="s">
        <v>104</v>
      </c>
      <c r="AY322" s="8" t="s">
        <v>121</v>
      </c>
      <c r="AZ322" s="8" t="s">
        <v>100</v>
      </c>
      <c r="BA322" s="8" t="s">
        <v>101</v>
      </c>
      <c r="BB322" s="8" t="s">
        <v>102</v>
      </c>
      <c r="BC322" s="8" t="s">
        <v>103</v>
      </c>
      <c r="BD322" s="8" t="s">
        <v>103</v>
      </c>
      <c r="BF322" s="8" t="s">
        <v>107</v>
      </c>
      <c r="BG322" s="8">
        <v>16700</v>
      </c>
      <c r="BH322" s="8" t="s">
        <v>122</v>
      </c>
      <c r="BO322" s="8">
        <v>12</v>
      </c>
      <c r="BR322" s="8" t="s">
        <v>100</v>
      </c>
      <c r="BS322" s="8" t="s">
        <v>182</v>
      </c>
      <c r="BT322" s="8" t="s">
        <v>183</v>
      </c>
      <c r="BU322" s="8" t="s">
        <v>106</v>
      </c>
      <c r="BV322" s="8" t="s">
        <v>123</v>
      </c>
      <c r="BW322" s="8" t="s">
        <v>110</v>
      </c>
    </row>
    <row r="323" spans="1:75" s="8" customFormat="1" x14ac:dyDescent="0.35">
      <c r="A323" s="8" t="s">
        <v>1308</v>
      </c>
      <c r="B323" s="9">
        <v>45984</v>
      </c>
      <c r="C323" s="10">
        <v>0.76922453703703697</v>
      </c>
      <c r="D323" s="8" t="s">
        <v>659</v>
      </c>
      <c r="E323" s="8" t="s">
        <v>660</v>
      </c>
      <c r="F323" s="11" t="s">
        <v>172</v>
      </c>
      <c r="G323" s="8">
        <f>COUNTIF($F$2:$F$350,F323)</f>
        <v>213</v>
      </c>
      <c r="H323" s="8" t="s">
        <v>115</v>
      </c>
      <c r="I323" s="8" t="s">
        <v>82</v>
      </c>
      <c r="J323" s="8" t="s">
        <v>83</v>
      </c>
      <c r="K323" s="8" t="s">
        <v>165</v>
      </c>
      <c r="L323" s="8">
        <v>16003</v>
      </c>
      <c r="N323" s="8" t="s">
        <v>86</v>
      </c>
      <c r="O323" s="8" t="s">
        <v>87</v>
      </c>
      <c r="P323" s="8" t="s">
        <v>173</v>
      </c>
      <c r="Q323" s="8" t="s">
        <v>328</v>
      </c>
      <c r="R323" s="8" t="s">
        <v>329</v>
      </c>
      <c r="S323" s="8" t="s">
        <v>328</v>
      </c>
      <c r="T323" s="8" t="s">
        <v>329</v>
      </c>
      <c r="U323" s="8" t="s">
        <v>1303</v>
      </c>
      <c r="V323" s="8" t="s">
        <v>1304</v>
      </c>
      <c r="W323" s="8" t="s">
        <v>661</v>
      </c>
      <c r="X323" s="8" t="s">
        <v>177</v>
      </c>
      <c r="Y323" s="8" t="s">
        <v>95</v>
      </c>
      <c r="Z323" s="8" t="s">
        <v>222</v>
      </c>
      <c r="AA323" s="8" t="b">
        <v>0</v>
      </c>
      <c r="AC323" s="8">
        <v>0</v>
      </c>
      <c r="AD323" s="8">
        <v>283</v>
      </c>
      <c r="AE323" s="8" t="s">
        <v>1305</v>
      </c>
      <c r="AI323" s="8" t="s">
        <v>662</v>
      </c>
      <c r="AJ323" s="8" t="s">
        <v>88</v>
      </c>
      <c r="AK323" s="8" t="s">
        <v>1309</v>
      </c>
      <c r="AL323" s="8" t="s">
        <v>88</v>
      </c>
      <c r="AM323" s="8" t="s">
        <v>88</v>
      </c>
      <c r="AN323" s="8" t="s">
        <v>88</v>
      </c>
      <c r="AP323" s="8" t="s">
        <v>1307</v>
      </c>
      <c r="AQ323" s="8" t="s">
        <v>100</v>
      </c>
      <c r="AR323" s="8" t="s">
        <v>101</v>
      </c>
      <c r="AS323" s="8" t="s">
        <v>120</v>
      </c>
      <c r="AT323" s="8" t="s">
        <v>103</v>
      </c>
      <c r="AU323" s="8" t="s">
        <v>103</v>
      </c>
      <c r="AX323" s="8" t="s">
        <v>104</v>
      </c>
      <c r="AY323" s="8" t="s">
        <v>121</v>
      </c>
      <c r="AZ323" s="8" t="s">
        <v>100</v>
      </c>
      <c r="BA323" s="8" t="s">
        <v>101</v>
      </c>
      <c r="BB323" s="8" t="s">
        <v>102</v>
      </c>
      <c r="BC323" s="8" t="s">
        <v>103</v>
      </c>
      <c r="BD323" s="8" t="s">
        <v>103</v>
      </c>
      <c r="BF323" s="8" t="s">
        <v>107</v>
      </c>
      <c r="BG323" s="8">
        <v>16700</v>
      </c>
      <c r="BH323" s="8" t="s">
        <v>122</v>
      </c>
      <c r="BO323" s="8">
        <v>12</v>
      </c>
      <c r="BR323" s="8" t="s">
        <v>100</v>
      </c>
      <c r="BS323" s="8" t="s">
        <v>182</v>
      </c>
      <c r="BT323" s="8" t="s">
        <v>183</v>
      </c>
      <c r="BU323" s="8" t="s">
        <v>106</v>
      </c>
      <c r="BV323" s="8" t="s">
        <v>123</v>
      </c>
      <c r="BW323" s="8" t="s">
        <v>110</v>
      </c>
    </row>
    <row r="324" spans="1:75" s="8" customFormat="1" x14ac:dyDescent="0.35">
      <c r="A324" s="8" t="s">
        <v>1310</v>
      </c>
      <c r="B324" s="9">
        <v>45984</v>
      </c>
      <c r="C324" s="10">
        <v>0.76914351851851848</v>
      </c>
      <c r="D324" s="8" t="s">
        <v>659</v>
      </c>
      <c r="E324" s="8" t="s">
        <v>660</v>
      </c>
      <c r="F324" s="11" t="s">
        <v>172</v>
      </c>
      <c r="G324" s="8">
        <f>COUNTIF($F$2:$F$350,F324)</f>
        <v>213</v>
      </c>
      <c r="H324" s="8" t="s">
        <v>115</v>
      </c>
      <c r="I324" s="8" t="s">
        <v>82</v>
      </c>
      <c r="J324" s="8" t="s">
        <v>83</v>
      </c>
      <c r="K324" s="8" t="s">
        <v>165</v>
      </c>
      <c r="L324" s="8">
        <v>16003</v>
      </c>
      <c r="N324" s="8" t="s">
        <v>86</v>
      </c>
      <c r="O324" s="8" t="s">
        <v>87</v>
      </c>
      <c r="P324" s="8" t="s">
        <v>173</v>
      </c>
      <c r="Q324" s="8" t="s">
        <v>328</v>
      </c>
      <c r="R324" s="8" t="s">
        <v>329</v>
      </c>
      <c r="S324" s="8" t="s">
        <v>328</v>
      </c>
      <c r="T324" s="8" t="s">
        <v>329</v>
      </c>
      <c r="U324" s="8" t="s">
        <v>1303</v>
      </c>
      <c r="V324" s="8" t="s">
        <v>1304</v>
      </c>
      <c r="W324" s="8" t="s">
        <v>661</v>
      </c>
      <c r="X324" s="8" t="s">
        <v>177</v>
      </c>
      <c r="Y324" s="8" t="s">
        <v>95</v>
      </c>
      <c r="Z324" s="8" t="s">
        <v>222</v>
      </c>
      <c r="AA324" s="8" t="b">
        <v>0</v>
      </c>
      <c r="AC324" s="8">
        <v>0</v>
      </c>
      <c r="AD324" s="8">
        <v>319</v>
      </c>
      <c r="AE324" s="8" t="s">
        <v>1305</v>
      </c>
      <c r="AI324" s="8" t="s">
        <v>662</v>
      </c>
      <c r="AJ324" s="8" t="s">
        <v>88</v>
      </c>
      <c r="AK324" s="8" t="s">
        <v>1311</v>
      </c>
      <c r="AL324" s="8" t="s">
        <v>88</v>
      </c>
      <c r="AM324" s="8" t="s">
        <v>88</v>
      </c>
      <c r="AN324" s="8" t="s">
        <v>88</v>
      </c>
      <c r="AP324" s="8" t="s">
        <v>1307</v>
      </c>
      <c r="AQ324" s="8" t="s">
        <v>100</v>
      </c>
      <c r="AR324" s="8" t="s">
        <v>101</v>
      </c>
      <c r="AS324" s="8" t="s">
        <v>120</v>
      </c>
      <c r="AT324" s="8" t="s">
        <v>103</v>
      </c>
      <c r="AU324" s="8" t="s">
        <v>103</v>
      </c>
      <c r="AX324" s="8" t="s">
        <v>104</v>
      </c>
      <c r="AY324" s="8" t="s">
        <v>121</v>
      </c>
      <c r="AZ324" s="8" t="s">
        <v>100</v>
      </c>
      <c r="BA324" s="8" t="s">
        <v>101</v>
      </c>
      <c r="BB324" s="8" t="s">
        <v>102</v>
      </c>
      <c r="BC324" s="8" t="s">
        <v>103</v>
      </c>
      <c r="BD324" s="8" t="s">
        <v>103</v>
      </c>
      <c r="BF324" s="8" t="s">
        <v>107</v>
      </c>
      <c r="BG324" s="8">
        <v>16700</v>
      </c>
      <c r="BH324" s="8" t="s">
        <v>122</v>
      </c>
      <c r="BO324" s="8">
        <v>12</v>
      </c>
      <c r="BR324" s="8" t="s">
        <v>100</v>
      </c>
      <c r="BS324" s="8" t="s">
        <v>182</v>
      </c>
      <c r="BT324" s="8" t="s">
        <v>183</v>
      </c>
      <c r="BU324" s="8" t="s">
        <v>106</v>
      </c>
      <c r="BV324" s="8" t="s">
        <v>123</v>
      </c>
      <c r="BW324" s="8" t="s">
        <v>110</v>
      </c>
    </row>
    <row r="325" spans="1:75" s="8" customFormat="1" x14ac:dyDescent="0.35">
      <c r="A325" s="8" t="s">
        <v>1312</v>
      </c>
      <c r="B325" s="9">
        <v>45984</v>
      </c>
      <c r="C325" s="10">
        <v>0.74245370370370367</v>
      </c>
      <c r="D325" s="8" t="s">
        <v>78</v>
      </c>
      <c r="E325" s="8" t="s">
        <v>79</v>
      </c>
      <c r="F325" s="11" t="s">
        <v>80</v>
      </c>
      <c r="G325" s="8">
        <f>COUNTIF($F$2:$F$350,F325)</f>
        <v>38</v>
      </c>
      <c r="H325" s="8" t="s">
        <v>81</v>
      </c>
      <c r="I325" s="8" t="s">
        <v>82</v>
      </c>
      <c r="J325" s="8" t="s">
        <v>83</v>
      </c>
      <c r="K325" s="8" t="s">
        <v>84</v>
      </c>
      <c r="M325" s="8" t="s">
        <v>85</v>
      </c>
      <c r="N325" s="8" t="s">
        <v>86</v>
      </c>
      <c r="O325" s="8" t="s">
        <v>87</v>
      </c>
      <c r="P325" s="8" t="s">
        <v>88</v>
      </c>
      <c r="Q325" s="8" t="s">
        <v>89</v>
      </c>
      <c r="R325" s="8" t="s">
        <v>90</v>
      </c>
      <c r="S325" s="8" t="s">
        <v>91</v>
      </c>
      <c r="T325" s="8" t="s">
        <v>92</v>
      </c>
      <c r="U325" s="8" t="s">
        <v>93</v>
      </c>
      <c r="V325" s="8" t="s">
        <v>22</v>
      </c>
      <c r="X325" s="8" t="s">
        <v>94</v>
      </c>
      <c r="Y325" s="8" t="s">
        <v>95</v>
      </c>
      <c r="Z325" s="8" t="s">
        <v>96</v>
      </c>
      <c r="AA325" s="8" t="b">
        <v>0</v>
      </c>
      <c r="AC325" s="8">
        <v>0</v>
      </c>
      <c r="AD325" s="8">
        <v>99</v>
      </c>
      <c r="AI325" s="8" t="s">
        <v>97</v>
      </c>
      <c r="AJ325" s="8" t="s">
        <v>88</v>
      </c>
      <c r="AK325" s="8" t="s">
        <v>1313</v>
      </c>
      <c r="AL325" s="8" t="s">
        <v>88</v>
      </c>
      <c r="AM325" s="8" t="s">
        <v>88</v>
      </c>
      <c r="AN325" s="8" t="s">
        <v>88</v>
      </c>
      <c r="AO325" s="8">
        <v>1002</v>
      </c>
      <c r="AP325" s="8" t="s">
        <v>1314</v>
      </c>
      <c r="AQ325" s="8" t="s">
        <v>100</v>
      </c>
      <c r="AR325" s="8" t="s">
        <v>101</v>
      </c>
      <c r="AS325" s="8" t="s">
        <v>102</v>
      </c>
      <c r="AT325" s="8" t="s">
        <v>103</v>
      </c>
      <c r="AU325" s="8" t="s">
        <v>103</v>
      </c>
      <c r="AX325" s="8" t="s">
        <v>104</v>
      </c>
      <c r="AY325" s="8" t="s">
        <v>105</v>
      </c>
      <c r="AZ325" s="8" t="s">
        <v>100</v>
      </c>
      <c r="BA325" s="8" t="s">
        <v>101</v>
      </c>
      <c r="BB325" s="8" t="s">
        <v>102</v>
      </c>
      <c r="BC325" s="8" t="s">
        <v>103</v>
      </c>
      <c r="BD325" s="8" t="s">
        <v>106</v>
      </c>
      <c r="BF325" s="8" t="s">
        <v>107</v>
      </c>
      <c r="BG325" s="8">
        <v>16700</v>
      </c>
      <c r="BH325" s="8" t="s">
        <v>108</v>
      </c>
      <c r="BO325" s="8">
        <v>0</v>
      </c>
      <c r="BR325" s="8" t="s">
        <v>100</v>
      </c>
      <c r="BS325" s="8" t="s">
        <v>109</v>
      </c>
      <c r="BT325" s="8" t="s">
        <v>102</v>
      </c>
      <c r="BU325" s="8" t="s">
        <v>103</v>
      </c>
      <c r="BV325" s="8" t="s">
        <v>106</v>
      </c>
      <c r="BW325" s="8" t="s">
        <v>110</v>
      </c>
    </row>
    <row r="326" spans="1:75" s="8" customFormat="1" x14ac:dyDescent="0.35">
      <c r="A326" s="8" t="s">
        <v>1315</v>
      </c>
      <c r="B326" s="9">
        <v>45984</v>
      </c>
      <c r="C326" s="10">
        <v>0.73165509259259265</v>
      </c>
      <c r="D326" s="8" t="s">
        <v>659</v>
      </c>
      <c r="E326" s="8" t="s">
        <v>660</v>
      </c>
      <c r="F326" s="11" t="s">
        <v>172</v>
      </c>
      <c r="G326" s="8">
        <f>COUNTIF($F$2:$F$350,F326)</f>
        <v>213</v>
      </c>
      <c r="H326" s="8" t="s">
        <v>115</v>
      </c>
      <c r="I326" s="8" t="s">
        <v>82</v>
      </c>
      <c r="J326" s="8" t="s">
        <v>83</v>
      </c>
      <c r="K326" s="8" t="s">
        <v>84</v>
      </c>
      <c r="M326" s="8" t="s">
        <v>85</v>
      </c>
      <c r="N326" s="8" t="s">
        <v>86</v>
      </c>
      <c r="O326" s="8" t="s">
        <v>87</v>
      </c>
      <c r="P326" s="8" t="s">
        <v>173</v>
      </c>
      <c r="Q326" s="8" t="s">
        <v>89</v>
      </c>
      <c r="R326" s="8" t="s">
        <v>90</v>
      </c>
      <c r="S326" s="8" t="s">
        <v>91</v>
      </c>
      <c r="T326" s="8" t="s">
        <v>92</v>
      </c>
      <c r="U326" s="8" t="s">
        <v>93</v>
      </c>
      <c r="V326" s="8" t="s">
        <v>22</v>
      </c>
      <c r="W326" s="8" t="s">
        <v>661</v>
      </c>
      <c r="X326" s="8" t="s">
        <v>177</v>
      </c>
      <c r="Y326" s="8" t="s">
        <v>95</v>
      </c>
      <c r="Z326" s="8" t="s">
        <v>189</v>
      </c>
      <c r="AA326" s="8" t="b">
        <v>0</v>
      </c>
      <c r="AC326" s="8">
        <v>0</v>
      </c>
      <c r="AD326" s="8">
        <v>67</v>
      </c>
      <c r="AI326" s="8" t="s">
        <v>662</v>
      </c>
      <c r="AJ326" s="8" t="s">
        <v>88</v>
      </c>
      <c r="AK326" s="8" t="s">
        <v>1316</v>
      </c>
      <c r="AL326" s="8" t="s">
        <v>88</v>
      </c>
      <c r="AM326" s="8" t="s">
        <v>88</v>
      </c>
      <c r="AN326" s="8" t="s">
        <v>88</v>
      </c>
      <c r="AP326" s="8" t="s">
        <v>1317</v>
      </c>
      <c r="AQ326" s="8" t="s">
        <v>100</v>
      </c>
      <c r="AR326" s="8" t="s">
        <v>101</v>
      </c>
      <c r="AS326" s="8" t="s">
        <v>120</v>
      </c>
      <c r="AT326" s="8" t="s">
        <v>103</v>
      </c>
      <c r="AU326" s="8" t="s">
        <v>103</v>
      </c>
      <c r="AX326" s="8" t="s">
        <v>104</v>
      </c>
      <c r="AY326" s="8" t="s">
        <v>121</v>
      </c>
      <c r="AZ326" s="8" t="s">
        <v>100</v>
      </c>
      <c r="BA326" s="8" t="s">
        <v>101</v>
      </c>
      <c r="BB326" s="8" t="s">
        <v>102</v>
      </c>
      <c r="BC326" s="8" t="s">
        <v>103</v>
      </c>
      <c r="BD326" s="8" t="s">
        <v>103</v>
      </c>
      <c r="BF326" s="8" t="s">
        <v>107</v>
      </c>
      <c r="BG326" s="8">
        <v>16700</v>
      </c>
      <c r="BH326" s="8" t="s">
        <v>122</v>
      </c>
      <c r="BO326" s="8">
        <v>12</v>
      </c>
      <c r="BR326" s="8" t="s">
        <v>100</v>
      </c>
      <c r="BS326" s="8" t="s">
        <v>182</v>
      </c>
      <c r="BT326" s="8" t="s">
        <v>183</v>
      </c>
      <c r="BU326" s="8" t="s">
        <v>106</v>
      </c>
      <c r="BV326" s="8" t="s">
        <v>123</v>
      </c>
      <c r="BW326" s="8" t="s">
        <v>110</v>
      </c>
    </row>
    <row r="327" spans="1:75" x14ac:dyDescent="0.35">
      <c r="A327" t="s">
        <v>1318</v>
      </c>
      <c r="B327" s="1">
        <v>45984</v>
      </c>
      <c r="C327" s="2">
        <v>0.70810185185185182</v>
      </c>
      <c r="D327" t="s">
        <v>393</v>
      </c>
      <c r="E327" t="s">
        <v>394</v>
      </c>
      <c r="F327" t="s">
        <v>1319</v>
      </c>
      <c r="G327">
        <f>COUNTIF($F$2:$F$350,F327)</f>
        <v>1</v>
      </c>
      <c r="H327" t="s">
        <v>81</v>
      </c>
      <c r="I327" t="s">
        <v>82</v>
      </c>
      <c r="J327" t="s">
        <v>83</v>
      </c>
      <c r="K327" t="s">
        <v>84</v>
      </c>
      <c r="M327" t="s">
        <v>85</v>
      </c>
      <c r="N327" t="s">
        <v>86</v>
      </c>
      <c r="O327" t="s">
        <v>87</v>
      </c>
      <c r="P327" t="s">
        <v>173</v>
      </c>
      <c r="Q327" t="s">
        <v>89</v>
      </c>
      <c r="R327" t="s">
        <v>90</v>
      </c>
      <c r="S327" t="s">
        <v>91</v>
      </c>
      <c r="T327" t="s">
        <v>92</v>
      </c>
      <c r="U327" t="s">
        <v>93</v>
      </c>
      <c r="V327" t="s">
        <v>22</v>
      </c>
      <c r="W327" t="s">
        <v>420</v>
      </c>
      <c r="X327" t="s">
        <v>421</v>
      </c>
      <c r="Y327" t="s">
        <v>95</v>
      </c>
      <c r="Z327" t="s">
        <v>422</v>
      </c>
      <c r="AA327" t="b">
        <v>0</v>
      </c>
      <c r="AC327">
        <v>0</v>
      </c>
      <c r="AD327">
        <v>213</v>
      </c>
      <c r="AI327" t="s">
        <v>423</v>
      </c>
      <c r="AJ327" t="s">
        <v>88</v>
      </c>
      <c r="AK327" t="s">
        <v>1320</v>
      </c>
      <c r="AL327" t="s">
        <v>88</v>
      </c>
      <c r="AM327" t="s">
        <v>88</v>
      </c>
      <c r="AN327" t="s">
        <v>88</v>
      </c>
      <c r="AP327" t="s">
        <v>1321</v>
      </c>
      <c r="AQ327" t="s">
        <v>100</v>
      </c>
      <c r="AR327" t="s">
        <v>101</v>
      </c>
      <c r="AS327" t="s">
        <v>102</v>
      </c>
      <c r="AT327" t="s">
        <v>426</v>
      </c>
      <c r="AU327" t="s">
        <v>426</v>
      </c>
      <c r="AX327" t="s">
        <v>427</v>
      </c>
      <c r="AY327" t="s">
        <v>428</v>
      </c>
      <c r="AZ327" t="s">
        <v>100</v>
      </c>
      <c r="BA327" t="s">
        <v>101</v>
      </c>
      <c r="BB327" t="s">
        <v>102</v>
      </c>
      <c r="BC327" t="s">
        <v>429</v>
      </c>
      <c r="BD327" t="s">
        <v>429</v>
      </c>
      <c r="BF327" t="s">
        <v>143</v>
      </c>
      <c r="BG327">
        <v>7018</v>
      </c>
      <c r="BH327" t="s">
        <v>430</v>
      </c>
      <c r="BO327">
        <v>5</v>
      </c>
      <c r="BR327" t="s">
        <v>100</v>
      </c>
      <c r="BS327" t="s">
        <v>109</v>
      </c>
      <c r="BT327" t="s">
        <v>102</v>
      </c>
      <c r="BU327" t="s">
        <v>429</v>
      </c>
      <c r="BV327" t="s">
        <v>431</v>
      </c>
      <c r="BW327" t="s">
        <v>110</v>
      </c>
    </row>
    <row r="328" spans="1:75" s="8" customFormat="1" x14ac:dyDescent="0.35">
      <c r="A328" s="8" t="s">
        <v>1322</v>
      </c>
      <c r="B328" s="9">
        <v>45984</v>
      </c>
      <c r="C328" s="10">
        <v>0.67818287037037039</v>
      </c>
      <c r="D328" s="8" t="s">
        <v>460</v>
      </c>
      <c r="E328" s="8" t="s">
        <v>461</v>
      </c>
      <c r="F328" s="11" t="s">
        <v>172</v>
      </c>
      <c r="G328" s="8">
        <f>COUNTIF($F$2:$F$350,F328)</f>
        <v>213</v>
      </c>
      <c r="H328" s="8" t="s">
        <v>115</v>
      </c>
      <c r="I328" s="8" t="s">
        <v>82</v>
      </c>
      <c r="J328" s="8" t="s">
        <v>83</v>
      </c>
      <c r="K328" s="8" t="s">
        <v>84</v>
      </c>
      <c r="M328" s="8" t="s">
        <v>85</v>
      </c>
      <c r="N328" s="8" t="s">
        <v>116</v>
      </c>
      <c r="O328" s="8" t="s">
        <v>87</v>
      </c>
      <c r="P328" s="8" t="s">
        <v>88</v>
      </c>
      <c r="Q328" s="8" t="s">
        <v>89</v>
      </c>
      <c r="R328" s="8" t="s">
        <v>90</v>
      </c>
      <c r="S328" s="8" t="s">
        <v>91</v>
      </c>
      <c r="T328" s="8" t="s">
        <v>92</v>
      </c>
      <c r="U328" s="8" t="s">
        <v>93</v>
      </c>
      <c r="V328" s="8" t="s">
        <v>22</v>
      </c>
      <c r="X328" s="8" t="s">
        <v>94</v>
      </c>
      <c r="Y328" s="8" t="s">
        <v>95</v>
      </c>
      <c r="Z328" s="8" t="s">
        <v>96</v>
      </c>
      <c r="AA328" s="8" t="b">
        <v>0</v>
      </c>
      <c r="AC328" s="8">
        <v>0</v>
      </c>
      <c r="AD328" s="8">
        <v>89</v>
      </c>
      <c r="AI328" s="8" t="s">
        <v>464</v>
      </c>
      <c r="AJ328" s="8" t="s">
        <v>88</v>
      </c>
      <c r="AK328" s="8" t="s">
        <v>1323</v>
      </c>
      <c r="AL328" s="8" t="s">
        <v>88</v>
      </c>
      <c r="AM328" s="8" t="s">
        <v>88</v>
      </c>
      <c r="AN328" s="8" t="s">
        <v>88</v>
      </c>
      <c r="AO328" s="8">
        <v>1002</v>
      </c>
      <c r="AP328" s="8" t="s">
        <v>1324</v>
      </c>
      <c r="AQ328" s="8" t="s">
        <v>100</v>
      </c>
      <c r="AR328" s="8" t="s">
        <v>101</v>
      </c>
      <c r="AS328" s="8" t="s">
        <v>120</v>
      </c>
      <c r="AT328" s="8" t="s">
        <v>103</v>
      </c>
      <c r="AU328" s="8" t="s">
        <v>103</v>
      </c>
      <c r="AX328" s="8" t="s">
        <v>104</v>
      </c>
      <c r="AY328" s="8" t="s">
        <v>121</v>
      </c>
      <c r="AZ328" s="8" t="s">
        <v>100</v>
      </c>
      <c r="BA328" s="8" t="s">
        <v>101</v>
      </c>
      <c r="BB328" s="8" t="s">
        <v>102</v>
      </c>
      <c r="BC328" s="8" t="s">
        <v>103</v>
      </c>
      <c r="BD328" s="8" t="s">
        <v>103</v>
      </c>
      <c r="BF328" s="8" t="s">
        <v>107</v>
      </c>
      <c r="BG328" s="8">
        <v>16700</v>
      </c>
      <c r="BH328" s="8" t="s">
        <v>122</v>
      </c>
      <c r="BO328" s="8">
        <v>12</v>
      </c>
      <c r="BR328" s="8" t="s">
        <v>100</v>
      </c>
      <c r="BS328" s="8" t="s">
        <v>182</v>
      </c>
      <c r="BT328" s="8" t="s">
        <v>183</v>
      </c>
      <c r="BU328" s="8" t="s">
        <v>106</v>
      </c>
      <c r="BV328" s="8" t="s">
        <v>123</v>
      </c>
      <c r="BW328" s="8" t="s">
        <v>110</v>
      </c>
    </row>
    <row r="329" spans="1:75" s="8" customFormat="1" x14ac:dyDescent="0.35">
      <c r="A329" s="8" t="s">
        <v>1325</v>
      </c>
      <c r="B329" s="9">
        <v>45984</v>
      </c>
      <c r="C329" s="10">
        <v>0.6684606481481481</v>
      </c>
      <c r="D329" s="8" t="s">
        <v>220</v>
      </c>
      <c r="E329" s="8" t="s">
        <v>221</v>
      </c>
      <c r="F329" s="11" t="s">
        <v>172</v>
      </c>
      <c r="G329" s="8">
        <f>COUNTIF($F$2:$F$350,F329)</f>
        <v>213</v>
      </c>
      <c r="H329" s="8" t="s">
        <v>115</v>
      </c>
      <c r="I329" s="8" t="s">
        <v>82</v>
      </c>
      <c r="J329" s="8" t="s">
        <v>83</v>
      </c>
      <c r="K329" s="8" t="s">
        <v>84</v>
      </c>
      <c r="M329" s="8" t="s">
        <v>85</v>
      </c>
      <c r="N329" s="8" t="s">
        <v>86</v>
      </c>
      <c r="O329" s="8" t="s">
        <v>87</v>
      </c>
      <c r="P329" s="8" t="s">
        <v>88</v>
      </c>
      <c r="Q329" s="8" t="s">
        <v>89</v>
      </c>
      <c r="R329" s="8" t="s">
        <v>90</v>
      </c>
      <c r="S329" s="8" t="s">
        <v>91</v>
      </c>
      <c r="T329" s="8" t="s">
        <v>92</v>
      </c>
      <c r="U329" s="8" t="s">
        <v>93</v>
      </c>
      <c r="V329" s="8" t="s">
        <v>22</v>
      </c>
      <c r="X329" s="8" t="s">
        <v>1223</v>
      </c>
      <c r="Y329" s="8" t="s">
        <v>1224</v>
      </c>
      <c r="Z329" s="8" t="s">
        <v>1225</v>
      </c>
      <c r="AA329" s="8" t="b">
        <v>0</v>
      </c>
      <c r="AC329" s="8">
        <v>0</v>
      </c>
      <c r="AD329" s="8">
        <v>97</v>
      </c>
      <c r="AI329" s="8" t="s">
        <v>1226</v>
      </c>
      <c r="AJ329" s="8" t="s">
        <v>88</v>
      </c>
      <c r="AK329" s="8" t="s">
        <v>1326</v>
      </c>
      <c r="AL329" s="8" t="s">
        <v>88</v>
      </c>
      <c r="AM329" s="8" t="s">
        <v>88</v>
      </c>
      <c r="AN329" s="8" t="s">
        <v>88</v>
      </c>
      <c r="AO329" s="8">
        <v>1002</v>
      </c>
      <c r="AP329" s="8" t="s">
        <v>1327</v>
      </c>
      <c r="AQ329" s="8" t="s">
        <v>100</v>
      </c>
      <c r="AR329" s="8" t="s">
        <v>101</v>
      </c>
      <c r="AS329" s="8" t="s">
        <v>120</v>
      </c>
      <c r="AT329" s="8" t="s">
        <v>103</v>
      </c>
      <c r="AU329" s="8" t="s">
        <v>103</v>
      </c>
      <c r="AX329" s="8" t="s">
        <v>104</v>
      </c>
      <c r="AY329" s="8" t="s">
        <v>121</v>
      </c>
      <c r="AZ329" s="8" t="s">
        <v>100</v>
      </c>
      <c r="BA329" s="8" t="s">
        <v>101</v>
      </c>
      <c r="BB329" s="8" t="s">
        <v>102</v>
      </c>
      <c r="BC329" s="8" t="s">
        <v>103</v>
      </c>
      <c r="BD329" s="8" t="s">
        <v>103</v>
      </c>
      <c r="BF329" s="8" t="s">
        <v>107</v>
      </c>
      <c r="BG329" s="8">
        <v>16700</v>
      </c>
      <c r="BH329" s="8" t="s">
        <v>122</v>
      </c>
      <c r="BO329" s="8">
        <v>12</v>
      </c>
      <c r="BR329" s="8" t="s">
        <v>100</v>
      </c>
      <c r="BS329" s="8" t="s">
        <v>182</v>
      </c>
      <c r="BT329" s="8" t="s">
        <v>183</v>
      </c>
      <c r="BU329" s="8" t="s">
        <v>106</v>
      </c>
      <c r="BV329" s="8" t="s">
        <v>123</v>
      </c>
      <c r="BW329" s="8" t="s">
        <v>110</v>
      </c>
    </row>
    <row r="330" spans="1:75" s="8" customFormat="1" x14ac:dyDescent="0.35">
      <c r="A330" s="8" t="s">
        <v>1328</v>
      </c>
      <c r="B330" s="9">
        <v>45984</v>
      </c>
      <c r="C330" s="10">
        <v>0.62583333333333335</v>
      </c>
      <c r="D330" s="8" t="s">
        <v>659</v>
      </c>
      <c r="E330" s="8" t="s">
        <v>660</v>
      </c>
      <c r="F330" s="11" t="s">
        <v>172</v>
      </c>
      <c r="G330" s="8">
        <f>COUNTIF($F$2:$F$350,F330)</f>
        <v>213</v>
      </c>
      <c r="H330" s="8" t="s">
        <v>115</v>
      </c>
      <c r="I330" s="8" t="s">
        <v>82</v>
      </c>
      <c r="J330" s="8" t="s">
        <v>83</v>
      </c>
      <c r="K330" s="8" t="s">
        <v>84</v>
      </c>
      <c r="M330" s="8" t="s">
        <v>85</v>
      </c>
      <c r="N330" s="8" t="s">
        <v>86</v>
      </c>
      <c r="O330" s="8" t="s">
        <v>87</v>
      </c>
      <c r="P330" s="8" t="s">
        <v>173</v>
      </c>
      <c r="Q330" s="8" t="s">
        <v>89</v>
      </c>
      <c r="R330" s="8" t="s">
        <v>90</v>
      </c>
      <c r="S330" s="8" t="s">
        <v>91</v>
      </c>
      <c r="T330" s="8" t="s">
        <v>92</v>
      </c>
      <c r="U330" s="8" t="s">
        <v>93</v>
      </c>
      <c r="V330" s="8" t="s">
        <v>22</v>
      </c>
      <c r="W330" s="8" t="s">
        <v>661</v>
      </c>
      <c r="X330" s="8" t="s">
        <v>177</v>
      </c>
      <c r="Y330" s="8" t="s">
        <v>95</v>
      </c>
      <c r="Z330" s="8" t="s">
        <v>189</v>
      </c>
      <c r="AA330" s="8" t="b">
        <v>0</v>
      </c>
      <c r="AC330" s="8">
        <v>0</v>
      </c>
      <c r="AD330" s="8">
        <v>112</v>
      </c>
      <c r="AI330" s="8" t="s">
        <v>662</v>
      </c>
      <c r="AJ330" s="8" t="s">
        <v>88</v>
      </c>
      <c r="AK330" s="8" t="s">
        <v>1329</v>
      </c>
      <c r="AL330" s="8" t="s">
        <v>88</v>
      </c>
      <c r="AM330" s="8" t="s">
        <v>88</v>
      </c>
      <c r="AN330" s="8" t="s">
        <v>88</v>
      </c>
      <c r="AP330" s="8" t="s">
        <v>1330</v>
      </c>
      <c r="AQ330" s="8" t="s">
        <v>100</v>
      </c>
      <c r="AR330" s="8" t="s">
        <v>101</v>
      </c>
      <c r="AS330" s="8" t="s">
        <v>120</v>
      </c>
      <c r="AT330" s="8" t="s">
        <v>103</v>
      </c>
      <c r="AU330" s="8" t="s">
        <v>103</v>
      </c>
      <c r="AX330" s="8" t="s">
        <v>104</v>
      </c>
      <c r="AY330" s="8" t="s">
        <v>121</v>
      </c>
      <c r="AZ330" s="8" t="s">
        <v>100</v>
      </c>
      <c r="BA330" s="8" t="s">
        <v>101</v>
      </c>
      <c r="BB330" s="8" t="s">
        <v>102</v>
      </c>
      <c r="BC330" s="8" t="s">
        <v>103</v>
      </c>
      <c r="BD330" s="8" t="s">
        <v>103</v>
      </c>
      <c r="BF330" s="8" t="s">
        <v>107</v>
      </c>
      <c r="BG330" s="8">
        <v>16700</v>
      </c>
      <c r="BH330" s="8" t="s">
        <v>122</v>
      </c>
      <c r="BO330" s="8">
        <v>12</v>
      </c>
      <c r="BR330" s="8" t="s">
        <v>100</v>
      </c>
      <c r="BS330" s="8" t="s">
        <v>182</v>
      </c>
      <c r="BT330" s="8" t="s">
        <v>183</v>
      </c>
      <c r="BU330" s="8" t="s">
        <v>106</v>
      </c>
      <c r="BV330" s="8" t="s">
        <v>123</v>
      </c>
      <c r="BW330" s="8" t="s">
        <v>110</v>
      </c>
    </row>
    <row r="331" spans="1:75" x14ac:dyDescent="0.35">
      <c r="A331" t="s">
        <v>1331</v>
      </c>
      <c r="B331" s="1">
        <v>45984</v>
      </c>
      <c r="C331" s="2">
        <v>0.61751157407407409</v>
      </c>
      <c r="D331" t="s">
        <v>112</v>
      </c>
      <c r="E331" t="s">
        <v>113</v>
      </c>
      <c r="F331" t="s">
        <v>114</v>
      </c>
      <c r="G331">
        <f>COUNTIF($F$2:$F$350,F331)</f>
        <v>42</v>
      </c>
      <c r="H331" t="s">
        <v>115</v>
      </c>
      <c r="I331" t="s">
        <v>82</v>
      </c>
      <c r="J331" t="s">
        <v>83</v>
      </c>
      <c r="K331" t="s">
        <v>84</v>
      </c>
      <c r="M331" t="s">
        <v>85</v>
      </c>
      <c r="N331" t="s">
        <v>116</v>
      </c>
      <c r="O331" t="s">
        <v>87</v>
      </c>
      <c r="P331" t="s">
        <v>88</v>
      </c>
      <c r="Q331" t="s">
        <v>89</v>
      </c>
      <c r="R331" t="s">
        <v>90</v>
      </c>
      <c r="S331" t="s">
        <v>91</v>
      </c>
      <c r="T331" t="s">
        <v>92</v>
      </c>
      <c r="U331" t="s">
        <v>93</v>
      </c>
      <c r="V331" t="s">
        <v>22</v>
      </c>
      <c r="X331" t="s">
        <v>94</v>
      </c>
      <c r="Y331" t="s">
        <v>95</v>
      </c>
      <c r="Z331" t="s">
        <v>96</v>
      </c>
      <c r="AA331" t="b">
        <v>0</v>
      </c>
      <c r="AC331">
        <v>0</v>
      </c>
      <c r="AD331">
        <v>154</v>
      </c>
      <c r="AI331" t="s">
        <v>117</v>
      </c>
      <c r="AJ331" t="s">
        <v>88</v>
      </c>
      <c r="AK331" t="s">
        <v>1332</v>
      </c>
      <c r="AL331" t="s">
        <v>88</v>
      </c>
      <c r="AM331" t="s">
        <v>88</v>
      </c>
      <c r="AN331" t="s">
        <v>88</v>
      </c>
      <c r="AO331">
        <v>1002</v>
      </c>
      <c r="AP331" t="s">
        <v>1333</v>
      </c>
      <c r="AQ331" t="s">
        <v>100</v>
      </c>
      <c r="AR331" t="s">
        <v>101</v>
      </c>
      <c r="AS331" t="s">
        <v>120</v>
      </c>
      <c r="AT331" t="s">
        <v>103</v>
      </c>
      <c r="AU331" t="s">
        <v>103</v>
      </c>
      <c r="AX331" t="s">
        <v>104</v>
      </c>
      <c r="AY331" t="s">
        <v>121</v>
      </c>
      <c r="AZ331" t="s">
        <v>100</v>
      </c>
      <c r="BA331" t="s">
        <v>101</v>
      </c>
      <c r="BB331" t="s">
        <v>102</v>
      </c>
      <c r="BC331" t="s">
        <v>103</v>
      </c>
      <c r="BD331" t="s">
        <v>103</v>
      </c>
      <c r="BF331" t="s">
        <v>107</v>
      </c>
      <c r="BG331">
        <v>16700</v>
      </c>
      <c r="BH331" t="s">
        <v>122</v>
      </c>
      <c r="BO331">
        <v>12</v>
      </c>
      <c r="BR331" t="s">
        <v>100</v>
      </c>
      <c r="BS331" t="s">
        <v>109</v>
      </c>
      <c r="BT331" t="s">
        <v>102</v>
      </c>
      <c r="BU331" t="s">
        <v>106</v>
      </c>
      <c r="BV331" t="s">
        <v>123</v>
      </c>
      <c r="BW331" t="s">
        <v>110</v>
      </c>
    </row>
    <row r="332" spans="1:75" s="8" customFormat="1" x14ac:dyDescent="0.35">
      <c r="A332" s="8" t="s">
        <v>1334</v>
      </c>
      <c r="B332" s="9">
        <v>45984</v>
      </c>
      <c r="C332" s="10">
        <v>0.59631944444444451</v>
      </c>
      <c r="D332" s="8" t="s">
        <v>209</v>
      </c>
      <c r="E332" s="8" t="s">
        <v>210</v>
      </c>
      <c r="F332" s="11" t="s">
        <v>172</v>
      </c>
      <c r="G332" s="8">
        <f>COUNTIF($F$2:$F$350,F332)</f>
        <v>213</v>
      </c>
      <c r="H332" s="8" t="s">
        <v>115</v>
      </c>
      <c r="I332" s="8" t="s">
        <v>82</v>
      </c>
      <c r="J332" s="8" t="s">
        <v>83</v>
      </c>
      <c r="K332" s="8" t="s">
        <v>84</v>
      </c>
      <c r="M332" s="8" t="s">
        <v>85</v>
      </c>
      <c r="N332" s="8" t="s">
        <v>86</v>
      </c>
      <c r="O332" s="8" t="s">
        <v>87</v>
      </c>
      <c r="P332" s="8" t="s">
        <v>88</v>
      </c>
      <c r="Q332" s="8" t="s">
        <v>89</v>
      </c>
      <c r="R332" s="8" t="s">
        <v>90</v>
      </c>
      <c r="S332" s="8" t="s">
        <v>1335</v>
      </c>
      <c r="T332" s="8" t="s">
        <v>1336</v>
      </c>
      <c r="U332" s="8" t="s">
        <v>93</v>
      </c>
      <c r="V332" s="8" t="s">
        <v>22</v>
      </c>
      <c r="X332" s="8" t="s">
        <v>177</v>
      </c>
      <c r="Y332" s="8" t="s">
        <v>95</v>
      </c>
      <c r="Z332" s="8" t="s">
        <v>189</v>
      </c>
      <c r="AA332" s="8" t="b">
        <v>0</v>
      </c>
      <c r="AC332" s="8">
        <v>0</v>
      </c>
      <c r="AD332" s="8">
        <v>101</v>
      </c>
      <c r="AI332" s="8" t="s">
        <v>213</v>
      </c>
      <c r="AJ332" s="8" t="s">
        <v>88</v>
      </c>
      <c r="AK332" s="8" t="s">
        <v>1337</v>
      </c>
      <c r="AL332" s="8" t="s">
        <v>88</v>
      </c>
      <c r="AM332" s="8" t="s">
        <v>88</v>
      </c>
      <c r="AN332" s="8" t="s">
        <v>88</v>
      </c>
      <c r="AO332" s="8">
        <v>1002</v>
      </c>
      <c r="AP332" s="8" t="s">
        <v>1338</v>
      </c>
      <c r="AQ332" s="8" t="s">
        <v>100</v>
      </c>
      <c r="AR332" s="8" t="s">
        <v>101</v>
      </c>
      <c r="AS332" s="8" t="s">
        <v>120</v>
      </c>
      <c r="AT332" s="8" t="s">
        <v>103</v>
      </c>
      <c r="AU332" s="8" t="s">
        <v>103</v>
      </c>
      <c r="AX332" s="8" t="s">
        <v>104</v>
      </c>
      <c r="AY332" s="8" t="s">
        <v>121</v>
      </c>
      <c r="AZ332" s="8" t="s">
        <v>100</v>
      </c>
      <c r="BA332" s="8" t="s">
        <v>101</v>
      </c>
      <c r="BB332" s="8" t="s">
        <v>102</v>
      </c>
      <c r="BC332" s="8" t="s">
        <v>103</v>
      </c>
      <c r="BD332" s="8" t="s">
        <v>103</v>
      </c>
      <c r="BF332" s="8" t="s">
        <v>107</v>
      </c>
      <c r="BG332" s="8">
        <v>16700</v>
      </c>
      <c r="BH332" s="8" t="s">
        <v>122</v>
      </c>
      <c r="BO332" s="8">
        <v>12</v>
      </c>
      <c r="BR332" s="8" t="s">
        <v>100</v>
      </c>
      <c r="BS332" s="8" t="s">
        <v>182</v>
      </c>
      <c r="BT332" s="8" t="s">
        <v>183</v>
      </c>
      <c r="BU332" s="8" t="s">
        <v>106</v>
      </c>
      <c r="BV332" s="8" t="s">
        <v>123</v>
      </c>
      <c r="BW332" s="8" t="s">
        <v>110</v>
      </c>
    </row>
    <row r="333" spans="1:75" s="8" customFormat="1" x14ac:dyDescent="0.35">
      <c r="A333" s="8" t="s">
        <v>1339</v>
      </c>
      <c r="B333" s="9">
        <v>45984</v>
      </c>
      <c r="C333" s="10">
        <v>0.57215277777777784</v>
      </c>
      <c r="D333" s="8" t="s">
        <v>78</v>
      </c>
      <c r="E333" s="8" t="s">
        <v>79</v>
      </c>
      <c r="F333" s="11" t="s">
        <v>80</v>
      </c>
      <c r="G333" s="8">
        <f>COUNTIF($F$2:$F$350,F333)</f>
        <v>38</v>
      </c>
      <c r="H333" s="8" t="s">
        <v>81</v>
      </c>
      <c r="I333" s="8" t="s">
        <v>82</v>
      </c>
      <c r="J333" s="8" t="s">
        <v>83</v>
      </c>
      <c r="K333" s="8" t="s">
        <v>84</v>
      </c>
      <c r="M333" s="8" t="s">
        <v>85</v>
      </c>
      <c r="N333" s="8" t="s">
        <v>86</v>
      </c>
      <c r="O333" s="8" t="s">
        <v>87</v>
      </c>
      <c r="P333" s="8" t="s">
        <v>88</v>
      </c>
      <c r="Q333" s="8" t="s">
        <v>89</v>
      </c>
      <c r="R333" s="8" t="s">
        <v>90</v>
      </c>
      <c r="S333" s="8" t="s">
        <v>91</v>
      </c>
      <c r="T333" s="8" t="s">
        <v>92</v>
      </c>
      <c r="U333" s="8" t="s">
        <v>93</v>
      </c>
      <c r="V333" s="8" t="s">
        <v>22</v>
      </c>
      <c r="X333" s="8" t="s">
        <v>94</v>
      </c>
      <c r="Y333" s="8" t="s">
        <v>95</v>
      </c>
      <c r="Z333" s="8" t="s">
        <v>96</v>
      </c>
      <c r="AA333" s="8" t="b">
        <v>0</v>
      </c>
      <c r="AC333" s="8">
        <v>0</v>
      </c>
      <c r="AD333" s="8">
        <v>123</v>
      </c>
      <c r="AI333" s="8" t="s">
        <v>97</v>
      </c>
      <c r="AJ333" s="8" t="s">
        <v>88</v>
      </c>
      <c r="AK333" s="8" t="s">
        <v>1340</v>
      </c>
      <c r="AL333" s="8" t="s">
        <v>88</v>
      </c>
      <c r="AM333" s="8" t="s">
        <v>88</v>
      </c>
      <c r="AN333" s="8" t="s">
        <v>88</v>
      </c>
      <c r="AO333" s="8">
        <v>1002</v>
      </c>
      <c r="AP333" s="12" t="s">
        <v>1341</v>
      </c>
      <c r="AQ333" s="8" t="s">
        <v>100</v>
      </c>
      <c r="AR333" s="8" t="s">
        <v>101</v>
      </c>
      <c r="AS333" s="8" t="s">
        <v>102</v>
      </c>
      <c r="AT333" s="8" t="s">
        <v>103</v>
      </c>
      <c r="AU333" s="8" t="s">
        <v>103</v>
      </c>
      <c r="AX333" s="8" t="s">
        <v>104</v>
      </c>
      <c r="AY333" s="8" t="s">
        <v>105</v>
      </c>
      <c r="AZ333" s="8" t="s">
        <v>100</v>
      </c>
      <c r="BA333" s="8" t="s">
        <v>101</v>
      </c>
      <c r="BB333" s="8" t="s">
        <v>102</v>
      </c>
      <c r="BC333" s="8" t="s">
        <v>103</v>
      </c>
      <c r="BD333" s="8" t="s">
        <v>106</v>
      </c>
      <c r="BF333" s="8" t="s">
        <v>107</v>
      </c>
      <c r="BG333" s="8">
        <v>16700</v>
      </c>
      <c r="BH333" s="8" t="s">
        <v>108</v>
      </c>
      <c r="BO333" s="8">
        <v>0</v>
      </c>
      <c r="BR333" s="8" t="s">
        <v>100</v>
      </c>
      <c r="BS333" s="8" t="s">
        <v>109</v>
      </c>
      <c r="BT333" s="8" t="s">
        <v>102</v>
      </c>
      <c r="BU333" s="8" t="s">
        <v>103</v>
      </c>
      <c r="BV333" s="8" t="s">
        <v>106</v>
      </c>
      <c r="BW333" s="8" t="s">
        <v>110</v>
      </c>
    </row>
    <row r="334" spans="1:75" s="8" customFormat="1" x14ac:dyDescent="0.35">
      <c r="A334" s="8" t="s">
        <v>1342</v>
      </c>
      <c r="B334" s="9">
        <v>45984</v>
      </c>
      <c r="C334" s="10">
        <v>0.55497685185185186</v>
      </c>
      <c r="D334" s="8" t="s">
        <v>549</v>
      </c>
      <c r="E334" s="8" t="s">
        <v>550</v>
      </c>
      <c r="F334" s="11" t="s">
        <v>172</v>
      </c>
      <c r="G334" s="8">
        <f>COUNTIF($F$2:$F$350,F334)</f>
        <v>213</v>
      </c>
      <c r="H334" s="8" t="s">
        <v>115</v>
      </c>
      <c r="I334" s="8" t="s">
        <v>82</v>
      </c>
      <c r="J334" s="8" t="s">
        <v>83</v>
      </c>
      <c r="K334" s="8" t="s">
        <v>84</v>
      </c>
      <c r="M334" s="8" t="s">
        <v>85</v>
      </c>
      <c r="N334" s="8" t="s">
        <v>86</v>
      </c>
      <c r="O334" s="8" t="s">
        <v>87</v>
      </c>
      <c r="P334" s="8" t="s">
        <v>173</v>
      </c>
      <c r="Q334" s="8" t="s">
        <v>89</v>
      </c>
      <c r="R334" s="8" t="s">
        <v>90</v>
      </c>
      <c r="S334" s="8" t="s">
        <v>91</v>
      </c>
      <c r="T334" s="8" t="s">
        <v>92</v>
      </c>
      <c r="U334" s="8" t="s">
        <v>93</v>
      </c>
      <c r="V334" s="8" t="s">
        <v>22</v>
      </c>
      <c r="W334" s="8" t="s">
        <v>731</v>
      </c>
      <c r="X334" s="8" t="s">
        <v>177</v>
      </c>
      <c r="Y334" s="8" t="s">
        <v>95</v>
      </c>
      <c r="Z334" s="8" t="s">
        <v>189</v>
      </c>
      <c r="AA334" s="8" t="b">
        <v>0</v>
      </c>
      <c r="AC334" s="8">
        <v>0</v>
      </c>
      <c r="AD334" s="8">
        <v>81</v>
      </c>
      <c r="AI334" s="8" t="s">
        <v>732</v>
      </c>
      <c r="AJ334" s="8" t="s">
        <v>88</v>
      </c>
      <c r="AK334" s="8" t="s">
        <v>1343</v>
      </c>
      <c r="AL334" s="8" t="s">
        <v>88</v>
      </c>
      <c r="AM334" s="8" t="s">
        <v>88</v>
      </c>
      <c r="AN334" s="8" t="s">
        <v>88</v>
      </c>
      <c r="AP334" s="8" t="s">
        <v>1344</v>
      </c>
      <c r="AQ334" s="8" t="s">
        <v>100</v>
      </c>
      <c r="AR334" s="8" t="s">
        <v>101</v>
      </c>
      <c r="AS334" s="8" t="s">
        <v>120</v>
      </c>
      <c r="AT334" s="8" t="s">
        <v>103</v>
      </c>
      <c r="AU334" s="8" t="s">
        <v>103</v>
      </c>
      <c r="AX334" s="8" t="s">
        <v>104</v>
      </c>
      <c r="AY334" s="8" t="s">
        <v>121</v>
      </c>
      <c r="AZ334" s="8" t="s">
        <v>100</v>
      </c>
      <c r="BA334" s="8" t="s">
        <v>101</v>
      </c>
      <c r="BB334" s="8" t="s">
        <v>102</v>
      </c>
      <c r="BC334" s="8" t="s">
        <v>103</v>
      </c>
      <c r="BD334" s="8" t="s">
        <v>103</v>
      </c>
      <c r="BF334" s="8" t="s">
        <v>107</v>
      </c>
      <c r="BG334" s="8">
        <v>16700</v>
      </c>
      <c r="BH334" s="8" t="s">
        <v>122</v>
      </c>
      <c r="BO334" s="8">
        <v>12</v>
      </c>
      <c r="BR334" s="8" t="s">
        <v>100</v>
      </c>
      <c r="BS334" s="8" t="s">
        <v>182</v>
      </c>
      <c r="BT334" s="8" t="s">
        <v>183</v>
      </c>
      <c r="BU334" s="8" t="s">
        <v>106</v>
      </c>
      <c r="BV334" s="8" t="s">
        <v>123</v>
      </c>
      <c r="BW334" s="8" t="s">
        <v>110</v>
      </c>
    </row>
    <row r="335" spans="1:75" x14ac:dyDescent="0.35">
      <c r="A335" t="s">
        <v>1345</v>
      </c>
      <c r="B335" s="1">
        <v>45984</v>
      </c>
      <c r="C335" s="2">
        <v>0.54579861111111116</v>
      </c>
      <c r="D335" t="s">
        <v>393</v>
      </c>
      <c r="E335" t="s">
        <v>394</v>
      </c>
      <c r="F335" t="s">
        <v>1346</v>
      </c>
      <c r="G335">
        <f>COUNTIF($F$2:$F$350,F335)</f>
        <v>3</v>
      </c>
      <c r="H335" t="s">
        <v>81</v>
      </c>
      <c r="I335" t="s">
        <v>82</v>
      </c>
      <c r="J335" t="s">
        <v>83</v>
      </c>
      <c r="K335" t="s">
        <v>84</v>
      </c>
      <c r="M335" t="s">
        <v>85</v>
      </c>
      <c r="N335" t="s">
        <v>86</v>
      </c>
      <c r="O335" t="s">
        <v>87</v>
      </c>
      <c r="P335" t="s">
        <v>173</v>
      </c>
      <c r="Q335" t="s">
        <v>185</v>
      </c>
      <c r="R335" t="s">
        <v>186</v>
      </c>
      <c r="S335" t="s">
        <v>187</v>
      </c>
      <c r="T335" t="s">
        <v>188</v>
      </c>
      <c r="U335" t="s">
        <v>93</v>
      </c>
      <c r="V335" t="s">
        <v>22</v>
      </c>
      <c r="W335" t="s">
        <v>420</v>
      </c>
      <c r="X335" t="s">
        <v>177</v>
      </c>
      <c r="Y335" t="s">
        <v>95</v>
      </c>
      <c r="Z335" t="s">
        <v>189</v>
      </c>
      <c r="AA335" t="b">
        <v>0</v>
      </c>
      <c r="AC335">
        <v>0</v>
      </c>
      <c r="AD335">
        <v>79</v>
      </c>
      <c r="AI335" t="s">
        <v>423</v>
      </c>
      <c r="AJ335" t="s">
        <v>88</v>
      </c>
      <c r="AK335" t="s">
        <v>1347</v>
      </c>
      <c r="AL335" t="s">
        <v>88</v>
      </c>
      <c r="AM335" t="s">
        <v>88</v>
      </c>
      <c r="AN335" t="s">
        <v>88</v>
      </c>
      <c r="AP335" t="s">
        <v>1348</v>
      </c>
      <c r="AQ335" t="s">
        <v>100</v>
      </c>
      <c r="AR335" t="s">
        <v>101</v>
      </c>
      <c r="AS335" t="s">
        <v>102</v>
      </c>
      <c r="AT335" t="s">
        <v>426</v>
      </c>
      <c r="AU335" t="s">
        <v>426</v>
      </c>
      <c r="AX335" t="s">
        <v>427</v>
      </c>
      <c r="AY335" t="s">
        <v>428</v>
      </c>
      <c r="AZ335" t="s">
        <v>100</v>
      </c>
      <c r="BA335" t="s">
        <v>101</v>
      </c>
      <c r="BB335" t="s">
        <v>102</v>
      </c>
      <c r="BC335" t="s">
        <v>429</v>
      </c>
      <c r="BD335" t="s">
        <v>429</v>
      </c>
      <c r="BF335" t="s">
        <v>143</v>
      </c>
      <c r="BG335">
        <v>7018</v>
      </c>
      <c r="BH335" t="s">
        <v>430</v>
      </c>
      <c r="BO335">
        <v>5</v>
      </c>
      <c r="BR335" t="s">
        <v>100</v>
      </c>
      <c r="BS335" t="s">
        <v>109</v>
      </c>
      <c r="BT335" t="s">
        <v>102</v>
      </c>
      <c r="BU335" t="s">
        <v>429</v>
      </c>
      <c r="BV335" t="s">
        <v>431</v>
      </c>
      <c r="BW335" t="s">
        <v>110</v>
      </c>
    </row>
    <row r="336" spans="1:75" x14ac:dyDescent="0.35">
      <c r="A336" t="s">
        <v>1345</v>
      </c>
      <c r="B336" s="1">
        <v>45984</v>
      </c>
      <c r="C336" s="2">
        <v>0.54579861111111116</v>
      </c>
      <c r="D336" t="s">
        <v>393</v>
      </c>
      <c r="E336" t="s">
        <v>394</v>
      </c>
      <c r="F336" t="s">
        <v>1346</v>
      </c>
      <c r="G336">
        <f>COUNTIF($F$2:$F$350,F336)</f>
        <v>3</v>
      </c>
      <c r="H336" t="s">
        <v>81</v>
      </c>
      <c r="I336" t="s">
        <v>82</v>
      </c>
      <c r="J336" t="s">
        <v>83</v>
      </c>
      <c r="K336" t="s">
        <v>84</v>
      </c>
      <c r="M336" t="s">
        <v>85</v>
      </c>
      <c r="N336" t="s">
        <v>86</v>
      </c>
      <c r="O336" t="s">
        <v>87</v>
      </c>
      <c r="P336" t="s">
        <v>173</v>
      </c>
      <c r="Q336" t="s">
        <v>185</v>
      </c>
      <c r="R336" t="s">
        <v>186</v>
      </c>
      <c r="S336" t="s">
        <v>132</v>
      </c>
      <c r="T336" t="s">
        <v>133</v>
      </c>
      <c r="U336" t="s">
        <v>93</v>
      </c>
      <c r="V336" t="s">
        <v>22</v>
      </c>
      <c r="W336" t="s">
        <v>420</v>
      </c>
      <c r="X336" t="s">
        <v>177</v>
      </c>
      <c r="Y336" t="s">
        <v>95</v>
      </c>
      <c r="Z336" t="s">
        <v>189</v>
      </c>
      <c r="AA336" t="b">
        <v>0</v>
      </c>
      <c r="AC336">
        <v>0</v>
      </c>
      <c r="AD336">
        <v>88</v>
      </c>
      <c r="AI336" t="s">
        <v>423</v>
      </c>
      <c r="AJ336" t="s">
        <v>88</v>
      </c>
      <c r="AK336" t="s">
        <v>1349</v>
      </c>
      <c r="AL336" t="s">
        <v>88</v>
      </c>
      <c r="AM336" t="s">
        <v>88</v>
      </c>
      <c r="AN336" t="s">
        <v>88</v>
      </c>
      <c r="AP336" t="s">
        <v>1350</v>
      </c>
      <c r="AQ336" t="s">
        <v>100</v>
      </c>
      <c r="AR336" t="s">
        <v>101</v>
      </c>
      <c r="AS336" t="s">
        <v>102</v>
      </c>
      <c r="AT336" t="s">
        <v>426</v>
      </c>
      <c r="AU336" t="s">
        <v>426</v>
      </c>
      <c r="AX336" t="s">
        <v>427</v>
      </c>
      <c r="AY336" t="s">
        <v>428</v>
      </c>
      <c r="AZ336" t="s">
        <v>100</v>
      </c>
      <c r="BA336" t="s">
        <v>101</v>
      </c>
      <c r="BB336" t="s">
        <v>102</v>
      </c>
      <c r="BC336" t="s">
        <v>429</v>
      </c>
      <c r="BD336" t="s">
        <v>429</v>
      </c>
      <c r="BF336" t="s">
        <v>143</v>
      </c>
      <c r="BG336">
        <v>7018</v>
      </c>
      <c r="BH336" t="s">
        <v>430</v>
      </c>
      <c r="BO336">
        <v>5</v>
      </c>
      <c r="BR336" t="s">
        <v>100</v>
      </c>
      <c r="BS336" t="s">
        <v>109</v>
      </c>
      <c r="BT336" t="s">
        <v>102</v>
      </c>
      <c r="BU336" t="s">
        <v>429</v>
      </c>
      <c r="BV336" t="s">
        <v>431</v>
      </c>
      <c r="BW336" t="s">
        <v>110</v>
      </c>
    </row>
    <row r="337" spans="1:75" x14ac:dyDescent="0.35">
      <c r="A337" t="s">
        <v>1351</v>
      </c>
      <c r="B337" s="1">
        <v>45984</v>
      </c>
      <c r="C337" s="2">
        <v>0.53069444444444447</v>
      </c>
      <c r="D337" t="s">
        <v>393</v>
      </c>
      <c r="E337" t="s">
        <v>394</v>
      </c>
      <c r="F337" t="s">
        <v>1346</v>
      </c>
      <c r="G337">
        <f>COUNTIF($F$2:$F$350,F337)</f>
        <v>3</v>
      </c>
      <c r="H337" t="s">
        <v>81</v>
      </c>
      <c r="I337" t="s">
        <v>82</v>
      </c>
      <c r="J337" t="s">
        <v>83</v>
      </c>
      <c r="K337" t="s">
        <v>84</v>
      </c>
      <c r="M337" t="s">
        <v>85</v>
      </c>
      <c r="N337" t="s">
        <v>86</v>
      </c>
      <c r="O337" t="s">
        <v>87</v>
      </c>
      <c r="P337" t="s">
        <v>173</v>
      </c>
      <c r="Q337" t="s">
        <v>89</v>
      </c>
      <c r="R337" t="s">
        <v>90</v>
      </c>
      <c r="S337" t="s">
        <v>91</v>
      </c>
      <c r="T337" t="s">
        <v>92</v>
      </c>
      <c r="U337" t="s">
        <v>93</v>
      </c>
      <c r="V337" t="s">
        <v>22</v>
      </c>
      <c r="W337" t="s">
        <v>420</v>
      </c>
      <c r="X337" t="s">
        <v>421</v>
      </c>
      <c r="Y337" t="s">
        <v>95</v>
      </c>
      <c r="Z337" t="s">
        <v>422</v>
      </c>
      <c r="AA337" t="b">
        <v>0</v>
      </c>
      <c r="AC337">
        <v>0</v>
      </c>
      <c r="AD337">
        <v>191</v>
      </c>
      <c r="AI337" t="s">
        <v>423</v>
      </c>
      <c r="AJ337" t="s">
        <v>88</v>
      </c>
      <c r="AK337" t="s">
        <v>1352</v>
      </c>
      <c r="AL337" t="s">
        <v>88</v>
      </c>
      <c r="AM337" t="s">
        <v>88</v>
      </c>
      <c r="AN337" t="s">
        <v>88</v>
      </c>
      <c r="AP337" s="3" t="s">
        <v>1353</v>
      </c>
      <c r="AQ337" t="s">
        <v>100</v>
      </c>
      <c r="AR337" t="s">
        <v>101</v>
      </c>
      <c r="AS337" t="s">
        <v>102</v>
      </c>
      <c r="AT337" t="s">
        <v>426</v>
      </c>
      <c r="AU337" t="s">
        <v>426</v>
      </c>
      <c r="AX337" t="s">
        <v>427</v>
      </c>
      <c r="AY337" t="s">
        <v>428</v>
      </c>
      <c r="AZ337" t="s">
        <v>100</v>
      </c>
      <c r="BA337" t="s">
        <v>101</v>
      </c>
      <c r="BB337" t="s">
        <v>102</v>
      </c>
      <c r="BC337" t="s">
        <v>429</v>
      </c>
      <c r="BD337" t="s">
        <v>429</v>
      </c>
      <c r="BF337" t="s">
        <v>143</v>
      </c>
      <c r="BG337">
        <v>7018</v>
      </c>
      <c r="BH337" t="s">
        <v>430</v>
      </c>
      <c r="BO337">
        <v>5</v>
      </c>
      <c r="BR337" t="s">
        <v>100</v>
      </c>
      <c r="BS337" t="s">
        <v>109</v>
      </c>
      <c r="BT337" t="s">
        <v>102</v>
      </c>
      <c r="BU337" t="s">
        <v>429</v>
      </c>
      <c r="BV337" t="s">
        <v>431</v>
      </c>
      <c r="BW337" t="s">
        <v>110</v>
      </c>
    </row>
    <row r="338" spans="1:75" s="8" customFormat="1" x14ac:dyDescent="0.35">
      <c r="A338" s="8" t="s">
        <v>1354</v>
      </c>
      <c r="B338" s="9">
        <v>45984</v>
      </c>
      <c r="C338" s="10">
        <v>0.52752314814814816</v>
      </c>
      <c r="D338" s="8" t="s">
        <v>902</v>
      </c>
      <c r="E338" s="8" t="s">
        <v>903</v>
      </c>
      <c r="F338" s="11" t="s">
        <v>172</v>
      </c>
      <c r="G338" s="8">
        <f>COUNTIF($F$2:$F$350,F338)</f>
        <v>213</v>
      </c>
      <c r="H338" s="8" t="s">
        <v>115</v>
      </c>
      <c r="I338" s="8" t="s">
        <v>82</v>
      </c>
      <c r="J338" s="8" t="s">
        <v>83</v>
      </c>
      <c r="K338" s="8" t="s">
        <v>84</v>
      </c>
      <c r="M338" s="8" t="s">
        <v>85</v>
      </c>
      <c r="N338" s="8" t="s">
        <v>116</v>
      </c>
      <c r="O338" s="8" t="s">
        <v>87</v>
      </c>
      <c r="P338" s="8" t="s">
        <v>88</v>
      </c>
      <c r="Q338" s="8" t="s">
        <v>89</v>
      </c>
      <c r="R338" s="8" t="s">
        <v>90</v>
      </c>
      <c r="S338" s="8" t="s">
        <v>91</v>
      </c>
      <c r="T338" s="8" t="s">
        <v>92</v>
      </c>
      <c r="U338" s="8" t="s">
        <v>93</v>
      </c>
      <c r="V338" s="8" t="s">
        <v>22</v>
      </c>
      <c r="X338" s="8" t="s">
        <v>177</v>
      </c>
      <c r="Y338" s="8" t="s">
        <v>95</v>
      </c>
      <c r="Z338" s="8" t="s">
        <v>178</v>
      </c>
      <c r="AA338" s="8" t="b">
        <v>0</v>
      </c>
      <c r="AC338" s="8">
        <v>0</v>
      </c>
      <c r="AD338" s="8">
        <v>109</v>
      </c>
      <c r="AH338" s="8" t="s">
        <v>903</v>
      </c>
      <c r="AI338" s="8" t="s">
        <v>1355</v>
      </c>
      <c r="AJ338" s="8" t="s">
        <v>88</v>
      </c>
      <c r="AK338" s="8" t="s">
        <v>1356</v>
      </c>
      <c r="AL338" s="8" t="s">
        <v>88</v>
      </c>
      <c r="AM338" s="8" t="s">
        <v>88</v>
      </c>
      <c r="AN338" s="8" t="s">
        <v>88</v>
      </c>
      <c r="AO338" s="8">
        <v>1002</v>
      </c>
      <c r="AP338" s="8" t="s">
        <v>1357</v>
      </c>
      <c r="AQ338" s="8" t="s">
        <v>100</v>
      </c>
      <c r="AR338" s="8" t="s">
        <v>101</v>
      </c>
      <c r="AS338" s="8" t="s">
        <v>120</v>
      </c>
      <c r="AT338" s="8" t="s">
        <v>103</v>
      </c>
      <c r="AU338" s="8" t="s">
        <v>103</v>
      </c>
      <c r="AX338" s="8" t="s">
        <v>104</v>
      </c>
      <c r="AY338" s="8" t="s">
        <v>121</v>
      </c>
      <c r="AZ338" s="8" t="s">
        <v>100</v>
      </c>
      <c r="BA338" s="8" t="s">
        <v>101</v>
      </c>
      <c r="BB338" s="8" t="s">
        <v>102</v>
      </c>
      <c r="BC338" s="8" t="s">
        <v>103</v>
      </c>
      <c r="BD338" s="8" t="s">
        <v>103</v>
      </c>
      <c r="BF338" s="8" t="s">
        <v>107</v>
      </c>
      <c r="BG338" s="8">
        <v>16700</v>
      </c>
      <c r="BH338" s="8" t="s">
        <v>122</v>
      </c>
      <c r="BO338" s="8">
        <v>12</v>
      </c>
      <c r="BR338" s="8" t="s">
        <v>100</v>
      </c>
      <c r="BS338" s="8" t="s">
        <v>182</v>
      </c>
      <c r="BT338" s="8" t="s">
        <v>183</v>
      </c>
      <c r="BU338" s="8" t="s">
        <v>106</v>
      </c>
      <c r="BV338" s="8" t="s">
        <v>123</v>
      </c>
      <c r="BW338" s="8" t="s">
        <v>110</v>
      </c>
    </row>
    <row r="339" spans="1:75" s="8" customFormat="1" x14ac:dyDescent="0.35">
      <c r="A339" s="8" t="s">
        <v>1358</v>
      </c>
      <c r="B339" s="9">
        <v>45984</v>
      </c>
      <c r="C339" s="10">
        <v>0.52751157407407401</v>
      </c>
      <c r="D339" s="8" t="s">
        <v>902</v>
      </c>
      <c r="E339" s="8" t="s">
        <v>903</v>
      </c>
      <c r="F339" s="11" t="s">
        <v>172</v>
      </c>
      <c r="G339" s="8">
        <f>COUNTIF($F$2:$F$350,F339)</f>
        <v>213</v>
      </c>
      <c r="H339" s="8" t="s">
        <v>115</v>
      </c>
      <c r="I339" s="8" t="s">
        <v>82</v>
      </c>
      <c r="J339" s="8" t="s">
        <v>83</v>
      </c>
      <c r="K339" s="8" t="s">
        <v>165</v>
      </c>
      <c r="L339" s="8">
        <v>50140</v>
      </c>
      <c r="M339" s="8" t="s">
        <v>85</v>
      </c>
      <c r="N339" s="8" t="s">
        <v>116</v>
      </c>
      <c r="O339" s="8" t="s">
        <v>87</v>
      </c>
      <c r="P339" s="8" t="s">
        <v>88</v>
      </c>
      <c r="Q339" s="8" t="s">
        <v>89</v>
      </c>
      <c r="R339" s="8" t="s">
        <v>90</v>
      </c>
      <c r="S339" s="8" t="s">
        <v>91</v>
      </c>
      <c r="T339" s="8" t="s">
        <v>92</v>
      </c>
      <c r="U339" s="8" t="s">
        <v>166</v>
      </c>
      <c r="V339" s="8" t="s">
        <v>22</v>
      </c>
      <c r="X339" s="8" t="s">
        <v>177</v>
      </c>
      <c r="Y339" s="8" t="s">
        <v>95</v>
      </c>
      <c r="Z339" s="8" t="s">
        <v>178</v>
      </c>
      <c r="AA339" s="8" t="b">
        <v>0</v>
      </c>
      <c r="AC339" s="8">
        <v>0</v>
      </c>
      <c r="AD339" s="8">
        <v>73</v>
      </c>
      <c r="AE339" s="8" t="s">
        <v>167</v>
      </c>
      <c r="AH339" s="8" t="s">
        <v>903</v>
      </c>
      <c r="AI339" s="8" t="s">
        <v>1355</v>
      </c>
      <c r="AJ339" s="8" t="s">
        <v>88</v>
      </c>
      <c r="AK339" s="8" t="s">
        <v>1359</v>
      </c>
      <c r="AL339" s="8" t="s">
        <v>88</v>
      </c>
      <c r="AM339" s="8" t="s">
        <v>88</v>
      </c>
      <c r="AN339" s="8" t="s">
        <v>88</v>
      </c>
      <c r="AO339" s="8">
        <v>1002</v>
      </c>
      <c r="AP339" s="8" t="s">
        <v>1357</v>
      </c>
      <c r="AQ339" s="8" t="s">
        <v>100</v>
      </c>
      <c r="AR339" s="8" t="s">
        <v>101</v>
      </c>
      <c r="AS339" s="8" t="s">
        <v>120</v>
      </c>
      <c r="AT339" s="8" t="s">
        <v>103</v>
      </c>
      <c r="AU339" s="8" t="s">
        <v>103</v>
      </c>
      <c r="AX339" s="8" t="s">
        <v>104</v>
      </c>
      <c r="AY339" s="8" t="s">
        <v>121</v>
      </c>
      <c r="AZ339" s="8" t="s">
        <v>100</v>
      </c>
      <c r="BA339" s="8" t="s">
        <v>101</v>
      </c>
      <c r="BB339" s="8" t="s">
        <v>102</v>
      </c>
      <c r="BC339" s="8" t="s">
        <v>103</v>
      </c>
      <c r="BD339" s="8" t="s">
        <v>103</v>
      </c>
      <c r="BF339" s="8" t="s">
        <v>107</v>
      </c>
      <c r="BG339" s="8">
        <v>16700</v>
      </c>
      <c r="BH339" s="8" t="s">
        <v>122</v>
      </c>
      <c r="BO339" s="8">
        <v>12</v>
      </c>
      <c r="BR339" s="8" t="s">
        <v>100</v>
      </c>
      <c r="BS339" s="8" t="s">
        <v>182</v>
      </c>
      <c r="BT339" s="8" t="s">
        <v>183</v>
      </c>
      <c r="BU339" s="8" t="s">
        <v>106</v>
      </c>
      <c r="BV339" s="8" t="s">
        <v>123</v>
      </c>
      <c r="BW339" s="8" t="s">
        <v>110</v>
      </c>
    </row>
    <row r="340" spans="1:75" s="8" customFormat="1" x14ac:dyDescent="0.35">
      <c r="A340" s="8" t="s">
        <v>1360</v>
      </c>
      <c r="B340" s="9">
        <v>45984</v>
      </c>
      <c r="C340" s="10">
        <v>0.50692129629629623</v>
      </c>
      <c r="D340" s="8" t="s">
        <v>460</v>
      </c>
      <c r="E340" s="8" t="s">
        <v>461</v>
      </c>
      <c r="F340" s="11" t="s">
        <v>172</v>
      </c>
      <c r="G340" s="8">
        <f>COUNTIF($F$2:$F$350,F340)</f>
        <v>213</v>
      </c>
      <c r="H340" s="8" t="s">
        <v>115</v>
      </c>
      <c r="I340" s="8" t="s">
        <v>82</v>
      </c>
      <c r="J340" s="8" t="s">
        <v>83</v>
      </c>
      <c r="K340" s="8" t="s">
        <v>84</v>
      </c>
      <c r="M340" s="8" t="s">
        <v>85</v>
      </c>
      <c r="N340" s="8" t="s">
        <v>116</v>
      </c>
      <c r="O340" s="8" t="s">
        <v>87</v>
      </c>
      <c r="P340" s="8" t="s">
        <v>88</v>
      </c>
      <c r="Q340" s="8" t="s">
        <v>89</v>
      </c>
      <c r="R340" s="8" t="s">
        <v>90</v>
      </c>
      <c r="S340" s="8" t="s">
        <v>91</v>
      </c>
      <c r="T340" s="8" t="s">
        <v>92</v>
      </c>
      <c r="U340" s="8" t="s">
        <v>93</v>
      </c>
      <c r="V340" s="8" t="s">
        <v>22</v>
      </c>
      <c r="X340" s="8" t="s">
        <v>94</v>
      </c>
      <c r="Y340" s="8" t="s">
        <v>95</v>
      </c>
      <c r="Z340" s="8" t="s">
        <v>96</v>
      </c>
      <c r="AA340" s="8" t="b">
        <v>0</v>
      </c>
      <c r="AC340" s="8">
        <v>0</v>
      </c>
      <c r="AD340" s="8">
        <v>80</v>
      </c>
      <c r="AI340" s="8" t="s">
        <v>464</v>
      </c>
      <c r="AJ340" s="8" t="s">
        <v>88</v>
      </c>
      <c r="AK340" s="8" t="s">
        <v>1361</v>
      </c>
      <c r="AL340" s="8" t="s">
        <v>88</v>
      </c>
      <c r="AM340" s="8" t="s">
        <v>88</v>
      </c>
      <c r="AN340" s="8" t="s">
        <v>88</v>
      </c>
      <c r="AO340" s="8">
        <v>1002</v>
      </c>
      <c r="AP340" s="8" t="s">
        <v>1362</v>
      </c>
      <c r="AQ340" s="8" t="s">
        <v>100</v>
      </c>
      <c r="AR340" s="8" t="s">
        <v>101</v>
      </c>
      <c r="AS340" s="8" t="s">
        <v>120</v>
      </c>
      <c r="AT340" s="8" t="s">
        <v>103</v>
      </c>
      <c r="AU340" s="8" t="s">
        <v>103</v>
      </c>
      <c r="AX340" s="8" t="s">
        <v>104</v>
      </c>
      <c r="AY340" s="8" t="s">
        <v>121</v>
      </c>
      <c r="AZ340" s="8" t="s">
        <v>100</v>
      </c>
      <c r="BA340" s="8" t="s">
        <v>101</v>
      </c>
      <c r="BB340" s="8" t="s">
        <v>102</v>
      </c>
      <c r="BC340" s="8" t="s">
        <v>103</v>
      </c>
      <c r="BD340" s="8" t="s">
        <v>103</v>
      </c>
      <c r="BF340" s="8" t="s">
        <v>107</v>
      </c>
      <c r="BG340" s="8">
        <v>16700</v>
      </c>
      <c r="BH340" s="8" t="s">
        <v>122</v>
      </c>
      <c r="BO340" s="8">
        <v>12</v>
      </c>
      <c r="BR340" s="8" t="s">
        <v>100</v>
      </c>
      <c r="BS340" s="8" t="s">
        <v>182</v>
      </c>
      <c r="BT340" s="8" t="s">
        <v>183</v>
      </c>
      <c r="BU340" s="8" t="s">
        <v>106</v>
      </c>
      <c r="BV340" s="8" t="s">
        <v>123</v>
      </c>
      <c r="BW340" s="8" t="s">
        <v>110</v>
      </c>
    </row>
    <row r="341" spans="1:75" s="8" customFormat="1" x14ac:dyDescent="0.35">
      <c r="A341" s="8" t="s">
        <v>1363</v>
      </c>
      <c r="B341" s="9">
        <v>45984</v>
      </c>
      <c r="C341" s="10">
        <v>0.50686342592592593</v>
      </c>
      <c r="D341" s="8" t="s">
        <v>460</v>
      </c>
      <c r="E341" s="8" t="s">
        <v>461</v>
      </c>
      <c r="F341" s="11" t="s">
        <v>172</v>
      </c>
      <c r="G341" s="8">
        <f>COUNTIF($F$2:$F$350,F341)</f>
        <v>213</v>
      </c>
      <c r="H341" s="8" t="s">
        <v>115</v>
      </c>
      <c r="I341" s="8" t="s">
        <v>82</v>
      </c>
      <c r="J341" s="8" t="s">
        <v>83</v>
      </c>
      <c r="K341" s="8" t="s">
        <v>84</v>
      </c>
      <c r="M341" s="8" t="s">
        <v>85</v>
      </c>
      <c r="N341" s="8" t="s">
        <v>116</v>
      </c>
      <c r="O341" s="8" t="s">
        <v>87</v>
      </c>
      <c r="P341" s="8" t="s">
        <v>88</v>
      </c>
      <c r="Q341" s="8" t="s">
        <v>155</v>
      </c>
      <c r="R341" s="8" t="s">
        <v>156</v>
      </c>
      <c r="S341" s="8" t="s">
        <v>155</v>
      </c>
      <c r="T341" s="8" t="s">
        <v>156</v>
      </c>
      <c r="U341" s="8" t="s">
        <v>93</v>
      </c>
      <c r="V341" s="8" t="s">
        <v>22</v>
      </c>
      <c r="X341" s="8" t="s">
        <v>94</v>
      </c>
      <c r="Y341" s="8" t="s">
        <v>95</v>
      </c>
      <c r="Z341" s="8" t="s">
        <v>96</v>
      </c>
      <c r="AA341" s="8" t="b">
        <v>0</v>
      </c>
      <c r="AC341" s="8">
        <v>0</v>
      </c>
      <c r="AD341" s="8">
        <v>93</v>
      </c>
      <c r="AI341" s="8" t="s">
        <v>464</v>
      </c>
      <c r="AJ341" s="8" t="s">
        <v>88</v>
      </c>
      <c r="AK341" s="8" t="s">
        <v>1364</v>
      </c>
      <c r="AL341" s="8" t="s">
        <v>88</v>
      </c>
      <c r="AM341" s="8" t="s">
        <v>88</v>
      </c>
      <c r="AN341" s="8" t="s">
        <v>88</v>
      </c>
      <c r="AO341" s="8">
        <v>1002</v>
      </c>
      <c r="AP341" s="8" t="s">
        <v>1365</v>
      </c>
      <c r="AQ341" s="8" t="s">
        <v>100</v>
      </c>
      <c r="AR341" s="8" t="s">
        <v>101</v>
      </c>
      <c r="AS341" s="8" t="s">
        <v>120</v>
      </c>
      <c r="AT341" s="8" t="s">
        <v>103</v>
      </c>
      <c r="AU341" s="8" t="s">
        <v>103</v>
      </c>
      <c r="AX341" s="8" t="s">
        <v>104</v>
      </c>
      <c r="AY341" s="8" t="s">
        <v>121</v>
      </c>
      <c r="AZ341" s="8" t="s">
        <v>100</v>
      </c>
      <c r="BA341" s="8" t="s">
        <v>101</v>
      </c>
      <c r="BB341" s="8" t="s">
        <v>102</v>
      </c>
      <c r="BC341" s="8" t="s">
        <v>103</v>
      </c>
      <c r="BD341" s="8" t="s">
        <v>103</v>
      </c>
      <c r="BF341" s="8" t="s">
        <v>107</v>
      </c>
      <c r="BG341" s="8">
        <v>16700</v>
      </c>
      <c r="BH341" s="8" t="s">
        <v>122</v>
      </c>
      <c r="BO341" s="8">
        <v>12</v>
      </c>
      <c r="BR341" s="8" t="s">
        <v>100</v>
      </c>
      <c r="BS341" s="8" t="s">
        <v>182</v>
      </c>
      <c r="BT341" s="8" t="s">
        <v>183</v>
      </c>
      <c r="BU341" s="8" t="s">
        <v>106</v>
      </c>
      <c r="BV341" s="8" t="s">
        <v>123</v>
      </c>
      <c r="BW341" s="8" t="s">
        <v>110</v>
      </c>
    </row>
    <row r="342" spans="1:75" s="8" customFormat="1" x14ac:dyDescent="0.35">
      <c r="A342" s="8" t="s">
        <v>1366</v>
      </c>
      <c r="B342" s="9">
        <v>45984</v>
      </c>
      <c r="C342" s="10">
        <v>0.49555555555555553</v>
      </c>
      <c r="D342" s="8" t="s">
        <v>209</v>
      </c>
      <c r="E342" s="8" t="s">
        <v>210</v>
      </c>
      <c r="F342" s="11" t="s">
        <v>172</v>
      </c>
      <c r="G342" s="8">
        <f>COUNTIF($F$2:$F$350,F342)</f>
        <v>213</v>
      </c>
      <c r="H342" s="8" t="s">
        <v>115</v>
      </c>
      <c r="I342" s="8" t="s">
        <v>82</v>
      </c>
      <c r="J342" s="8" t="s">
        <v>83</v>
      </c>
      <c r="K342" s="8" t="s">
        <v>84</v>
      </c>
      <c r="M342" s="8" t="s">
        <v>85</v>
      </c>
      <c r="N342" s="8" t="s">
        <v>86</v>
      </c>
      <c r="O342" s="8" t="s">
        <v>87</v>
      </c>
      <c r="P342" s="8" t="s">
        <v>88</v>
      </c>
      <c r="Q342" s="8" t="s">
        <v>89</v>
      </c>
      <c r="R342" s="8" t="s">
        <v>90</v>
      </c>
      <c r="S342" s="8" t="s">
        <v>91</v>
      </c>
      <c r="T342" s="8" t="s">
        <v>92</v>
      </c>
      <c r="U342" s="8" t="s">
        <v>93</v>
      </c>
      <c r="V342" s="8" t="s">
        <v>22</v>
      </c>
      <c r="X342" s="8" t="s">
        <v>177</v>
      </c>
      <c r="Y342" s="8" t="s">
        <v>95</v>
      </c>
      <c r="Z342" s="8" t="s">
        <v>189</v>
      </c>
      <c r="AA342" s="8" t="b">
        <v>0</v>
      </c>
      <c r="AC342" s="8">
        <v>0</v>
      </c>
      <c r="AD342" s="8">
        <v>117</v>
      </c>
      <c r="AI342" s="8" t="s">
        <v>213</v>
      </c>
      <c r="AJ342" s="8" t="s">
        <v>88</v>
      </c>
      <c r="AK342" s="8" t="s">
        <v>1367</v>
      </c>
      <c r="AL342" s="8" t="s">
        <v>88</v>
      </c>
      <c r="AM342" s="8" t="s">
        <v>88</v>
      </c>
      <c r="AN342" s="8" t="s">
        <v>88</v>
      </c>
      <c r="AO342" s="8">
        <v>1002</v>
      </c>
      <c r="AP342" s="8" t="s">
        <v>1368</v>
      </c>
      <c r="AQ342" s="8" t="s">
        <v>100</v>
      </c>
      <c r="AR342" s="8" t="s">
        <v>101</v>
      </c>
      <c r="AS342" s="8" t="s">
        <v>120</v>
      </c>
      <c r="AT342" s="8" t="s">
        <v>103</v>
      </c>
      <c r="AU342" s="8" t="s">
        <v>103</v>
      </c>
      <c r="AX342" s="8" t="s">
        <v>104</v>
      </c>
      <c r="AY342" s="8" t="s">
        <v>121</v>
      </c>
      <c r="AZ342" s="8" t="s">
        <v>100</v>
      </c>
      <c r="BA342" s="8" t="s">
        <v>101</v>
      </c>
      <c r="BB342" s="8" t="s">
        <v>102</v>
      </c>
      <c r="BC342" s="8" t="s">
        <v>103</v>
      </c>
      <c r="BD342" s="8" t="s">
        <v>103</v>
      </c>
      <c r="BF342" s="8" t="s">
        <v>107</v>
      </c>
      <c r="BG342" s="8">
        <v>16700</v>
      </c>
      <c r="BH342" s="8" t="s">
        <v>122</v>
      </c>
      <c r="BO342" s="8">
        <v>12</v>
      </c>
      <c r="BR342" s="8" t="s">
        <v>100</v>
      </c>
      <c r="BS342" s="8" t="s">
        <v>182</v>
      </c>
      <c r="BT342" s="8" t="s">
        <v>183</v>
      </c>
      <c r="BU342" s="8" t="s">
        <v>106</v>
      </c>
      <c r="BV342" s="8" t="s">
        <v>123</v>
      </c>
      <c r="BW342" s="8" t="s">
        <v>110</v>
      </c>
    </row>
    <row r="343" spans="1:75" s="8" customFormat="1" x14ac:dyDescent="0.35">
      <c r="A343" s="8" t="s">
        <v>1369</v>
      </c>
      <c r="B343" s="9">
        <v>45984</v>
      </c>
      <c r="C343" s="10">
        <v>0.49518518518518517</v>
      </c>
      <c r="D343" s="8" t="s">
        <v>220</v>
      </c>
      <c r="E343" s="8" t="s">
        <v>221</v>
      </c>
      <c r="F343" s="11" t="s">
        <v>172</v>
      </c>
      <c r="G343" s="8">
        <f>COUNTIF($F$2:$F$350,F343)</f>
        <v>213</v>
      </c>
      <c r="H343" s="8" t="s">
        <v>115</v>
      </c>
      <c r="I343" s="8" t="s">
        <v>82</v>
      </c>
      <c r="J343" s="8" t="s">
        <v>83</v>
      </c>
      <c r="K343" s="8" t="s">
        <v>84</v>
      </c>
      <c r="M343" s="8" t="s">
        <v>85</v>
      </c>
      <c r="N343" s="8" t="s">
        <v>86</v>
      </c>
      <c r="O343" s="8" t="s">
        <v>87</v>
      </c>
      <c r="P343" s="8" t="s">
        <v>88</v>
      </c>
      <c r="Q343" s="8" t="s">
        <v>89</v>
      </c>
      <c r="R343" s="8" t="s">
        <v>90</v>
      </c>
      <c r="S343" s="8" t="s">
        <v>91</v>
      </c>
      <c r="T343" s="8" t="s">
        <v>92</v>
      </c>
      <c r="U343" s="8" t="s">
        <v>93</v>
      </c>
      <c r="V343" s="8" t="s">
        <v>22</v>
      </c>
      <c r="X343" s="8" t="s">
        <v>1223</v>
      </c>
      <c r="Y343" s="8" t="s">
        <v>1224</v>
      </c>
      <c r="Z343" s="8" t="s">
        <v>1225</v>
      </c>
      <c r="AA343" s="8" t="b">
        <v>0</v>
      </c>
      <c r="AC343" s="8">
        <v>0</v>
      </c>
      <c r="AD343" s="8">
        <v>77</v>
      </c>
      <c r="AI343" s="8" t="s">
        <v>1226</v>
      </c>
      <c r="AJ343" s="8" t="s">
        <v>88</v>
      </c>
      <c r="AK343" s="8" t="s">
        <v>1370</v>
      </c>
      <c r="AL343" s="8" t="s">
        <v>88</v>
      </c>
      <c r="AM343" s="8" t="s">
        <v>88</v>
      </c>
      <c r="AN343" s="8" t="s">
        <v>88</v>
      </c>
      <c r="AO343" s="8">
        <v>1002</v>
      </c>
      <c r="AP343" s="8" t="s">
        <v>1371</v>
      </c>
      <c r="AQ343" s="8" t="s">
        <v>100</v>
      </c>
      <c r="AR343" s="8" t="s">
        <v>101</v>
      </c>
      <c r="AS343" s="8" t="s">
        <v>120</v>
      </c>
      <c r="AT343" s="8" t="s">
        <v>103</v>
      </c>
      <c r="AU343" s="8" t="s">
        <v>103</v>
      </c>
      <c r="AX343" s="8" t="s">
        <v>104</v>
      </c>
      <c r="AY343" s="8" t="s">
        <v>121</v>
      </c>
      <c r="AZ343" s="8" t="s">
        <v>100</v>
      </c>
      <c r="BA343" s="8" t="s">
        <v>101</v>
      </c>
      <c r="BB343" s="8" t="s">
        <v>102</v>
      </c>
      <c r="BC343" s="8" t="s">
        <v>103</v>
      </c>
      <c r="BD343" s="8" t="s">
        <v>103</v>
      </c>
      <c r="BF343" s="8" t="s">
        <v>107</v>
      </c>
      <c r="BG343" s="8">
        <v>16700</v>
      </c>
      <c r="BH343" s="8" t="s">
        <v>122</v>
      </c>
      <c r="BO343" s="8">
        <v>12</v>
      </c>
      <c r="BR343" s="8" t="s">
        <v>100</v>
      </c>
      <c r="BS343" s="8" t="s">
        <v>182</v>
      </c>
      <c r="BT343" s="8" t="s">
        <v>183</v>
      </c>
      <c r="BU343" s="8" t="s">
        <v>106</v>
      </c>
      <c r="BV343" s="8" t="s">
        <v>123</v>
      </c>
      <c r="BW343" s="8" t="s">
        <v>110</v>
      </c>
    </row>
    <row r="344" spans="1:75" x14ac:dyDescent="0.35">
      <c r="A344" t="s">
        <v>1372</v>
      </c>
      <c r="B344" s="1">
        <v>45984</v>
      </c>
      <c r="C344" s="2">
        <v>0.44893518518518521</v>
      </c>
      <c r="D344" t="s">
        <v>112</v>
      </c>
      <c r="E344" t="s">
        <v>113</v>
      </c>
      <c r="F344" t="s">
        <v>114</v>
      </c>
      <c r="G344">
        <f>COUNTIF($F$2:$F$350,F344)</f>
        <v>42</v>
      </c>
      <c r="H344" t="s">
        <v>115</v>
      </c>
      <c r="I344" t="s">
        <v>82</v>
      </c>
      <c r="J344" t="s">
        <v>83</v>
      </c>
      <c r="K344" t="s">
        <v>84</v>
      </c>
      <c r="M344" t="s">
        <v>85</v>
      </c>
      <c r="N344" t="s">
        <v>116</v>
      </c>
      <c r="O344" t="s">
        <v>87</v>
      </c>
      <c r="P344" t="s">
        <v>88</v>
      </c>
      <c r="Q344" t="s">
        <v>89</v>
      </c>
      <c r="R344" t="s">
        <v>90</v>
      </c>
      <c r="S344" t="s">
        <v>91</v>
      </c>
      <c r="T344" t="s">
        <v>92</v>
      </c>
      <c r="U344" t="s">
        <v>93</v>
      </c>
      <c r="V344" t="s">
        <v>22</v>
      </c>
      <c r="X344" t="s">
        <v>94</v>
      </c>
      <c r="Y344" t="s">
        <v>95</v>
      </c>
      <c r="Z344" t="s">
        <v>96</v>
      </c>
      <c r="AA344" t="b">
        <v>0</v>
      </c>
      <c r="AC344">
        <v>0</v>
      </c>
      <c r="AD344">
        <v>75</v>
      </c>
      <c r="AI344" t="s">
        <v>117</v>
      </c>
      <c r="AJ344" t="s">
        <v>88</v>
      </c>
      <c r="AK344" t="s">
        <v>1373</v>
      </c>
      <c r="AL344" t="s">
        <v>88</v>
      </c>
      <c r="AM344" t="s">
        <v>88</v>
      </c>
      <c r="AN344" t="s">
        <v>88</v>
      </c>
      <c r="AO344">
        <v>1002</v>
      </c>
      <c r="AP344" t="s">
        <v>1374</v>
      </c>
      <c r="AQ344" t="s">
        <v>100</v>
      </c>
      <c r="AR344" t="s">
        <v>101</v>
      </c>
      <c r="AS344" t="s">
        <v>120</v>
      </c>
      <c r="AT344" t="s">
        <v>103</v>
      </c>
      <c r="AU344" t="s">
        <v>103</v>
      </c>
      <c r="AX344" t="s">
        <v>104</v>
      </c>
      <c r="AY344" t="s">
        <v>121</v>
      </c>
      <c r="AZ344" t="s">
        <v>100</v>
      </c>
      <c r="BA344" t="s">
        <v>101</v>
      </c>
      <c r="BB344" t="s">
        <v>102</v>
      </c>
      <c r="BC344" t="s">
        <v>103</v>
      </c>
      <c r="BD344" t="s">
        <v>103</v>
      </c>
      <c r="BF344" t="s">
        <v>107</v>
      </c>
      <c r="BG344">
        <v>16700</v>
      </c>
      <c r="BH344" t="s">
        <v>122</v>
      </c>
      <c r="BO344">
        <v>12</v>
      </c>
      <c r="BR344" t="s">
        <v>100</v>
      </c>
      <c r="BS344" t="s">
        <v>109</v>
      </c>
      <c r="BT344" t="s">
        <v>102</v>
      </c>
      <c r="BU344" t="s">
        <v>106</v>
      </c>
      <c r="BV344" t="s">
        <v>123</v>
      </c>
      <c r="BW344" t="s">
        <v>110</v>
      </c>
    </row>
    <row r="345" spans="1:75" s="8" customFormat="1" x14ac:dyDescent="0.35">
      <c r="A345" s="8" t="s">
        <v>1375</v>
      </c>
      <c r="B345" s="9">
        <v>45984</v>
      </c>
      <c r="C345" s="10">
        <v>0.32190972222222219</v>
      </c>
      <c r="D345" s="8" t="s">
        <v>220</v>
      </c>
      <c r="E345" s="8" t="s">
        <v>221</v>
      </c>
      <c r="F345" s="11" t="s">
        <v>172</v>
      </c>
      <c r="G345" s="8">
        <f>COUNTIF($F$2:$F$350,F345)</f>
        <v>213</v>
      </c>
      <c r="H345" s="8" t="s">
        <v>115</v>
      </c>
      <c r="I345" s="8" t="s">
        <v>82</v>
      </c>
      <c r="J345" s="8" t="s">
        <v>83</v>
      </c>
      <c r="K345" s="8" t="s">
        <v>84</v>
      </c>
      <c r="M345" s="8" t="s">
        <v>85</v>
      </c>
      <c r="N345" s="8" t="s">
        <v>86</v>
      </c>
      <c r="O345" s="8" t="s">
        <v>87</v>
      </c>
      <c r="P345" s="8" t="s">
        <v>88</v>
      </c>
      <c r="Q345" s="8" t="s">
        <v>89</v>
      </c>
      <c r="R345" s="8" t="s">
        <v>90</v>
      </c>
      <c r="S345" s="8" t="s">
        <v>91</v>
      </c>
      <c r="T345" s="8" t="s">
        <v>92</v>
      </c>
      <c r="U345" s="8" t="s">
        <v>93</v>
      </c>
      <c r="V345" s="8" t="s">
        <v>22</v>
      </c>
      <c r="X345" s="8" t="s">
        <v>1223</v>
      </c>
      <c r="Y345" s="8" t="s">
        <v>1224</v>
      </c>
      <c r="Z345" s="8" t="s">
        <v>1225</v>
      </c>
      <c r="AA345" s="8" t="b">
        <v>0</v>
      </c>
      <c r="AC345" s="8">
        <v>0</v>
      </c>
      <c r="AD345" s="8">
        <v>108</v>
      </c>
      <c r="AI345" s="8" t="s">
        <v>1226</v>
      </c>
      <c r="AJ345" s="8" t="s">
        <v>88</v>
      </c>
      <c r="AK345" s="8" t="s">
        <v>1376</v>
      </c>
      <c r="AL345" s="8" t="s">
        <v>88</v>
      </c>
      <c r="AM345" s="8" t="s">
        <v>88</v>
      </c>
      <c r="AN345" s="8" t="s">
        <v>88</v>
      </c>
      <c r="AO345" s="8">
        <v>1002</v>
      </c>
      <c r="AP345" s="8" t="s">
        <v>1377</v>
      </c>
      <c r="AQ345" s="8" t="s">
        <v>100</v>
      </c>
      <c r="AR345" s="8" t="s">
        <v>101</v>
      </c>
      <c r="AS345" s="8" t="s">
        <v>120</v>
      </c>
      <c r="AT345" s="8" t="s">
        <v>103</v>
      </c>
      <c r="AU345" s="8" t="s">
        <v>103</v>
      </c>
      <c r="AX345" s="8" t="s">
        <v>104</v>
      </c>
      <c r="AY345" s="8" t="s">
        <v>121</v>
      </c>
      <c r="AZ345" s="8" t="s">
        <v>100</v>
      </c>
      <c r="BA345" s="8" t="s">
        <v>101</v>
      </c>
      <c r="BB345" s="8" t="s">
        <v>102</v>
      </c>
      <c r="BC345" s="8" t="s">
        <v>103</v>
      </c>
      <c r="BD345" s="8" t="s">
        <v>103</v>
      </c>
      <c r="BF345" s="8" t="s">
        <v>107</v>
      </c>
      <c r="BG345" s="8">
        <v>16700</v>
      </c>
      <c r="BH345" s="8" t="s">
        <v>122</v>
      </c>
      <c r="BO345" s="8">
        <v>12</v>
      </c>
      <c r="BR345" s="8" t="s">
        <v>100</v>
      </c>
      <c r="BS345" s="8" t="s">
        <v>182</v>
      </c>
      <c r="BT345" s="8" t="s">
        <v>183</v>
      </c>
      <c r="BU345" s="8" t="s">
        <v>106</v>
      </c>
      <c r="BV345" s="8" t="s">
        <v>123</v>
      </c>
      <c r="BW345" s="8" t="s">
        <v>110</v>
      </c>
    </row>
    <row r="346" spans="1:75" x14ac:dyDescent="0.35">
      <c r="A346" t="s">
        <v>1378</v>
      </c>
      <c r="B346" s="1">
        <v>45984</v>
      </c>
      <c r="C346" s="2">
        <v>0.28017361111111111</v>
      </c>
      <c r="D346" t="s">
        <v>112</v>
      </c>
      <c r="E346" t="s">
        <v>113</v>
      </c>
      <c r="F346" t="s">
        <v>114</v>
      </c>
      <c r="G346">
        <f>COUNTIF($F$2:$F$350,F346)</f>
        <v>42</v>
      </c>
      <c r="H346" t="s">
        <v>115</v>
      </c>
      <c r="I346" t="s">
        <v>82</v>
      </c>
      <c r="J346" t="s">
        <v>83</v>
      </c>
      <c r="K346" t="s">
        <v>84</v>
      </c>
      <c r="M346" t="s">
        <v>85</v>
      </c>
      <c r="N346" t="s">
        <v>116</v>
      </c>
      <c r="O346" t="s">
        <v>87</v>
      </c>
      <c r="P346" t="s">
        <v>88</v>
      </c>
      <c r="Q346" t="s">
        <v>89</v>
      </c>
      <c r="R346" t="s">
        <v>90</v>
      </c>
      <c r="S346" t="s">
        <v>91</v>
      </c>
      <c r="T346" t="s">
        <v>92</v>
      </c>
      <c r="U346" t="s">
        <v>93</v>
      </c>
      <c r="V346" t="s">
        <v>22</v>
      </c>
      <c r="X346" t="s">
        <v>94</v>
      </c>
      <c r="Y346" t="s">
        <v>95</v>
      </c>
      <c r="Z346" t="s">
        <v>96</v>
      </c>
      <c r="AA346" t="b">
        <v>0</v>
      </c>
      <c r="AC346">
        <v>0</v>
      </c>
      <c r="AD346">
        <v>89</v>
      </c>
      <c r="AI346" t="s">
        <v>117</v>
      </c>
      <c r="AJ346" t="s">
        <v>88</v>
      </c>
      <c r="AK346" t="s">
        <v>1379</v>
      </c>
      <c r="AL346" t="s">
        <v>88</v>
      </c>
      <c r="AM346" t="s">
        <v>88</v>
      </c>
      <c r="AN346" t="s">
        <v>88</v>
      </c>
      <c r="AO346">
        <v>1002</v>
      </c>
      <c r="AP346" t="s">
        <v>1380</v>
      </c>
      <c r="AQ346" t="s">
        <v>100</v>
      </c>
      <c r="AR346" t="s">
        <v>101</v>
      </c>
      <c r="AS346" t="s">
        <v>120</v>
      </c>
      <c r="AT346" t="s">
        <v>103</v>
      </c>
      <c r="AU346" t="s">
        <v>103</v>
      </c>
      <c r="AX346" t="s">
        <v>104</v>
      </c>
      <c r="AY346" t="s">
        <v>121</v>
      </c>
      <c r="AZ346" t="s">
        <v>100</v>
      </c>
      <c r="BA346" t="s">
        <v>101</v>
      </c>
      <c r="BB346" t="s">
        <v>102</v>
      </c>
      <c r="BC346" t="s">
        <v>103</v>
      </c>
      <c r="BD346" t="s">
        <v>103</v>
      </c>
      <c r="BF346" t="s">
        <v>107</v>
      </c>
      <c r="BG346">
        <v>16700</v>
      </c>
      <c r="BH346" t="s">
        <v>122</v>
      </c>
      <c r="BO346">
        <v>12</v>
      </c>
      <c r="BR346" t="s">
        <v>100</v>
      </c>
      <c r="BS346" t="s">
        <v>109</v>
      </c>
      <c r="BT346" t="s">
        <v>102</v>
      </c>
      <c r="BU346" t="s">
        <v>106</v>
      </c>
      <c r="BV346" t="s">
        <v>123</v>
      </c>
      <c r="BW346" t="s">
        <v>110</v>
      </c>
    </row>
    <row r="347" spans="1:75" s="8" customFormat="1" x14ac:dyDescent="0.35">
      <c r="A347" s="8" t="s">
        <v>1381</v>
      </c>
      <c r="B347" s="9">
        <v>45984</v>
      </c>
      <c r="C347" s="10">
        <v>0.14863425925925924</v>
      </c>
      <c r="D347" s="8" t="s">
        <v>220</v>
      </c>
      <c r="E347" s="8" t="s">
        <v>221</v>
      </c>
      <c r="F347" s="11" t="s">
        <v>172</v>
      </c>
      <c r="G347" s="8">
        <f>COUNTIF($F$2:$F$350,F347)</f>
        <v>213</v>
      </c>
      <c r="H347" s="8" t="s">
        <v>115</v>
      </c>
      <c r="I347" s="8" t="s">
        <v>82</v>
      </c>
      <c r="J347" s="8" t="s">
        <v>83</v>
      </c>
      <c r="K347" s="8" t="s">
        <v>84</v>
      </c>
      <c r="M347" s="8" t="s">
        <v>85</v>
      </c>
      <c r="N347" s="8" t="s">
        <v>86</v>
      </c>
      <c r="O347" s="8" t="s">
        <v>87</v>
      </c>
      <c r="P347" s="8" t="s">
        <v>88</v>
      </c>
      <c r="Q347" s="8" t="s">
        <v>89</v>
      </c>
      <c r="R347" s="8" t="s">
        <v>90</v>
      </c>
      <c r="S347" s="8" t="s">
        <v>91</v>
      </c>
      <c r="T347" s="8" t="s">
        <v>92</v>
      </c>
      <c r="U347" s="8" t="s">
        <v>93</v>
      </c>
      <c r="V347" s="8" t="s">
        <v>22</v>
      </c>
      <c r="X347" s="8" t="s">
        <v>1223</v>
      </c>
      <c r="Y347" s="8" t="s">
        <v>1224</v>
      </c>
      <c r="Z347" s="8" t="s">
        <v>1225</v>
      </c>
      <c r="AA347" s="8" t="b">
        <v>0</v>
      </c>
      <c r="AC347" s="8">
        <v>0</v>
      </c>
      <c r="AD347" s="8">
        <v>168</v>
      </c>
      <c r="AI347" s="8" t="s">
        <v>1226</v>
      </c>
      <c r="AJ347" s="8" t="s">
        <v>88</v>
      </c>
      <c r="AK347" s="8" t="s">
        <v>1382</v>
      </c>
      <c r="AL347" s="8" t="s">
        <v>88</v>
      </c>
      <c r="AM347" s="8" t="s">
        <v>88</v>
      </c>
      <c r="AN347" s="8" t="s">
        <v>88</v>
      </c>
      <c r="AO347" s="8">
        <v>1002</v>
      </c>
      <c r="AP347" s="8" t="s">
        <v>1383</v>
      </c>
      <c r="AQ347" s="8" t="s">
        <v>100</v>
      </c>
      <c r="AR347" s="8" t="s">
        <v>101</v>
      </c>
      <c r="AS347" s="8" t="s">
        <v>120</v>
      </c>
      <c r="AT347" s="8" t="s">
        <v>103</v>
      </c>
      <c r="AU347" s="8" t="s">
        <v>103</v>
      </c>
      <c r="AX347" s="8" t="s">
        <v>104</v>
      </c>
      <c r="AY347" s="8" t="s">
        <v>121</v>
      </c>
      <c r="AZ347" s="8" t="s">
        <v>100</v>
      </c>
      <c r="BA347" s="8" t="s">
        <v>101</v>
      </c>
      <c r="BB347" s="8" t="s">
        <v>102</v>
      </c>
      <c r="BC347" s="8" t="s">
        <v>103</v>
      </c>
      <c r="BD347" s="8" t="s">
        <v>103</v>
      </c>
      <c r="BF347" s="8" t="s">
        <v>107</v>
      </c>
      <c r="BG347" s="8">
        <v>16700</v>
      </c>
      <c r="BH347" s="8" t="s">
        <v>122</v>
      </c>
      <c r="BO347" s="8">
        <v>12</v>
      </c>
      <c r="BR347" s="8" t="s">
        <v>100</v>
      </c>
      <c r="BS347" s="8" t="s">
        <v>182</v>
      </c>
      <c r="BT347" s="8" t="s">
        <v>183</v>
      </c>
      <c r="BU347" s="8" t="s">
        <v>106</v>
      </c>
      <c r="BV347" s="8" t="s">
        <v>123</v>
      </c>
      <c r="BW347" s="8" t="s">
        <v>110</v>
      </c>
    </row>
    <row r="348" spans="1:75" x14ac:dyDescent="0.35">
      <c r="A348" t="s">
        <v>1384</v>
      </c>
      <c r="B348" s="1">
        <v>45984</v>
      </c>
      <c r="C348" s="2">
        <v>0.11142361111111111</v>
      </c>
      <c r="D348" t="s">
        <v>112</v>
      </c>
      <c r="E348" t="s">
        <v>113</v>
      </c>
      <c r="F348" t="s">
        <v>114</v>
      </c>
      <c r="G348">
        <f>COUNTIF($F$2:$F$350,F348)</f>
        <v>42</v>
      </c>
      <c r="H348" t="s">
        <v>115</v>
      </c>
      <c r="I348" t="s">
        <v>82</v>
      </c>
      <c r="J348" t="s">
        <v>83</v>
      </c>
      <c r="K348" t="s">
        <v>84</v>
      </c>
      <c r="M348" t="s">
        <v>85</v>
      </c>
      <c r="N348" t="s">
        <v>116</v>
      </c>
      <c r="O348" t="s">
        <v>87</v>
      </c>
      <c r="P348" t="s">
        <v>88</v>
      </c>
      <c r="Q348" t="s">
        <v>89</v>
      </c>
      <c r="R348" t="s">
        <v>90</v>
      </c>
      <c r="S348" t="s">
        <v>91</v>
      </c>
      <c r="T348" t="s">
        <v>92</v>
      </c>
      <c r="U348" t="s">
        <v>93</v>
      </c>
      <c r="V348" t="s">
        <v>22</v>
      </c>
      <c r="X348" t="s">
        <v>94</v>
      </c>
      <c r="Y348" t="s">
        <v>95</v>
      </c>
      <c r="Z348" t="s">
        <v>96</v>
      </c>
      <c r="AA348" t="b">
        <v>0</v>
      </c>
      <c r="AC348">
        <v>0</v>
      </c>
      <c r="AD348">
        <v>124</v>
      </c>
      <c r="AI348" t="s">
        <v>117</v>
      </c>
      <c r="AJ348" t="s">
        <v>88</v>
      </c>
      <c r="AK348" t="s">
        <v>1385</v>
      </c>
      <c r="AL348" t="s">
        <v>88</v>
      </c>
      <c r="AM348" t="s">
        <v>88</v>
      </c>
      <c r="AN348" t="s">
        <v>88</v>
      </c>
      <c r="AO348">
        <v>1002</v>
      </c>
      <c r="AP348" t="s">
        <v>1386</v>
      </c>
      <c r="AQ348" t="s">
        <v>100</v>
      </c>
      <c r="AR348" t="s">
        <v>101</v>
      </c>
      <c r="AS348" t="s">
        <v>120</v>
      </c>
      <c r="AT348" t="s">
        <v>103</v>
      </c>
      <c r="AU348" t="s">
        <v>103</v>
      </c>
      <c r="AX348" t="s">
        <v>104</v>
      </c>
      <c r="AY348" t="s">
        <v>121</v>
      </c>
      <c r="AZ348" t="s">
        <v>100</v>
      </c>
      <c r="BA348" t="s">
        <v>101</v>
      </c>
      <c r="BB348" t="s">
        <v>102</v>
      </c>
      <c r="BC348" t="s">
        <v>103</v>
      </c>
      <c r="BD348" t="s">
        <v>103</v>
      </c>
      <c r="BF348" t="s">
        <v>107</v>
      </c>
      <c r="BG348">
        <v>16700</v>
      </c>
      <c r="BH348" t="s">
        <v>122</v>
      </c>
      <c r="BO348">
        <v>12</v>
      </c>
      <c r="BR348" t="s">
        <v>100</v>
      </c>
      <c r="BS348" t="s">
        <v>109</v>
      </c>
      <c r="BT348" t="s">
        <v>102</v>
      </c>
      <c r="BU348" t="s">
        <v>106</v>
      </c>
      <c r="BV348" t="s">
        <v>123</v>
      </c>
      <c r="BW348" t="s">
        <v>110</v>
      </c>
    </row>
    <row r="349" spans="1:75" s="8" customFormat="1" x14ac:dyDescent="0.35">
      <c r="A349" s="8" t="s">
        <v>1387</v>
      </c>
      <c r="B349" s="9">
        <v>45983</v>
      </c>
      <c r="C349" s="10">
        <v>0.97541666666666671</v>
      </c>
      <c r="D349" s="8" t="s">
        <v>220</v>
      </c>
      <c r="E349" s="8" t="s">
        <v>221</v>
      </c>
      <c r="F349" s="11" t="s">
        <v>172</v>
      </c>
      <c r="G349" s="8">
        <f>COUNTIF($F$2:$F$350,F349)</f>
        <v>213</v>
      </c>
      <c r="H349" s="8" t="s">
        <v>115</v>
      </c>
      <c r="I349" s="8" t="s">
        <v>82</v>
      </c>
      <c r="J349" s="8" t="s">
        <v>83</v>
      </c>
      <c r="K349" s="8" t="s">
        <v>84</v>
      </c>
      <c r="M349" s="8" t="s">
        <v>85</v>
      </c>
      <c r="N349" s="8" t="s">
        <v>86</v>
      </c>
      <c r="O349" s="8" t="s">
        <v>87</v>
      </c>
      <c r="P349" s="8" t="s">
        <v>88</v>
      </c>
      <c r="Q349" s="8" t="s">
        <v>89</v>
      </c>
      <c r="R349" s="8" t="s">
        <v>90</v>
      </c>
      <c r="S349" s="8" t="s">
        <v>91</v>
      </c>
      <c r="T349" s="8" t="s">
        <v>92</v>
      </c>
      <c r="U349" s="8" t="s">
        <v>93</v>
      </c>
      <c r="V349" s="8" t="s">
        <v>22</v>
      </c>
      <c r="X349" s="8" t="s">
        <v>1223</v>
      </c>
      <c r="Y349" s="8" t="s">
        <v>1224</v>
      </c>
      <c r="Z349" s="8" t="s">
        <v>1225</v>
      </c>
      <c r="AA349" s="8" t="b">
        <v>0</v>
      </c>
      <c r="AC349" s="8">
        <v>0</v>
      </c>
      <c r="AD349" s="8">
        <v>79</v>
      </c>
      <c r="AI349" s="8" t="s">
        <v>1226</v>
      </c>
      <c r="AJ349" s="8" t="s">
        <v>88</v>
      </c>
      <c r="AK349" s="8" t="s">
        <v>1388</v>
      </c>
      <c r="AL349" s="8" t="s">
        <v>88</v>
      </c>
      <c r="AM349" s="8" t="s">
        <v>88</v>
      </c>
      <c r="AN349" s="8" t="s">
        <v>88</v>
      </c>
      <c r="AO349" s="8">
        <v>1002</v>
      </c>
      <c r="AP349" s="8" t="s">
        <v>1389</v>
      </c>
      <c r="AQ349" s="8" t="s">
        <v>100</v>
      </c>
      <c r="AR349" s="8" t="s">
        <v>101</v>
      </c>
      <c r="AS349" s="8" t="s">
        <v>120</v>
      </c>
      <c r="AT349" s="8" t="s">
        <v>103</v>
      </c>
      <c r="AU349" s="8" t="s">
        <v>103</v>
      </c>
      <c r="AX349" s="8" t="s">
        <v>104</v>
      </c>
      <c r="AY349" s="8" t="s">
        <v>121</v>
      </c>
      <c r="AZ349" s="8" t="s">
        <v>100</v>
      </c>
      <c r="BA349" s="8" t="s">
        <v>101</v>
      </c>
      <c r="BB349" s="8" t="s">
        <v>102</v>
      </c>
      <c r="BC349" s="8" t="s">
        <v>103</v>
      </c>
      <c r="BD349" s="8" t="s">
        <v>103</v>
      </c>
      <c r="BF349" s="8" t="s">
        <v>107</v>
      </c>
      <c r="BG349" s="8">
        <v>16700</v>
      </c>
      <c r="BH349" s="8" t="s">
        <v>122</v>
      </c>
      <c r="BO349" s="8">
        <v>12</v>
      </c>
      <c r="BR349" s="8" t="s">
        <v>100</v>
      </c>
      <c r="BS349" s="8" t="s">
        <v>182</v>
      </c>
      <c r="BT349" s="8" t="s">
        <v>183</v>
      </c>
      <c r="BU349" s="8" t="s">
        <v>106</v>
      </c>
      <c r="BV349" s="8" t="s">
        <v>123</v>
      </c>
      <c r="BW349" s="8" t="s">
        <v>110</v>
      </c>
    </row>
    <row r="350" spans="1:75" x14ac:dyDescent="0.35">
      <c r="A350" t="s">
        <v>1390</v>
      </c>
      <c r="B350" s="1">
        <v>45983</v>
      </c>
      <c r="C350" s="2">
        <v>0.94267361111111114</v>
      </c>
      <c r="D350" t="s">
        <v>112</v>
      </c>
      <c r="E350" t="s">
        <v>113</v>
      </c>
      <c r="F350" t="s">
        <v>114</v>
      </c>
      <c r="G350">
        <f>COUNTIF($F$2:$F$350,F350)</f>
        <v>42</v>
      </c>
      <c r="H350" t="s">
        <v>115</v>
      </c>
      <c r="I350" t="s">
        <v>82</v>
      </c>
      <c r="J350" t="s">
        <v>83</v>
      </c>
      <c r="K350" t="s">
        <v>84</v>
      </c>
      <c r="M350" t="s">
        <v>85</v>
      </c>
      <c r="N350" t="s">
        <v>116</v>
      </c>
      <c r="O350" t="s">
        <v>87</v>
      </c>
      <c r="P350" t="s">
        <v>88</v>
      </c>
      <c r="Q350" t="s">
        <v>89</v>
      </c>
      <c r="R350" t="s">
        <v>90</v>
      </c>
      <c r="S350" t="s">
        <v>91</v>
      </c>
      <c r="T350" t="s">
        <v>92</v>
      </c>
      <c r="U350" t="s">
        <v>93</v>
      </c>
      <c r="V350" t="s">
        <v>22</v>
      </c>
      <c r="X350" t="s">
        <v>94</v>
      </c>
      <c r="Y350" t="s">
        <v>95</v>
      </c>
      <c r="Z350" t="s">
        <v>96</v>
      </c>
      <c r="AA350" t="b">
        <v>0</v>
      </c>
      <c r="AC350">
        <v>0</v>
      </c>
      <c r="AD350">
        <v>71</v>
      </c>
      <c r="AI350" t="s">
        <v>117</v>
      </c>
      <c r="AJ350" t="s">
        <v>88</v>
      </c>
      <c r="AK350" t="s">
        <v>1391</v>
      </c>
      <c r="AL350" t="s">
        <v>88</v>
      </c>
      <c r="AM350" t="s">
        <v>88</v>
      </c>
      <c r="AN350" t="s">
        <v>88</v>
      </c>
      <c r="AO350">
        <v>1002</v>
      </c>
      <c r="AP350" t="s">
        <v>1392</v>
      </c>
      <c r="AQ350" t="s">
        <v>100</v>
      </c>
      <c r="AR350" t="s">
        <v>101</v>
      </c>
      <c r="AS350" t="s">
        <v>120</v>
      </c>
      <c r="AT350" t="s">
        <v>103</v>
      </c>
      <c r="AU350" t="s">
        <v>103</v>
      </c>
      <c r="AX350" t="s">
        <v>104</v>
      </c>
      <c r="AY350" t="s">
        <v>121</v>
      </c>
      <c r="AZ350" t="s">
        <v>100</v>
      </c>
      <c r="BA350" t="s">
        <v>101</v>
      </c>
      <c r="BB350" t="s">
        <v>102</v>
      </c>
      <c r="BC350" t="s">
        <v>103</v>
      </c>
      <c r="BD350" t="s">
        <v>103</v>
      </c>
      <c r="BF350" t="s">
        <v>107</v>
      </c>
      <c r="BG350">
        <v>16700</v>
      </c>
      <c r="BH350" t="s">
        <v>122</v>
      </c>
      <c r="BO350">
        <v>12</v>
      </c>
      <c r="BR350" t="s">
        <v>100</v>
      </c>
      <c r="BS350" t="s">
        <v>109</v>
      </c>
      <c r="BT350" t="s">
        <v>102</v>
      </c>
      <c r="BU350" t="s">
        <v>106</v>
      </c>
      <c r="BV350" t="s">
        <v>123</v>
      </c>
      <c r="BW350" t="s">
        <v>110</v>
      </c>
    </row>
  </sheetData>
  <autoFilter ref="A1:BZ350" xr:uid="{2E1B3D39-9C89-438E-B41C-C398CF40AD0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InteractiveSignIns_2025-11-22_2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Bitpusher</cp:lastModifiedBy>
  <dcterms:created xsi:type="dcterms:W3CDTF">2026-07-29T03:23:10Z</dcterms:created>
  <dcterms:modified xsi:type="dcterms:W3CDTF">2026-07-29T03:23:10Z</dcterms:modified>
</cp:coreProperties>
</file>